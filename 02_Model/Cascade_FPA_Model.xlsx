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xr:revisionPtr revIDLastSave="0" documentId="8_{C673F3F7-FB5A-4B79-BAF2-C52954A887E2}" xr6:coauthVersionLast="47" xr6:coauthVersionMax="47" xr10:uidLastSave="{00000000-0000-0000-0000-000000000000}"/>
  <bookViews>
    <workbookView xWindow="240" yWindow="105" windowWidth="14805" windowHeight="8010" firstSheet="1" activeTab="18" xr2:uid="{00000000-000D-0000-FFFF-FFFF00000000}"/>
  </bookViews>
  <sheets>
    <sheet name="Cover" sheetId="1" r:id="rId1"/>
    <sheet name="Control Panel" sheetId="2" r:id="rId2"/>
    <sheet name="Accounts" sheetId="3" r:id="rId3"/>
    <sheet name="Business Units" sheetId="4" r:id="rId4"/>
    <sheet name="Calendar" sheetId="5" r:id="rId5"/>
    <sheet name="Departments" sheetId="6" r:id="rId6"/>
    <sheet name="Financial Statements" sheetId="7" r:id="rId7"/>
    <sheet name="Regions" sheetId="8" r:id="rId8"/>
    <sheet name="Historical Actuals" sheetId="9" r:id="rId9"/>
    <sheet name="Historical Trends" sheetId="10" r:id="rId10"/>
    <sheet name="Revenue Analysis" sheetId="11" r:id="rId11"/>
    <sheet name="Expense Analysis" sheetId="12" r:id="rId12"/>
    <sheet name="Monthly Analysis" sheetId="13" r:id="rId13"/>
    <sheet name="Assumptions" sheetId="14" r:id="rId14"/>
    <sheet name="Forecast Calendar" sheetId="15" r:id="rId15"/>
    <sheet name="Forecast Model" sheetId="16" r:id="rId16"/>
    <sheet name="Headcount Plan" sheetId="17" r:id="rId17"/>
    <sheet name="CapEx Plan" sheetId="18" r:id="rId18"/>
    <sheet name="Cash Flow Plan" sheetId="19" r:id="rId19"/>
    <sheet name="Scenario Analysis" sheetId="20" r:id="rId20"/>
    <sheet name="Model QA"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6" i="2" l="1"/>
  <c r="C126" i="2"/>
  <c r="B126" i="2"/>
  <c r="D125" i="2"/>
  <c r="C125" i="2"/>
  <c r="B125" i="2"/>
  <c r="D124" i="2"/>
  <c r="C124" i="2"/>
  <c r="B124" i="2"/>
  <c r="D122" i="2"/>
  <c r="C122" i="2"/>
  <c r="B122" i="2"/>
  <c r="D121" i="2"/>
  <c r="C121" i="2"/>
  <c r="B121" i="2"/>
  <c r="D120" i="2"/>
  <c r="C120" i="2"/>
  <c r="B120" i="2"/>
  <c r="D114" i="2"/>
  <c r="C114" i="2"/>
  <c r="B114" i="2"/>
  <c r="D113" i="2"/>
  <c r="C113" i="2"/>
  <c r="B113" i="2"/>
  <c r="D112" i="2"/>
  <c r="C112" i="2"/>
  <c r="B112" i="2"/>
  <c r="D111" i="2"/>
  <c r="C111" i="2"/>
  <c r="B111" i="2"/>
  <c r="B108" i="2"/>
  <c r="B72" i="2"/>
  <c r="B71" i="2"/>
  <c r="B70" i="2"/>
  <c r="B69" i="2"/>
  <c r="B68" i="2"/>
  <c r="B67" i="2"/>
  <c r="B66" i="2"/>
  <c r="B65" i="2"/>
  <c r="B64" i="2"/>
  <c r="D34" i="2"/>
  <c r="C34" i="2"/>
  <c r="B34" i="2"/>
  <c r="D33" i="2"/>
  <c r="C33" i="2"/>
  <c r="B33" i="2"/>
  <c r="D32" i="2"/>
  <c r="C32" i="2"/>
  <c r="B32" i="2"/>
  <c r="B11" i="2"/>
  <c r="D32" i="21"/>
  <c r="C32" i="21"/>
  <c r="B32" i="21"/>
  <c r="D31" i="21"/>
  <c r="C31" i="21"/>
  <c r="B31" i="21"/>
  <c r="D30" i="21"/>
  <c r="C30" i="21"/>
  <c r="B30" i="21"/>
  <c r="C29" i="21"/>
  <c r="B29" i="21"/>
  <c r="D29" i="21" s="1"/>
  <c r="C28" i="21"/>
  <c r="B28" i="21"/>
  <c r="D28" i="21" s="1"/>
  <c r="C27" i="21"/>
  <c r="B27" i="21"/>
  <c r="D27" i="21" s="1"/>
  <c r="B17" i="16"/>
  <c r="C8" i="21"/>
  <c r="D8" i="21"/>
  <c r="C7" i="21"/>
  <c r="D7" i="21" s="1"/>
  <c r="C6" i="21"/>
  <c r="D6" i="21" s="1"/>
  <c r="C5" i="21"/>
  <c r="D5" i="21" s="1"/>
  <c r="E51" i="20"/>
  <c r="D51" i="20"/>
  <c r="C51" i="20"/>
  <c r="B51" i="20"/>
  <c r="E50" i="20"/>
  <c r="D50" i="20"/>
  <c r="C50" i="20"/>
  <c r="B50" i="20"/>
  <c r="E37" i="20"/>
  <c r="D37" i="20"/>
  <c r="C37" i="20"/>
  <c r="B37" i="20"/>
  <c r="E36" i="20"/>
  <c r="D36" i="20"/>
  <c r="C36" i="20"/>
  <c r="B36" i="20"/>
  <c r="D23" i="20"/>
  <c r="C23" i="20"/>
  <c r="B23" i="20"/>
  <c r="E22" i="20"/>
  <c r="D22" i="20"/>
  <c r="C22" i="20"/>
  <c r="B22" i="20"/>
  <c r="B47" i="19"/>
  <c r="B22" i="19"/>
  <c r="E13" i="19"/>
  <c r="D13" i="19"/>
  <c r="D61" i="19" s="1"/>
  <c r="C13" i="19"/>
  <c r="C61" i="19" s="1"/>
  <c r="B13" i="19"/>
  <c r="E10" i="19"/>
  <c r="D10" i="19"/>
  <c r="C10" i="19"/>
  <c r="B10" i="19"/>
  <c r="B9" i="19"/>
  <c r="B11" i="19" s="1"/>
  <c r="B8" i="19"/>
  <c r="B183" i="16"/>
  <c r="B182" i="16"/>
  <c r="B181" i="16"/>
  <c r="B160" i="16"/>
  <c r="E159" i="16"/>
  <c r="D159" i="16"/>
  <c r="C159" i="16"/>
  <c r="B159" i="16"/>
  <c r="E158" i="16"/>
  <c r="C183" i="16" s="1"/>
  <c r="D158" i="16"/>
  <c r="C182" i="16" s="1"/>
  <c r="C158" i="16"/>
  <c r="C181" i="16" s="1"/>
  <c r="B158" i="16"/>
  <c r="C42" i="18"/>
  <c r="B42" i="18"/>
  <c r="B41" i="18"/>
  <c r="C40" i="18"/>
  <c r="B40" i="18"/>
  <c r="D34" i="18"/>
  <c r="C34" i="18"/>
  <c r="B34" i="18"/>
  <c r="E33" i="18"/>
  <c r="D33" i="18"/>
  <c r="C33" i="18"/>
  <c r="E32" i="18"/>
  <c r="D32" i="18"/>
  <c r="C32" i="18"/>
  <c r="B32" i="18"/>
  <c r="F26" i="18"/>
  <c r="E26" i="18"/>
  <c r="F25" i="18"/>
  <c r="F24" i="18"/>
  <c r="F23" i="18"/>
  <c r="F22" i="18"/>
  <c r="D26" i="18"/>
  <c r="C26" i="18"/>
  <c r="E25" i="18"/>
  <c r="E24" i="18"/>
  <c r="E23" i="18"/>
  <c r="E22" i="18"/>
  <c r="D25" i="18"/>
  <c r="D24" i="18"/>
  <c r="D23" i="18"/>
  <c r="D22" i="18"/>
  <c r="C25" i="18"/>
  <c r="C24" i="18"/>
  <c r="C23" i="18"/>
  <c r="C22" i="18"/>
  <c r="B26" i="18"/>
  <c r="B16" i="18"/>
  <c r="E14" i="18"/>
  <c r="D14" i="18"/>
  <c r="C14" i="18"/>
  <c r="E12" i="18"/>
  <c r="D12" i="18"/>
  <c r="C12" i="18"/>
  <c r="E11" i="18"/>
  <c r="E10" i="18"/>
  <c r="E9" i="18"/>
  <c r="E8" i="18"/>
  <c r="D10" i="18"/>
  <c r="D11" i="18"/>
  <c r="D9" i="18"/>
  <c r="D8" i="18"/>
  <c r="C11" i="18"/>
  <c r="C10" i="18"/>
  <c r="C9" i="18"/>
  <c r="C8" i="18"/>
  <c r="B12" i="18"/>
  <c r="B189" i="16"/>
  <c r="B188" i="16"/>
  <c r="B187" i="16"/>
  <c r="B152" i="16"/>
  <c r="E150" i="16"/>
  <c r="D150" i="16"/>
  <c r="C150" i="16"/>
  <c r="B150" i="16"/>
  <c r="E149" i="16"/>
  <c r="C189" i="16" s="1"/>
  <c r="D149" i="16"/>
  <c r="C188" i="16" s="1"/>
  <c r="C149" i="16"/>
  <c r="C187" i="16" s="1"/>
  <c r="B149" i="16"/>
  <c r="B86" i="17"/>
  <c r="B85" i="17"/>
  <c r="C84" i="17"/>
  <c r="B84" i="17"/>
  <c r="C83" i="17"/>
  <c r="B83" i="17"/>
  <c r="B76" i="17"/>
  <c r="B74" i="17"/>
  <c r="E72" i="17"/>
  <c r="D72" i="17"/>
  <c r="C72" i="17"/>
  <c r="E71" i="17"/>
  <c r="D71" i="17"/>
  <c r="C71" i="17"/>
  <c r="B71" i="17"/>
  <c r="E70" i="17"/>
  <c r="D70" i="17"/>
  <c r="C70" i="17"/>
  <c r="B70" i="17"/>
  <c r="E69" i="17"/>
  <c r="D69" i="17"/>
  <c r="C69" i="17"/>
  <c r="B69" i="17"/>
  <c r="B63" i="17"/>
  <c r="B62" i="17"/>
  <c r="B61" i="17"/>
  <c r="B57" i="17"/>
  <c r="B56" i="17"/>
  <c r="B55" i="17"/>
  <c r="B54" i="17"/>
  <c r="E49" i="17"/>
  <c r="D49" i="17"/>
  <c r="C49" i="17"/>
  <c r="B49" i="17"/>
  <c r="E48" i="17"/>
  <c r="D48" i="17"/>
  <c r="C48" i="17"/>
  <c r="B48" i="17"/>
  <c r="E47" i="17"/>
  <c r="D47" i="17"/>
  <c r="C47" i="17"/>
  <c r="B47" i="17"/>
  <c r="F41" i="17"/>
  <c r="F40" i="17"/>
  <c r="F39" i="17"/>
  <c r="F38" i="17"/>
  <c r="F37" i="17"/>
  <c r="E41" i="17"/>
  <c r="D41" i="17"/>
  <c r="C41" i="17"/>
  <c r="B41" i="17"/>
  <c r="E40" i="17"/>
  <c r="E39" i="17"/>
  <c r="E38" i="17"/>
  <c r="E37" i="17"/>
  <c r="D40" i="17"/>
  <c r="D39" i="17"/>
  <c r="D38" i="17"/>
  <c r="D37" i="17"/>
  <c r="C38" i="17"/>
  <c r="C40" i="17"/>
  <c r="C39" i="17"/>
  <c r="C37" i="17"/>
  <c r="B40" i="17"/>
  <c r="B39" i="17"/>
  <c r="B38" i="17"/>
  <c r="B37" i="17"/>
  <c r="E31" i="17"/>
  <c r="D31" i="17"/>
  <c r="C31" i="17"/>
  <c r="B31" i="17"/>
  <c r="F30" i="17"/>
  <c r="F29" i="17"/>
  <c r="F28" i="17"/>
  <c r="F27" i="17"/>
  <c r="E30" i="17"/>
  <c r="E29" i="17"/>
  <c r="E28" i="17"/>
  <c r="E27" i="17"/>
  <c r="D30" i="17"/>
  <c r="D29" i="17"/>
  <c r="D28" i="17"/>
  <c r="D27" i="17"/>
  <c r="C30" i="17"/>
  <c r="C29" i="17"/>
  <c r="C28" i="17"/>
  <c r="C27" i="17"/>
  <c r="E21" i="17"/>
  <c r="D21" i="17"/>
  <c r="C21" i="17"/>
  <c r="E20" i="17"/>
  <c r="D20" i="17"/>
  <c r="C20" i="17"/>
  <c r="E19" i="17"/>
  <c r="D19" i="17"/>
  <c r="C19" i="17"/>
  <c r="E18" i="17"/>
  <c r="D18" i="17"/>
  <c r="C18" i="17"/>
  <c r="B18" i="17"/>
  <c r="F12" i="17"/>
  <c r="F11" i="17"/>
  <c r="F10" i="17"/>
  <c r="F9" i="17"/>
  <c r="F8" i="17"/>
  <c r="B12" i="17"/>
  <c r="C12" i="17"/>
  <c r="E12" i="17"/>
  <c r="D12" i="17"/>
  <c r="E11" i="17"/>
  <c r="E10" i="17"/>
  <c r="E9" i="17"/>
  <c r="E8" i="17"/>
  <c r="D11" i="17"/>
  <c r="D10" i="17"/>
  <c r="D9" i="17"/>
  <c r="D8" i="17"/>
  <c r="C11" i="17"/>
  <c r="C10" i="17"/>
  <c r="C9" i="17"/>
  <c r="C8" i="17"/>
  <c r="B194" i="16"/>
  <c r="B18" i="16"/>
  <c r="E250" i="16"/>
  <c r="E249" i="16"/>
  <c r="E248" i="16"/>
  <c r="E247" i="16"/>
  <c r="E246" i="16"/>
  <c r="E245" i="16"/>
  <c r="E244" i="16"/>
  <c r="E243" i="16"/>
  <c r="E242" i="16"/>
  <c r="E241" i="16"/>
  <c r="E240" i="16"/>
  <c r="E239" i="16"/>
  <c r="E251" i="16" s="1"/>
  <c r="B59" i="16"/>
  <c r="B58" i="16"/>
  <c r="B57" i="16"/>
  <c r="B56" i="16"/>
  <c r="B55" i="16"/>
  <c r="B54" i="16"/>
  <c r="B53" i="16"/>
  <c r="B52" i="16"/>
  <c r="B51" i="16"/>
  <c r="B50" i="16"/>
  <c r="B49" i="16"/>
  <c r="B48" i="16"/>
  <c r="B60" i="16" s="1"/>
  <c r="F16" i="13"/>
  <c r="B16" i="16"/>
  <c r="B14" i="16"/>
  <c r="B13" i="16"/>
  <c r="B12" i="16"/>
  <c r="B10" i="16"/>
  <c r="C194" i="16" s="1"/>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B6" i="15"/>
  <c r="B5"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6" i="15"/>
  <c r="A7" i="15"/>
  <c r="A8" i="15" s="1"/>
  <c r="A9" i="15" s="1"/>
  <c r="A5" i="15"/>
  <c r="E37" i="14"/>
  <c r="E36" i="14"/>
  <c r="E35" i="14"/>
  <c r="E34" i="14"/>
  <c r="E33" i="14"/>
  <c r="E32" i="14"/>
  <c r="E31" i="14"/>
  <c r="E30" i="14"/>
  <c r="E29" i="14"/>
  <c r="E28" i="14"/>
  <c r="E27" i="14"/>
  <c r="E26" i="14"/>
  <c r="E68" i="16" s="1"/>
  <c r="D37" i="14"/>
  <c r="D36" i="14"/>
  <c r="D35" i="14"/>
  <c r="D34" i="14"/>
  <c r="D33" i="14"/>
  <c r="D32" i="14"/>
  <c r="D31" i="14"/>
  <c r="D30" i="14"/>
  <c r="D29" i="14"/>
  <c r="D28" i="14"/>
  <c r="D27" i="14"/>
  <c r="D26" i="14"/>
  <c r="D38" i="14" s="1"/>
  <c r="C37" i="14"/>
  <c r="C36" i="14"/>
  <c r="C35" i="14"/>
  <c r="C34" i="14"/>
  <c r="C33" i="14"/>
  <c r="C32" i="14"/>
  <c r="C31" i="14"/>
  <c r="C30" i="14"/>
  <c r="C29" i="14"/>
  <c r="C28" i="14"/>
  <c r="C27" i="14"/>
  <c r="C26" i="14"/>
  <c r="C38" i="14" s="1"/>
  <c r="B37" i="14"/>
  <c r="B36" i="14"/>
  <c r="B35" i="14"/>
  <c r="B34" i="14"/>
  <c r="B33" i="14"/>
  <c r="B32" i="14"/>
  <c r="B31" i="14"/>
  <c r="B30" i="14"/>
  <c r="B29" i="14"/>
  <c r="B28" i="14"/>
  <c r="B27" i="14"/>
  <c r="B26" i="14"/>
  <c r="B38" i="14" s="1"/>
  <c r="B21" i="14"/>
  <c r="B20" i="14"/>
  <c r="B19" i="14"/>
  <c r="B16" i="14"/>
  <c r="C16" i="14" s="1"/>
  <c r="B11" i="20" s="1"/>
  <c r="C14" i="21" s="1"/>
  <c r="D14" i="21" s="1"/>
  <c r="B13" i="14"/>
  <c r="C13" i="14" s="1"/>
  <c r="B10" i="20" s="1"/>
  <c r="B10" i="14"/>
  <c r="C10" i="14" s="1"/>
  <c r="B7" i="14"/>
  <c r="C7" i="14" s="1"/>
  <c r="B8" i="20" s="1"/>
  <c r="M19" i="13"/>
  <c r="L19" i="13"/>
  <c r="M18" i="13"/>
  <c r="M17" i="13"/>
  <c r="M16" i="13"/>
  <c r="M15" i="13"/>
  <c r="M14" i="13"/>
  <c r="M13" i="13"/>
  <c r="M12" i="13"/>
  <c r="M11" i="13"/>
  <c r="M10" i="13"/>
  <c r="M9" i="13"/>
  <c r="M8" i="13"/>
  <c r="M7" i="13"/>
  <c r="L18" i="13"/>
  <c r="L17" i="13"/>
  <c r="L16" i="13"/>
  <c r="L15" i="13"/>
  <c r="L14" i="13"/>
  <c r="L13" i="13"/>
  <c r="L12" i="13"/>
  <c r="L11" i="13"/>
  <c r="L10" i="13"/>
  <c r="L9" i="13"/>
  <c r="L8" i="13"/>
  <c r="L7" i="13"/>
  <c r="D52" i="13"/>
  <c r="D51" i="13"/>
  <c r="D50" i="13"/>
  <c r="D49" i="13"/>
  <c r="D48" i="13"/>
  <c r="D47" i="13"/>
  <c r="D46" i="13"/>
  <c r="D45" i="13"/>
  <c r="D44" i="13"/>
  <c r="D43" i="13"/>
  <c r="D42" i="13"/>
  <c r="D41" i="13"/>
  <c r="C52" i="13"/>
  <c r="C51" i="13"/>
  <c r="C50" i="13"/>
  <c r="C49" i="13"/>
  <c r="C48" i="13"/>
  <c r="C47" i="13"/>
  <c r="C46" i="13"/>
  <c r="C45" i="13"/>
  <c r="C44" i="13"/>
  <c r="C43" i="13"/>
  <c r="C42" i="13"/>
  <c r="C41" i="13"/>
  <c r="B52" i="13"/>
  <c r="B51" i="13"/>
  <c r="B50" i="13"/>
  <c r="B49" i="13"/>
  <c r="B48" i="13"/>
  <c r="B47" i="13"/>
  <c r="B46" i="13"/>
  <c r="B45" i="13"/>
  <c r="B44" i="13"/>
  <c r="B43" i="13"/>
  <c r="B42" i="13"/>
  <c r="B41" i="13"/>
  <c r="D34" i="13"/>
  <c r="D33" i="13"/>
  <c r="D32" i="13"/>
  <c r="D31" i="13"/>
  <c r="D30" i="13"/>
  <c r="D29" i="13"/>
  <c r="D28" i="13"/>
  <c r="D27" i="13"/>
  <c r="D26" i="13"/>
  <c r="D25" i="13"/>
  <c r="D24" i="13"/>
  <c r="D23" i="13"/>
  <c r="C34" i="13"/>
  <c r="C33" i="13"/>
  <c r="C32" i="13"/>
  <c r="C31" i="13"/>
  <c r="C30" i="13"/>
  <c r="C29" i="13"/>
  <c r="C28" i="13"/>
  <c r="C27" i="13"/>
  <c r="C26" i="13"/>
  <c r="C25" i="13"/>
  <c r="C24" i="13"/>
  <c r="C23" i="13"/>
  <c r="B34" i="13"/>
  <c r="B33" i="13"/>
  <c r="B32" i="13"/>
  <c r="B31" i="13"/>
  <c r="B30" i="13"/>
  <c r="B29" i="13"/>
  <c r="B28" i="13"/>
  <c r="B27" i="13"/>
  <c r="B26" i="13"/>
  <c r="B25" i="13"/>
  <c r="B24" i="13"/>
  <c r="B23" i="13"/>
  <c r="B35" i="13" s="1"/>
  <c r="D16" i="13"/>
  <c r="D15" i="13"/>
  <c r="D14" i="13"/>
  <c r="D13" i="13"/>
  <c r="D12" i="13"/>
  <c r="D11" i="13"/>
  <c r="D10" i="13"/>
  <c r="D9" i="13"/>
  <c r="D8" i="13"/>
  <c r="D7" i="13"/>
  <c r="D6" i="13"/>
  <c r="D5" i="13"/>
  <c r="C16" i="13"/>
  <c r="C15" i="13"/>
  <c r="C14" i="13"/>
  <c r="C13" i="13"/>
  <c r="C12" i="13"/>
  <c r="C11" i="13"/>
  <c r="C10" i="13"/>
  <c r="C9" i="13"/>
  <c r="C8" i="13"/>
  <c r="C7" i="13"/>
  <c r="C6" i="13"/>
  <c r="C5" i="13"/>
  <c r="B16" i="13"/>
  <c r="B15" i="13"/>
  <c r="B14" i="13"/>
  <c r="B13" i="13"/>
  <c r="B12" i="13"/>
  <c r="B11" i="13"/>
  <c r="B10" i="13"/>
  <c r="B8" i="13"/>
  <c r="B7" i="13"/>
  <c r="B6" i="13"/>
  <c r="B53" i="13" s="1"/>
  <c r="B5" i="13"/>
  <c r="B17" i="13" s="1"/>
  <c r="B31" i="10"/>
  <c r="B30" i="10"/>
  <c r="B29" i="10"/>
  <c r="B28" i="10"/>
  <c r="D13" i="12"/>
  <c r="E12" i="12"/>
  <c r="D12" i="12"/>
  <c r="C12" i="12"/>
  <c r="F12" i="12" s="1"/>
  <c r="E11" i="12"/>
  <c r="D11" i="12"/>
  <c r="C11" i="12"/>
  <c r="F11" i="12" s="1"/>
  <c r="E10" i="12"/>
  <c r="D10" i="12"/>
  <c r="C10" i="12"/>
  <c r="F10" i="12" s="1"/>
  <c r="E9" i="12"/>
  <c r="D9" i="12"/>
  <c r="C9" i="12"/>
  <c r="F9" i="12" s="1"/>
  <c r="E8" i="12"/>
  <c r="D8" i="12"/>
  <c r="C8" i="12"/>
  <c r="F8" i="12" s="1"/>
  <c r="E7" i="12"/>
  <c r="D7" i="12"/>
  <c r="C7" i="12"/>
  <c r="F7" i="12" s="1"/>
  <c r="E6" i="12"/>
  <c r="D6" i="12"/>
  <c r="C6" i="12"/>
  <c r="F6" i="12" s="1"/>
  <c r="E5" i="12"/>
  <c r="D5" i="12"/>
  <c r="C5" i="12"/>
  <c r="G18" i="11"/>
  <c r="F18" i="11"/>
  <c r="G17" i="11"/>
  <c r="G16" i="11"/>
  <c r="G15" i="11"/>
  <c r="G14" i="11"/>
  <c r="F17" i="11"/>
  <c r="F16" i="11"/>
  <c r="F15" i="11"/>
  <c r="F14" i="11"/>
  <c r="E18" i="11"/>
  <c r="D18" i="11"/>
  <c r="C18" i="11"/>
  <c r="E17" i="11"/>
  <c r="D17" i="11"/>
  <c r="C17" i="11"/>
  <c r="E16" i="11"/>
  <c r="D16" i="11"/>
  <c r="C16" i="11"/>
  <c r="E15" i="11"/>
  <c r="D15" i="11"/>
  <c r="C15" i="11"/>
  <c r="E14" i="11"/>
  <c r="D14" i="11"/>
  <c r="C14" i="11"/>
  <c r="G9" i="11"/>
  <c r="F9" i="11"/>
  <c r="G8" i="11"/>
  <c r="G7" i="11"/>
  <c r="G6" i="11"/>
  <c r="G5" i="11"/>
  <c r="F8" i="11"/>
  <c r="F7" i="11"/>
  <c r="F6" i="11"/>
  <c r="F5" i="11"/>
  <c r="E9" i="11"/>
  <c r="D9" i="11"/>
  <c r="C9" i="11"/>
  <c r="E8" i="11"/>
  <c r="D8" i="11"/>
  <c r="C8" i="11"/>
  <c r="E7" i="11"/>
  <c r="D7" i="11"/>
  <c r="C7" i="11"/>
  <c r="E6" i="11"/>
  <c r="D6" i="11"/>
  <c r="C6" i="11"/>
  <c r="E5" i="11"/>
  <c r="D5" i="11"/>
  <c r="C5" i="11"/>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B9" i="20" l="1"/>
  <c r="C12" i="21" s="1"/>
  <c r="D12" i="21" s="1"/>
  <c r="D96" i="16"/>
  <c r="D109" i="16"/>
  <c r="D116" i="16"/>
  <c r="D120" i="16"/>
  <c r="D119" i="16"/>
  <c r="D123" i="16"/>
  <c r="D118" i="16"/>
  <c r="D90" i="16"/>
  <c r="D101" i="16"/>
  <c r="D111" i="16"/>
  <c r="D107" i="16"/>
  <c r="D99" i="16"/>
  <c r="D92" i="16"/>
  <c r="D124" i="16"/>
  <c r="D122" i="16"/>
  <c r="D121" i="16"/>
  <c r="D117" i="16"/>
  <c r="D115" i="16"/>
  <c r="D114" i="16"/>
  <c r="D113" i="16"/>
  <c r="D112" i="16"/>
  <c r="D110" i="16"/>
  <c r="D108" i="16"/>
  <c r="D106" i="16"/>
  <c r="D105" i="16"/>
  <c r="D104" i="16"/>
  <c r="D103" i="16"/>
  <c r="D102" i="16"/>
  <c r="D100" i="16"/>
  <c r="D98" i="16"/>
  <c r="D97" i="16"/>
  <c r="D95" i="16"/>
  <c r="D94" i="16"/>
  <c r="D93" i="16"/>
  <c r="D91" i="16"/>
  <c r="D89" i="16"/>
  <c r="E49" i="16"/>
  <c r="E69" i="16"/>
  <c r="E50" i="16"/>
  <c r="E70" i="16"/>
  <c r="E51" i="16"/>
  <c r="E71" i="16"/>
  <c r="E52" i="16"/>
  <c r="E72" i="16"/>
  <c r="E53" i="16"/>
  <c r="E73" i="16"/>
  <c r="E54" i="16"/>
  <c r="E74" i="16"/>
  <c r="E55" i="16"/>
  <c r="E75" i="16"/>
  <c r="E56" i="16"/>
  <c r="E76" i="16"/>
  <c r="E57" i="16"/>
  <c r="E77" i="16"/>
  <c r="E58" i="16"/>
  <c r="E78" i="16"/>
  <c r="E59" i="16"/>
  <c r="E79" i="16"/>
  <c r="D188" i="16"/>
  <c r="D189" i="16"/>
  <c r="B15" i="21"/>
  <c r="C9" i="21"/>
  <c r="D9" i="21" s="1"/>
  <c r="B17" i="20"/>
  <c r="C13" i="21"/>
  <c r="D13" i="21" s="1"/>
  <c r="B19" i="20"/>
  <c r="B33" i="20" s="1"/>
  <c r="B47" i="20" s="1"/>
  <c r="B50" i="19"/>
  <c r="B49" i="19"/>
  <c r="B48" i="19"/>
  <c r="B59" i="19"/>
  <c r="B167" i="16"/>
  <c r="B37" i="19"/>
  <c r="B30" i="19"/>
  <c r="B14" i="19"/>
  <c r="B61" i="19"/>
  <c r="B38" i="19"/>
  <c r="B31" i="19"/>
  <c r="E61" i="19"/>
  <c r="C38" i="19"/>
  <c r="B52" i="19"/>
  <c r="B54" i="19" s="1"/>
  <c r="D181" i="16"/>
  <c r="D182" i="16"/>
  <c r="D183" i="16"/>
  <c r="D187" i="16"/>
  <c r="E80" i="16"/>
  <c r="B212" i="16"/>
  <c r="D212" i="16" s="1"/>
  <c r="B211" i="16"/>
  <c r="D211" i="16" s="1"/>
  <c r="D194" i="16"/>
  <c r="B19" i="16"/>
  <c r="D59" i="16"/>
  <c r="D58" i="16"/>
  <c r="D57" i="16"/>
  <c r="D56" i="16"/>
  <c r="D55" i="16"/>
  <c r="D54" i="16"/>
  <c r="D53" i="16"/>
  <c r="D52" i="16"/>
  <c r="D51" i="16"/>
  <c r="D50" i="16"/>
  <c r="D49" i="16"/>
  <c r="D48" i="16"/>
  <c r="D60" i="16" s="1"/>
  <c r="B23" i="16"/>
  <c r="C11" i="16"/>
  <c r="C229" i="16"/>
  <c r="C228" i="16"/>
  <c r="C227" i="16"/>
  <c r="C226" i="16"/>
  <c r="C225" i="16"/>
  <c r="C224" i="16"/>
  <c r="C223" i="16"/>
  <c r="C222" i="16"/>
  <c r="C221" i="16"/>
  <c r="C220" i="16"/>
  <c r="C219" i="16"/>
  <c r="C218" i="16"/>
  <c r="B24" i="16"/>
  <c r="C13" i="16"/>
  <c r="C250" i="16"/>
  <c r="C249" i="16"/>
  <c r="C248" i="16"/>
  <c r="C247" i="16"/>
  <c r="C246" i="16"/>
  <c r="C245" i="16"/>
  <c r="C244" i="16"/>
  <c r="C243" i="16"/>
  <c r="C242" i="16"/>
  <c r="C241" i="16"/>
  <c r="C240" i="16"/>
  <c r="C239" i="16"/>
  <c r="C251" i="16" s="1"/>
  <c r="B25" i="16"/>
  <c r="C15" i="16"/>
  <c r="D15" i="16" s="1"/>
  <c r="E15" i="16" s="1"/>
  <c r="E13" i="14"/>
  <c r="D13" i="14"/>
  <c r="B26" i="16"/>
  <c r="E16" i="14"/>
  <c r="D16" i="14"/>
  <c r="B22" i="14"/>
  <c r="E19" i="14"/>
  <c r="D19" i="14"/>
  <c r="C19" i="14"/>
  <c r="E20" i="14"/>
  <c r="D20" i="14"/>
  <c r="C20" i="14"/>
  <c r="E21" i="14"/>
  <c r="D21" i="14"/>
  <c r="C21" i="14"/>
  <c r="E48" i="16"/>
  <c r="E60" i="16" s="1"/>
  <c r="E38" i="14"/>
  <c r="C10" i="16"/>
  <c r="C14" i="16"/>
  <c r="C12" i="16"/>
  <c r="E7" i="14"/>
  <c r="D7" i="14"/>
  <c r="E10" i="14"/>
  <c r="D10" i="14"/>
  <c r="K18" i="13"/>
  <c r="N18" i="13" s="1"/>
  <c r="K17" i="13"/>
  <c r="N17" i="13" s="1"/>
  <c r="K16" i="13"/>
  <c r="N16" i="13" s="1"/>
  <c r="K15" i="13"/>
  <c r="N15" i="13" s="1"/>
  <c r="K14" i="13"/>
  <c r="N14" i="13" s="1"/>
  <c r="K13" i="13"/>
  <c r="N13" i="13" s="1"/>
  <c r="K12" i="13"/>
  <c r="N12" i="13" s="1"/>
  <c r="K11" i="13"/>
  <c r="N11" i="13" s="1"/>
  <c r="K10" i="13"/>
  <c r="N10" i="13" s="1"/>
  <c r="K9" i="13"/>
  <c r="N9" i="13" s="1"/>
  <c r="K8" i="13"/>
  <c r="N8" i="13" s="1"/>
  <c r="K7" i="13"/>
  <c r="E5" i="13"/>
  <c r="C17" i="13"/>
  <c r="E17" i="13" s="1"/>
  <c r="E6" i="13"/>
  <c r="E7" i="13"/>
  <c r="E8" i="13"/>
  <c r="E9" i="13"/>
  <c r="E10" i="13"/>
  <c r="E11" i="13"/>
  <c r="E12" i="13"/>
  <c r="E13" i="13"/>
  <c r="E14" i="13"/>
  <c r="E15" i="13"/>
  <c r="E16" i="13"/>
  <c r="F5" i="13"/>
  <c r="D17" i="13"/>
  <c r="G6" i="13"/>
  <c r="F6" i="13"/>
  <c r="G7" i="13"/>
  <c r="F7" i="13"/>
  <c r="G8" i="13"/>
  <c r="F8" i="13"/>
  <c r="G9" i="13"/>
  <c r="F9" i="13"/>
  <c r="G10" i="13"/>
  <c r="F10" i="13"/>
  <c r="G11" i="13"/>
  <c r="F11" i="13"/>
  <c r="G12" i="13"/>
  <c r="F12" i="13"/>
  <c r="G13" i="13"/>
  <c r="F13" i="13"/>
  <c r="G14" i="13"/>
  <c r="F14" i="13"/>
  <c r="G15" i="13"/>
  <c r="F15" i="13"/>
  <c r="G16" i="13"/>
  <c r="E23" i="13"/>
  <c r="C35" i="13"/>
  <c r="E24" i="13"/>
  <c r="E25" i="13"/>
  <c r="E26" i="13"/>
  <c r="E27" i="13"/>
  <c r="E28" i="13"/>
  <c r="E29" i="13"/>
  <c r="E30" i="13"/>
  <c r="E31" i="13"/>
  <c r="E32" i="13"/>
  <c r="E33" i="13"/>
  <c r="E34" i="13"/>
  <c r="F23" i="13"/>
  <c r="D35" i="13"/>
  <c r="G23" i="13" s="1"/>
  <c r="G24" i="13"/>
  <c r="F24" i="13"/>
  <c r="G25" i="13"/>
  <c r="F25" i="13"/>
  <c r="G26" i="13"/>
  <c r="F26" i="13"/>
  <c r="G27" i="13"/>
  <c r="F27" i="13"/>
  <c r="G28" i="13"/>
  <c r="F28" i="13"/>
  <c r="G29" i="13"/>
  <c r="F29" i="13"/>
  <c r="G30" i="13"/>
  <c r="F30" i="13"/>
  <c r="G31" i="13"/>
  <c r="F31" i="13"/>
  <c r="G32" i="13"/>
  <c r="F32" i="13"/>
  <c r="G33" i="13"/>
  <c r="F33" i="13"/>
  <c r="G34" i="13"/>
  <c r="F34" i="13"/>
  <c r="G5" i="12"/>
  <c r="E13" i="12"/>
  <c r="H5" i="12" s="1"/>
  <c r="H6" i="12"/>
  <c r="G6" i="12"/>
  <c r="H7" i="12"/>
  <c r="G7" i="12"/>
  <c r="H8" i="12"/>
  <c r="G8" i="12"/>
  <c r="H9" i="12"/>
  <c r="G9" i="12"/>
  <c r="H10" i="12"/>
  <c r="G10" i="12"/>
  <c r="H11" i="12"/>
  <c r="G11" i="12"/>
  <c r="H12" i="12"/>
  <c r="G12" i="12"/>
  <c r="F5" i="12"/>
  <c r="C13" i="12"/>
  <c r="D32" i="9"/>
  <c r="C32" i="9"/>
  <c r="B32" i="9"/>
  <c r="D26" i="9"/>
  <c r="C26" i="9"/>
  <c r="B26" i="9"/>
  <c r="D25" i="9"/>
  <c r="C25" i="9"/>
  <c r="B25" i="9"/>
  <c r="D24" i="9"/>
  <c r="C24" i="9"/>
  <c r="B24" i="9"/>
  <c r="D23" i="9"/>
  <c r="C23" i="9"/>
  <c r="B23" i="9"/>
  <c r="D22" i="9"/>
  <c r="C22" i="9"/>
  <c r="B22" i="9"/>
  <c r="D21" i="9"/>
  <c r="C21" i="9"/>
  <c r="B21" i="9"/>
  <c r="D20" i="9"/>
  <c r="C20" i="9"/>
  <c r="B20" i="9"/>
  <c r="D19" i="9"/>
  <c r="C19" i="9"/>
  <c r="B19" i="9"/>
  <c r="D18" i="9"/>
  <c r="C18" i="9"/>
  <c r="B18" i="9"/>
  <c r="D17" i="9"/>
  <c r="D27" i="9" s="1"/>
  <c r="C17" i="9"/>
  <c r="C27" i="9" s="1"/>
  <c r="C9" i="10" s="1"/>
  <c r="B17" i="9"/>
  <c r="B27" i="9" s="1"/>
  <c r="D12" i="9"/>
  <c r="C12" i="9"/>
  <c r="B12" i="9"/>
  <c r="D8" i="9"/>
  <c r="D7" i="9"/>
  <c r="C8" i="9"/>
  <c r="C7" i="9"/>
  <c r="B8" i="9"/>
  <c r="B7" i="9"/>
  <c r="D6" i="9"/>
  <c r="C6" i="9"/>
  <c r="B6" i="9"/>
  <c r="B9" i="9"/>
  <c r="E6" i="9"/>
  <c r="B9" i="10"/>
  <c r="C10" i="10" s="1"/>
  <c r="E27" i="9"/>
  <c r="C24" i="16" l="1"/>
  <c r="C9" i="20"/>
  <c r="E9" i="20" s="1"/>
  <c r="D24" i="16"/>
  <c r="D9" i="20"/>
  <c r="C23" i="16"/>
  <c r="C8" i="20"/>
  <c r="D23" i="16"/>
  <c r="D8" i="20"/>
  <c r="B198" i="16"/>
  <c r="C66" i="2"/>
  <c r="B24" i="2"/>
  <c r="B201" i="16"/>
  <c r="C68" i="2"/>
  <c r="B48" i="2"/>
  <c r="B26" i="2"/>
  <c r="B22" i="2"/>
  <c r="B140" i="2"/>
  <c r="C64" i="2"/>
  <c r="B45" i="2"/>
  <c r="C26" i="16"/>
  <c r="C11" i="20"/>
  <c r="E11" i="20" s="1"/>
  <c r="D26" i="16"/>
  <c r="D11" i="20"/>
  <c r="C25" i="16"/>
  <c r="C10" i="20"/>
  <c r="D25" i="16"/>
  <c r="D10" i="20"/>
  <c r="D19" i="20" s="1"/>
  <c r="D33" i="20" s="1"/>
  <c r="D47" i="20" s="1"/>
  <c r="C67" i="2"/>
  <c r="B47" i="2"/>
  <c r="B25" i="2"/>
  <c r="D11" i="16"/>
  <c r="C65" i="2"/>
  <c r="B46" i="2"/>
  <c r="B23" i="2"/>
  <c r="B21" i="21"/>
  <c r="B17" i="21"/>
  <c r="C16" i="21"/>
  <c r="C15" i="21"/>
  <c r="D15" i="21" s="1"/>
  <c r="B31" i="20"/>
  <c r="B18" i="20"/>
  <c r="B20" i="20" s="1"/>
  <c r="B23" i="19"/>
  <c r="B24" i="19" s="1"/>
  <c r="B168" i="16"/>
  <c r="B39" i="19"/>
  <c r="B16" i="19"/>
  <c r="B40" i="19" s="1"/>
  <c r="B62" i="19"/>
  <c r="C16" i="18"/>
  <c r="C160" i="16" s="1"/>
  <c r="C8" i="19"/>
  <c r="B31" i="16"/>
  <c r="B41" i="16" s="1"/>
  <c r="C76" i="17"/>
  <c r="C74" i="17"/>
  <c r="C152" i="16" s="1"/>
  <c r="B195" i="16"/>
  <c r="B33" i="16"/>
  <c r="G100" i="16"/>
  <c r="G99" i="16"/>
  <c r="G98" i="16"/>
  <c r="G97" i="16"/>
  <c r="G96" i="16"/>
  <c r="G95" i="16"/>
  <c r="G94" i="16"/>
  <c r="G93" i="16"/>
  <c r="G92" i="16"/>
  <c r="G91" i="16"/>
  <c r="G90" i="16"/>
  <c r="G89" i="16"/>
  <c r="G127" i="16" s="1"/>
  <c r="C201" i="16" s="1"/>
  <c r="D201" i="16" s="1"/>
  <c r="C16" i="16"/>
  <c r="B32" i="16"/>
  <c r="D13" i="16"/>
  <c r="D14" i="16"/>
  <c r="B248" i="16"/>
  <c r="B250" i="16"/>
  <c r="B249" i="16"/>
  <c r="B247" i="16"/>
  <c r="B246" i="16"/>
  <c r="B245" i="16"/>
  <c r="B244" i="16"/>
  <c r="B243" i="16"/>
  <c r="B241" i="16"/>
  <c r="B242" i="16"/>
  <c r="B240" i="16"/>
  <c r="B239" i="16"/>
  <c r="C55" i="16"/>
  <c r="B75" i="16" s="1"/>
  <c r="C96" i="16" s="1"/>
  <c r="C49" i="16"/>
  <c r="B69" i="16" s="1"/>
  <c r="C90" i="16" s="1"/>
  <c r="C59" i="16"/>
  <c r="B79" i="16" s="1"/>
  <c r="C100" i="16" s="1"/>
  <c r="C58" i="16"/>
  <c r="B78" i="16" s="1"/>
  <c r="C99" i="16" s="1"/>
  <c r="C57" i="16"/>
  <c r="B77" i="16" s="1"/>
  <c r="C98" i="16" s="1"/>
  <c r="C56" i="16"/>
  <c r="B76" i="16" s="1"/>
  <c r="C97" i="16" s="1"/>
  <c r="C54" i="16"/>
  <c r="B74" i="16" s="1"/>
  <c r="C95" i="16" s="1"/>
  <c r="C53" i="16"/>
  <c r="B73" i="16" s="1"/>
  <c r="C94" i="16" s="1"/>
  <c r="C52" i="16"/>
  <c r="B72" i="16" s="1"/>
  <c r="C93" i="16" s="1"/>
  <c r="C51" i="16"/>
  <c r="B71" i="16" s="1"/>
  <c r="C92" i="16" s="1"/>
  <c r="C50" i="16"/>
  <c r="B70" i="16" s="1"/>
  <c r="C91" i="16" s="1"/>
  <c r="C48" i="16"/>
  <c r="B68" i="16" s="1"/>
  <c r="C22" i="14"/>
  <c r="D22" i="14"/>
  <c r="E22" i="14"/>
  <c r="K19" i="13"/>
  <c r="N7" i="13"/>
  <c r="N19" i="13" s="1"/>
  <c r="G35" i="13"/>
  <c r="F17" i="13"/>
  <c r="G5" i="13"/>
  <c r="G17" i="13" s="1"/>
  <c r="D53" i="13"/>
  <c r="C53" i="13"/>
  <c r="H13" i="12"/>
  <c r="B17" i="10"/>
  <c r="C9" i="9"/>
  <c r="C22" i="10"/>
  <c r="C17" i="10"/>
  <c r="D9" i="9"/>
  <c r="D22" i="10"/>
  <c r="D17" i="10"/>
  <c r="F6" i="9"/>
  <c r="E7" i="9"/>
  <c r="B18" i="10"/>
  <c r="E8" i="9"/>
  <c r="B19" i="10"/>
  <c r="C23" i="10"/>
  <c r="C18" i="10"/>
  <c r="C24" i="10"/>
  <c r="C19" i="10"/>
  <c r="D23" i="10"/>
  <c r="D18" i="10"/>
  <c r="F7" i="9"/>
  <c r="D24" i="10"/>
  <c r="D19" i="10"/>
  <c r="F8" i="9"/>
  <c r="D9" i="10"/>
  <c r="D10" i="10" s="1"/>
  <c r="F27" i="9"/>
  <c r="B13" i="9"/>
  <c r="B37" i="9"/>
  <c r="B5" i="10"/>
  <c r="E9" i="9"/>
  <c r="C6" i="10" s="1"/>
  <c r="B202" i="16" l="1"/>
  <c r="D68" i="2"/>
  <c r="C48" i="2"/>
  <c r="C26" i="2"/>
  <c r="E13" i="16"/>
  <c r="D67" i="2"/>
  <c r="C47" i="2"/>
  <c r="C25" i="2"/>
  <c r="B141" i="2"/>
  <c r="C69" i="2"/>
  <c r="B49" i="2"/>
  <c r="B27" i="2"/>
  <c r="E11" i="16"/>
  <c r="D65" i="2"/>
  <c r="C46" i="2"/>
  <c r="C23" i="2"/>
  <c r="D10" i="16"/>
  <c r="C19" i="20"/>
  <c r="E10" i="20"/>
  <c r="C11" i="21"/>
  <c r="D11" i="21" s="1"/>
  <c r="D17" i="20"/>
  <c r="C10" i="21"/>
  <c r="D10" i="21" s="1"/>
  <c r="C17" i="20"/>
  <c r="E8" i="20"/>
  <c r="B24" i="20"/>
  <c r="B25" i="20" s="1"/>
  <c r="B21" i="20"/>
  <c r="B45" i="20"/>
  <c r="B32" i="20"/>
  <c r="B34" i="20" s="1"/>
  <c r="C50" i="19"/>
  <c r="C49" i="19"/>
  <c r="C48" i="19"/>
  <c r="C47" i="19"/>
  <c r="C52" i="19" s="1"/>
  <c r="B169" i="16"/>
  <c r="C22" i="19"/>
  <c r="B204" i="16"/>
  <c r="C9" i="19"/>
  <c r="C11" i="19" s="1"/>
  <c r="C77" i="17"/>
  <c r="C151" i="16"/>
  <c r="B80" i="16"/>
  <c r="C89" i="16"/>
  <c r="C127" i="16" s="1"/>
  <c r="E91" i="16"/>
  <c r="E92" i="16"/>
  <c r="E93" i="16"/>
  <c r="E94" i="16"/>
  <c r="E95" i="16"/>
  <c r="E97" i="16"/>
  <c r="E98" i="16"/>
  <c r="E99" i="16"/>
  <c r="E100" i="16"/>
  <c r="E90" i="16"/>
  <c r="E96" i="16"/>
  <c r="G112" i="16"/>
  <c r="G111" i="16"/>
  <c r="G110" i="16"/>
  <c r="G109" i="16"/>
  <c r="G108" i="16"/>
  <c r="G107" i="16"/>
  <c r="G106" i="16"/>
  <c r="G105" i="16"/>
  <c r="G104" i="16"/>
  <c r="G103" i="16"/>
  <c r="G102" i="16"/>
  <c r="G101" i="16"/>
  <c r="G128" i="16" s="1"/>
  <c r="C202" i="16" s="1"/>
  <c r="D202" i="16" s="1"/>
  <c r="E14" i="16"/>
  <c r="C33" i="16"/>
  <c r="C17" i="16"/>
  <c r="B34" i="16"/>
  <c r="B260" i="16"/>
  <c r="B218" i="16"/>
  <c r="C60" i="16"/>
  <c r="B62" i="16" s="1"/>
  <c r="B262" i="16"/>
  <c r="B220" i="16"/>
  <c r="B263" i="16"/>
  <c r="B221" i="16"/>
  <c r="B264" i="16"/>
  <c r="B222" i="16"/>
  <c r="B265" i="16"/>
  <c r="B223" i="16"/>
  <c r="B266" i="16"/>
  <c r="B224" i="16"/>
  <c r="B268" i="16"/>
  <c r="B226" i="16"/>
  <c r="B269" i="16"/>
  <c r="B227" i="16"/>
  <c r="B270" i="16"/>
  <c r="B228" i="16"/>
  <c r="B271" i="16"/>
  <c r="B229" i="16"/>
  <c r="B261" i="16"/>
  <c r="B219" i="16"/>
  <c r="B267" i="16"/>
  <c r="B225" i="16"/>
  <c r="E260" i="16"/>
  <c r="B251" i="16"/>
  <c r="D239" i="16"/>
  <c r="E261" i="16"/>
  <c r="D240" i="16"/>
  <c r="E263" i="16"/>
  <c r="D242" i="16"/>
  <c r="E262" i="16"/>
  <c r="D241" i="16"/>
  <c r="E264" i="16"/>
  <c r="D243" i="16"/>
  <c r="E265" i="16"/>
  <c r="D244" i="16"/>
  <c r="E266" i="16"/>
  <c r="D245" i="16"/>
  <c r="E267" i="16"/>
  <c r="D246" i="16"/>
  <c r="E268" i="16"/>
  <c r="D247" i="16"/>
  <c r="E270" i="16"/>
  <c r="D249" i="16"/>
  <c r="E271" i="16"/>
  <c r="D250" i="16"/>
  <c r="E269" i="16"/>
  <c r="D248" i="16"/>
  <c r="D13" i="9"/>
  <c r="D37" i="9"/>
  <c r="D5" i="10"/>
  <c r="F9" i="9"/>
  <c r="D6" i="10" s="1"/>
  <c r="C13" i="9"/>
  <c r="C37" i="9"/>
  <c r="C5" i="10"/>
  <c r="B14" i="9"/>
  <c r="B8" i="10" s="1"/>
  <c r="B38" i="9"/>
  <c r="B7" i="10"/>
  <c r="E13" i="9"/>
  <c r="B29" i="9"/>
  <c r="B36" i="16" l="1"/>
  <c r="B142" i="2"/>
  <c r="C70" i="2"/>
  <c r="B50" i="2"/>
  <c r="B28" i="2"/>
  <c r="B203" i="16"/>
  <c r="E68" i="2"/>
  <c r="F68" i="2" s="1"/>
  <c r="D48" i="2"/>
  <c r="E48" i="2" s="1"/>
  <c r="D26" i="2"/>
  <c r="B68" i="20"/>
  <c r="B16" i="21"/>
  <c r="D16" i="21" s="1"/>
  <c r="C31" i="20"/>
  <c r="C18" i="20"/>
  <c r="E17" i="20"/>
  <c r="B69" i="20"/>
  <c r="C17" i="21"/>
  <c r="D17" i="21" s="1"/>
  <c r="D31" i="20"/>
  <c r="D18" i="20"/>
  <c r="D20" i="20" s="1"/>
  <c r="C33" i="20"/>
  <c r="E19" i="20"/>
  <c r="C140" i="2"/>
  <c r="D64" i="2"/>
  <c r="C45" i="2"/>
  <c r="C22" i="2"/>
  <c r="D16" i="18"/>
  <c r="D160" i="16" s="1"/>
  <c r="D8" i="19"/>
  <c r="D76" i="17"/>
  <c r="D74" i="17"/>
  <c r="D152" i="16" s="1"/>
  <c r="B196" i="16"/>
  <c r="C31" i="16"/>
  <c r="B42" i="16" s="1"/>
  <c r="C76" i="16"/>
  <c r="C109" i="16" s="1"/>
  <c r="E109" i="16" s="1"/>
  <c r="C79" i="16"/>
  <c r="C112" i="16" s="1"/>
  <c r="E112" i="16" s="1"/>
  <c r="C78" i="16"/>
  <c r="C111" i="16" s="1"/>
  <c r="E111" i="16" s="1"/>
  <c r="C77" i="16"/>
  <c r="C110" i="16" s="1"/>
  <c r="E110" i="16" s="1"/>
  <c r="C75" i="16"/>
  <c r="C108" i="16" s="1"/>
  <c r="E108" i="16" s="1"/>
  <c r="C74" i="16"/>
  <c r="C107" i="16" s="1"/>
  <c r="E107" i="16" s="1"/>
  <c r="C73" i="16"/>
  <c r="C106" i="16" s="1"/>
  <c r="E106" i="16" s="1"/>
  <c r="C72" i="16"/>
  <c r="C105" i="16" s="1"/>
  <c r="E105" i="16" s="1"/>
  <c r="C71" i="16"/>
  <c r="C104" i="16" s="1"/>
  <c r="E104" i="16" s="1"/>
  <c r="C70" i="16"/>
  <c r="C103" i="16" s="1"/>
  <c r="E103" i="16" s="1"/>
  <c r="C69" i="16"/>
  <c r="C102" i="16" s="1"/>
  <c r="E102" i="16" s="1"/>
  <c r="C68" i="16"/>
  <c r="D12" i="16"/>
  <c r="E10" i="16"/>
  <c r="E65" i="2"/>
  <c r="F65" i="2" s="1"/>
  <c r="D46" i="2"/>
  <c r="E46" i="2" s="1"/>
  <c r="D23" i="2"/>
  <c r="E67" i="2"/>
  <c r="F67" i="2" s="1"/>
  <c r="D47" i="2"/>
  <c r="E47" i="2" s="1"/>
  <c r="D25" i="2"/>
  <c r="B38" i="20"/>
  <c r="B39" i="20" s="1"/>
  <c r="B35" i="20"/>
  <c r="B19" i="21"/>
  <c r="C18" i="21"/>
  <c r="B59" i="20"/>
  <c r="B46" i="20"/>
  <c r="B48" i="20" s="1"/>
  <c r="C59" i="19"/>
  <c r="C167" i="16"/>
  <c r="C54" i="19"/>
  <c r="B77" i="19" s="1"/>
  <c r="C53" i="19"/>
  <c r="C31" i="19"/>
  <c r="C30" i="19"/>
  <c r="C14" i="19"/>
  <c r="B133" i="16"/>
  <c r="C195" i="16"/>
  <c r="D195" i="16" s="1"/>
  <c r="D33" i="16"/>
  <c r="G124" i="16"/>
  <c r="G123" i="16"/>
  <c r="G122" i="16"/>
  <c r="G121" i="16"/>
  <c r="G120" i="16"/>
  <c r="G119" i="16"/>
  <c r="G118" i="16"/>
  <c r="G117" i="16"/>
  <c r="G116" i="16"/>
  <c r="G115" i="16"/>
  <c r="G114" i="16"/>
  <c r="G113" i="16"/>
  <c r="G129" i="16" s="1"/>
  <c r="C203" i="16" s="1"/>
  <c r="D203" i="16" s="1"/>
  <c r="H109" i="16"/>
  <c r="F109" i="16"/>
  <c r="H112" i="16"/>
  <c r="F112" i="16"/>
  <c r="H111" i="16"/>
  <c r="F111" i="16"/>
  <c r="H110" i="16"/>
  <c r="F110" i="16"/>
  <c r="H108" i="16"/>
  <c r="F108" i="16"/>
  <c r="H107" i="16"/>
  <c r="F107" i="16"/>
  <c r="H106" i="16"/>
  <c r="F106" i="16"/>
  <c r="H105" i="16"/>
  <c r="F105" i="16"/>
  <c r="H104" i="16"/>
  <c r="F104" i="16"/>
  <c r="H103" i="16"/>
  <c r="F103" i="16"/>
  <c r="H102" i="16"/>
  <c r="F102" i="16"/>
  <c r="H96" i="16"/>
  <c r="F96" i="16"/>
  <c r="H90" i="16"/>
  <c r="F90" i="16"/>
  <c r="H100" i="16"/>
  <c r="F100" i="16"/>
  <c r="H99" i="16"/>
  <c r="F99" i="16"/>
  <c r="H98" i="16"/>
  <c r="F98" i="16"/>
  <c r="H97" i="16"/>
  <c r="F97" i="16"/>
  <c r="H95" i="16"/>
  <c r="F95" i="16"/>
  <c r="H94" i="16"/>
  <c r="F94" i="16"/>
  <c r="H93" i="16"/>
  <c r="F93" i="16"/>
  <c r="H92" i="16"/>
  <c r="F92" i="16"/>
  <c r="H91" i="16"/>
  <c r="F91" i="16"/>
  <c r="E89" i="16"/>
  <c r="E127" i="16" s="1"/>
  <c r="C198" i="16" s="1"/>
  <c r="D198" i="16" s="1"/>
  <c r="E272" i="16"/>
  <c r="B277" i="16" s="1"/>
  <c r="B272" i="16"/>
  <c r="B275" i="16" s="1"/>
  <c r="B253" i="16"/>
  <c r="D225" i="16"/>
  <c r="D219" i="16"/>
  <c r="D229" i="16"/>
  <c r="D228" i="16"/>
  <c r="D227" i="16"/>
  <c r="D226" i="16"/>
  <c r="D224" i="16"/>
  <c r="D223" i="16"/>
  <c r="D222" i="16"/>
  <c r="D221" i="16"/>
  <c r="D220" i="16"/>
  <c r="B230" i="16"/>
  <c r="D218" i="16"/>
  <c r="C14" i="9"/>
  <c r="C8" i="10" s="1"/>
  <c r="C38" i="9"/>
  <c r="C7" i="10"/>
  <c r="C29" i="9"/>
  <c r="D14" i="9"/>
  <c r="D8" i="10" s="1"/>
  <c r="D38" i="9"/>
  <c r="D7" i="10"/>
  <c r="F13" i="9"/>
  <c r="D29" i="9"/>
  <c r="B39" i="9"/>
  <c r="E29" i="9"/>
  <c r="B33" i="9"/>
  <c r="B30" i="9"/>
  <c r="B12" i="10" s="1"/>
  <c r="B143" i="2" l="1"/>
  <c r="C72" i="2"/>
  <c r="B52" i="2"/>
  <c r="B30" i="2"/>
  <c r="B75" i="20"/>
  <c r="B83" i="2"/>
  <c r="D140" i="2"/>
  <c r="B75" i="2"/>
  <c r="E64" i="2"/>
  <c r="F64" i="2" s="1"/>
  <c r="B55" i="2"/>
  <c r="D45" i="2"/>
  <c r="E45" i="2" s="1"/>
  <c r="B36" i="2"/>
  <c r="D22" i="2"/>
  <c r="B13" i="2"/>
  <c r="E16" i="18"/>
  <c r="E8" i="19"/>
  <c r="E76" i="17"/>
  <c r="E74" i="17"/>
  <c r="B197" i="16"/>
  <c r="D31" i="16"/>
  <c r="B43" i="16" s="1"/>
  <c r="D73" i="16"/>
  <c r="C118" i="16" s="1"/>
  <c r="E118" i="16" s="1"/>
  <c r="D79" i="16"/>
  <c r="C124" i="16" s="1"/>
  <c r="E124" i="16" s="1"/>
  <c r="D78" i="16"/>
  <c r="C123" i="16" s="1"/>
  <c r="E123" i="16" s="1"/>
  <c r="D77" i="16"/>
  <c r="C122" i="16" s="1"/>
  <c r="E122" i="16" s="1"/>
  <c r="D76" i="16"/>
  <c r="C121" i="16" s="1"/>
  <c r="E121" i="16" s="1"/>
  <c r="D75" i="16"/>
  <c r="C120" i="16" s="1"/>
  <c r="E120" i="16" s="1"/>
  <c r="D74" i="16"/>
  <c r="C119" i="16" s="1"/>
  <c r="E119" i="16" s="1"/>
  <c r="D72" i="16"/>
  <c r="C117" i="16" s="1"/>
  <c r="E117" i="16" s="1"/>
  <c r="D71" i="16"/>
  <c r="C116" i="16" s="1"/>
  <c r="E116" i="16" s="1"/>
  <c r="D70" i="16"/>
  <c r="C115" i="16" s="1"/>
  <c r="E115" i="16" s="1"/>
  <c r="D69" i="16"/>
  <c r="C114" i="16" s="1"/>
  <c r="E114" i="16" s="1"/>
  <c r="D68" i="16"/>
  <c r="E12" i="16"/>
  <c r="B199" i="16"/>
  <c r="D66" i="2"/>
  <c r="C24" i="2"/>
  <c r="D16" i="16"/>
  <c r="C32" i="16"/>
  <c r="C80" i="16"/>
  <c r="B82" i="16" s="1"/>
  <c r="C101" i="16"/>
  <c r="D151" i="16"/>
  <c r="D77" i="17"/>
  <c r="D50" i="19"/>
  <c r="D49" i="19"/>
  <c r="D48" i="19"/>
  <c r="D47" i="19"/>
  <c r="D52" i="19" s="1"/>
  <c r="C47" i="20"/>
  <c r="E47" i="20" s="1"/>
  <c r="E33" i="20"/>
  <c r="D24" i="20"/>
  <c r="D25" i="20" s="1"/>
  <c r="D21" i="20"/>
  <c r="D45" i="20"/>
  <c r="D32" i="20"/>
  <c r="D34" i="20" s="1"/>
  <c r="C20" i="20"/>
  <c r="E18" i="20"/>
  <c r="C45" i="20"/>
  <c r="C32" i="20"/>
  <c r="E31" i="20"/>
  <c r="B63" i="20"/>
  <c r="B60" i="20"/>
  <c r="B52" i="20"/>
  <c r="B53" i="20" s="1"/>
  <c r="B62" i="20" s="1"/>
  <c r="B49" i="20"/>
  <c r="B61" i="20" s="1"/>
  <c r="D251" i="16"/>
  <c r="C21" i="21"/>
  <c r="D21" i="21" s="1"/>
  <c r="C23" i="19"/>
  <c r="B174" i="16"/>
  <c r="C168" i="16"/>
  <c r="C174" i="16" s="1"/>
  <c r="B67" i="19"/>
  <c r="C60" i="19"/>
  <c r="C62" i="19" s="1"/>
  <c r="B76" i="19" s="1"/>
  <c r="C29" i="19"/>
  <c r="C16" i="19"/>
  <c r="H89" i="16"/>
  <c r="H127" i="16" s="1"/>
  <c r="F89" i="16"/>
  <c r="F127" i="16" s="1"/>
  <c r="I91" i="16"/>
  <c r="J91" i="16" s="1"/>
  <c r="K91" i="16" s="1"/>
  <c r="I92" i="16"/>
  <c r="J92" i="16" s="1"/>
  <c r="K92" i="16" s="1"/>
  <c r="I93" i="16"/>
  <c r="J93" i="16" s="1"/>
  <c r="K93" i="16" s="1"/>
  <c r="I94" i="16"/>
  <c r="J94" i="16" s="1"/>
  <c r="K94" i="16" s="1"/>
  <c r="I95" i="16"/>
  <c r="J95" i="16" s="1"/>
  <c r="K95" i="16" s="1"/>
  <c r="I97" i="16"/>
  <c r="J97" i="16" s="1"/>
  <c r="K97" i="16" s="1"/>
  <c r="I98" i="16"/>
  <c r="J98" i="16" s="1"/>
  <c r="K98" i="16" s="1"/>
  <c r="I99" i="16"/>
  <c r="J99" i="16" s="1"/>
  <c r="K99" i="16" s="1"/>
  <c r="I100" i="16"/>
  <c r="J100" i="16" s="1"/>
  <c r="K100" i="16" s="1"/>
  <c r="I90" i="16"/>
  <c r="J90" i="16" s="1"/>
  <c r="K90" i="16" s="1"/>
  <c r="I96" i="16"/>
  <c r="J96" i="16" s="1"/>
  <c r="K96" i="16" s="1"/>
  <c r="I102" i="16"/>
  <c r="J102" i="16" s="1"/>
  <c r="K102" i="16" s="1"/>
  <c r="I103" i="16"/>
  <c r="J103" i="16" s="1"/>
  <c r="K103" i="16" s="1"/>
  <c r="I104" i="16"/>
  <c r="J104" i="16" s="1"/>
  <c r="K104" i="16" s="1"/>
  <c r="I105" i="16"/>
  <c r="J105" i="16" s="1"/>
  <c r="K105" i="16" s="1"/>
  <c r="I106" i="16"/>
  <c r="J106" i="16" s="1"/>
  <c r="K106" i="16" s="1"/>
  <c r="I107" i="16"/>
  <c r="J107" i="16" s="1"/>
  <c r="K107" i="16" s="1"/>
  <c r="I108" i="16"/>
  <c r="J108" i="16" s="1"/>
  <c r="K108" i="16" s="1"/>
  <c r="I110" i="16"/>
  <c r="J110" i="16" s="1"/>
  <c r="K110" i="16" s="1"/>
  <c r="I111" i="16"/>
  <c r="J111" i="16" s="1"/>
  <c r="K111" i="16" s="1"/>
  <c r="I112" i="16"/>
  <c r="J112" i="16" s="1"/>
  <c r="K112" i="16" s="1"/>
  <c r="I109" i="16"/>
  <c r="J109" i="16" s="1"/>
  <c r="K109" i="16" s="1"/>
  <c r="H118" i="16"/>
  <c r="F118" i="16"/>
  <c r="H124" i="16"/>
  <c r="F124" i="16"/>
  <c r="H123" i="16"/>
  <c r="F123" i="16"/>
  <c r="H122" i="16"/>
  <c r="F122" i="16"/>
  <c r="H121" i="16"/>
  <c r="F121" i="16"/>
  <c r="H120" i="16"/>
  <c r="F120" i="16"/>
  <c r="H119" i="16"/>
  <c r="F119" i="16"/>
  <c r="H117" i="16"/>
  <c r="F117" i="16"/>
  <c r="H116" i="16"/>
  <c r="F116" i="16"/>
  <c r="H115" i="16"/>
  <c r="F115" i="16"/>
  <c r="H114" i="16"/>
  <c r="F114" i="16"/>
  <c r="D260" i="16"/>
  <c r="F239" i="16"/>
  <c r="D230" i="16"/>
  <c r="B232" i="16" s="1"/>
  <c r="E218" i="16"/>
  <c r="D262" i="16"/>
  <c r="F241" i="16"/>
  <c r="E220" i="16"/>
  <c r="D263" i="16"/>
  <c r="F242" i="16"/>
  <c r="E221" i="16"/>
  <c r="D264" i="16"/>
  <c r="F243" i="16"/>
  <c r="E222" i="16"/>
  <c r="D265" i="16"/>
  <c r="F244" i="16"/>
  <c r="E223" i="16"/>
  <c r="D266" i="16"/>
  <c r="F245" i="16"/>
  <c r="E224" i="16"/>
  <c r="D268" i="16"/>
  <c r="F247" i="16"/>
  <c r="E226" i="16"/>
  <c r="D269" i="16"/>
  <c r="F248" i="16"/>
  <c r="E227" i="16"/>
  <c r="D270" i="16"/>
  <c r="F249" i="16"/>
  <c r="E228" i="16"/>
  <c r="D271" i="16"/>
  <c r="F250" i="16"/>
  <c r="E229" i="16"/>
  <c r="D261" i="16"/>
  <c r="F240" i="16"/>
  <c r="E219" i="16"/>
  <c r="D267" i="16"/>
  <c r="F246" i="16"/>
  <c r="E225" i="16"/>
  <c r="D39" i="9"/>
  <c r="D11" i="10"/>
  <c r="F29" i="9"/>
  <c r="D33" i="9"/>
  <c r="D30" i="9"/>
  <c r="D12" i="10" s="1"/>
  <c r="C39" i="9"/>
  <c r="C11" i="10"/>
  <c r="C33" i="9"/>
  <c r="C30" i="9"/>
  <c r="C12" i="10" s="1"/>
  <c r="B40" i="9"/>
  <c r="B13" i="10"/>
  <c r="E33" i="9"/>
  <c r="B34" i="9"/>
  <c r="B14" i="10" s="1"/>
  <c r="D75" i="20" l="1"/>
  <c r="D83" i="2"/>
  <c r="C75" i="20"/>
  <c r="C83" i="2"/>
  <c r="C34" i="20"/>
  <c r="E32" i="20"/>
  <c r="B70" i="20"/>
  <c r="B18" i="21"/>
  <c r="D18" i="21" s="1"/>
  <c r="C59" i="20"/>
  <c r="C46" i="20"/>
  <c r="E45" i="20"/>
  <c r="C24" i="20"/>
  <c r="C21" i="20"/>
  <c r="E21" i="20" s="1"/>
  <c r="E20" i="20"/>
  <c r="D38" i="20"/>
  <c r="D39" i="20" s="1"/>
  <c r="D35" i="20"/>
  <c r="B71" i="20"/>
  <c r="C19" i="21"/>
  <c r="D19" i="21" s="1"/>
  <c r="D59" i="20"/>
  <c r="D46" i="20"/>
  <c r="D48" i="20" s="1"/>
  <c r="D54" i="19"/>
  <c r="D53" i="19"/>
  <c r="C128" i="16"/>
  <c r="E101" i="16"/>
  <c r="C141" i="2"/>
  <c r="D69" i="2"/>
  <c r="C49" i="2"/>
  <c r="C27" i="2"/>
  <c r="D17" i="16"/>
  <c r="B205" i="16"/>
  <c r="D9" i="19"/>
  <c r="D11" i="19" s="1"/>
  <c r="C34" i="16"/>
  <c r="D18" i="16"/>
  <c r="B200" i="16"/>
  <c r="E66" i="2"/>
  <c r="F66" i="2" s="1"/>
  <c r="D24" i="2"/>
  <c r="E16" i="16"/>
  <c r="D32" i="16"/>
  <c r="D80" i="16"/>
  <c r="B83" i="16" s="1"/>
  <c r="C113" i="16"/>
  <c r="C85" i="17"/>
  <c r="E152" i="16"/>
  <c r="E151" i="16"/>
  <c r="C86" i="17"/>
  <c r="E77" i="17"/>
  <c r="E50" i="19"/>
  <c r="E49" i="19"/>
  <c r="E48" i="19"/>
  <c r="E47" i="19"/>
  <c r="E52" i="19" s="1"/>
  <c r="C41" i="18"/>
  <c r="E160" i="16"/>
  <c r="D174" i="16"/>
  <c r="B84" i="19"/>
  <c r="C24" i="19"/>
  <c r="B137" i="16"/>
  <c r="C204" i="16"/>
  <c r="D204" i="16" s="1"/>
  <c r="I114" i="16"/>
  <c r="J114" i="16" s="1"/>
  <c r="K114" i="16" s="1"/>
  <c r="I115" i="16"/>
  <c r="J115" i="16" s="1"/>
  <c r="K115" i="16" s="1"/>
  <c r="I116" i="16"/>
  <c r="J116" i="16" s="1"/>
  <c r="K116" i="16" s="1"/>
  <c r="I117" i="16"/>
  <c r="J117" i="16" s="1"/>
  <c r="K117" i="16" s="1"/>
  <c r="I119" i="16"/>
  <c r="J119" i="16" s="1"/>
  <c r="K119" i="16" s="1"/>
  <c r="I120" i="16"/>
  <c r="J120" i="16" s="1"/>
  <c r="K120" i="16" s="1"/>
  <c r="I121" i="16"/>
  <c r="J121" i="16" s="1"/>
  <c r="K121" i="16" s="1"/>
  <c r="I122" i="16"/>
  <c r="J122" i="16" s="1"/>
  <c r="K122" i="16" s="1"/>
  <c r="I123" i="16"/>
  <c r="J123" i="16" s="1"/>
  <c r="K123" i="16" s="1"/>
  <c r="I124" i="16"/>
  <c r="J124" i="16" s="1"/>
  <c r="K124" i="16" s="1"/>
  <c r="I118" i="16"/>
  <c r="J118" i="16" s="1"/>
  <c r="K118" i="16" s="1"/>
  <c r="I89" i="16"/>
  <c r="D272" i="16"/>
  <c r="B276" i="16" s="1"/>
  <c r="C267" i="16"/>
  <c r="F225" i="16"/>
  <c r="F267" i="16"/>
  <c r="G246" i="16"/>
  <c r="C261" i="16"/>
  <c r="F219" i="16"/>
  <c r="F261" i="16"/>
  <c r="G240" i="16"/>
  <c r="C271" i="16"/>
  <c r="F229" i="16"/>
  <c r="F271" i="16"/>
  <c r="G250" i="16"/>
  <c r="C270" i="16"/>
  <c r="F228" i="16"/>
  <c r="F270" i="16"/>
  <c r="G249" i="16"/>
  <c r="C269" i="16"/>
  <c r="F227" i="16"/>
  <c r="F269" i="16"/>
  <c r="G248" i="16"/>
  <c r="C268" i="16"/>
  <c r="F226" i="16"/>
  <c r="F268" i="16"/>
  <c r="G247" i="16"/>
  <c r="C266" i="16"/>
  <c r="F224" i="16"/>
  <c r="F266" i="16"/>
  <c r="G245" i="16"/>
  <c r="C265" i="16"/>
  <c r="F223" i="16"/>
  <c r="F265" i="16"/>
  <c r="G244" i="16"/>
  <c r="C264" i="16"/>
  <c r="F222" i="16"/>
  <c r="F264" i="16"/>
  <c r="G243" i="16"/>
  <c r="C263" i="16"/>
  <c r="F221" i="16"/>
  <c r="F263" i="16"/>
  <c r="G242" i="16"/>
  <c r="C262" i="16"/>
  <c r="F220" i="16"/>
  <c r="F262" i="16"/>
  <c r="G241" i="16"/>
  <c r="C260" i="16"/>
  <c r="C272" i="16" s="1"/>
  <c r="E230" i="16"/>
  <c r="F218" i="16"/>
  <c r="F260" i="16"/>
  <c r="G239" i="16"/>
  <c r="F251" i="16"/>
  <c r="C40" i="9"/>
  <c r="C13" i="10"/>
  <c r="C34" i="9"/>
  <c r="C14" i="10" s="1"/>
  <c r="D40" i="9"/>
  <c r="D13" i="10"/>
  <c r="F33" i="9"/>
  <c r="D34" i="9"/>
  <c r="D14" i="10" s="1"/>
  <c r="B80" i="19" l="1"/>
  <c r="B144" i="2"/>
  <c r="C73" i="2"/>
  <c r="B53" i="2"/>
  <c r="B31" i="2"/>
  <c r="B24" i="21"/>
  <c r="E54" i="19"/>
  <c r="C77" i="19" s="1"/>
  <c r="E53" i="19"/>
  <c r="C129" i="16"/>
  <c r="E113" i="16"/>
  <c r="D141" i="2"/>
  <c r="B76" i="2"/>
  <c r="E69" i="2"/>
  <c r="F69" i="2" s="1"/>
  <c r="D49" i="2"/>
  <c r="E49" i="2" s="1"/>
  <c r="D27" i="2"/>
  <c r="B14" i="2"/>
  <c r="E17" i="16"/>
  <c r="B79" i="2"/>
  <c r="B206" i="16"/>
  <c r="E9" i="19"/>
  <c r="E11" i="19" s="1"/>
  <c r="D34" i="16"/>
  <c r="E18" i="16"/>
  <c r="D71" i="2"/>
  <c r="C51" i="2"/>
  <c r="C29" i="2"/>
  <c r="C35" i="16"/>
  <c r="D19" i="16"/>
  <c r="C37" i="16" s="1"/>
  <c r="B208" i="16"/>
  <c r="D59" i="19"/>
  <c r="D167" i="16"/>
  <c r="D31" i="19"/>
  <c r="D30" i="19"/>
  <c r="D14" i="19"/>
  <c r="C36" i="16"/>
  <c r="C142" i="2"/>
  <c r="D70" i="2"/>
  <c r="C50" i="2"/>
  <c r="C28" i="2"/>
  <c r="E128" i="16"/>
  <c r="C199" i="16" s="1"/>
  <c r="D199" i="16" s="1"/>
  <c r="H101" i="16"/>
  <c r="F101" i="16"/>
  <c r="F128" i="16" s="1"/>
  <c r="B134" i="16"/>
  <c r="C196" i="16"/>
  <c r="D196" i="16" s="1"/>
  <c r="B68" i="19"/>
  <c r="D60" i="19"/>
  <c r="D62" i="19" s="1"/>
  <c r="D63" i="20"/>
  <c r="D60" i="20"/>
  <c r="D52" i="20"/>
  <c r="D53" i="20" s="1"/>
  <c r="D62" i="20" s="1"/>
  <c r="D49" i="20"/>
  <c r="D61" i="20" s="1"/>
  <c r="B77" i="20"/>
  <c r="C90" i="2"/>
  <c r="B85" i="2"/>
  <c r="E85" i="2" s="1"/>
  <c r="C25" i="20"/>
  <c r="E25" i="20" s="1"/>
  <c r="E24" i="20"/>
  <c r="C48" i="20"/>
  <c r="E46" i="20"/>
  <c r="B101" i="2"/>
  <c r="B90" i="2"/>
  <c r="D90" i="2" s="1"/>
  <c r="B84" i="2"/>
  <c r="E84" i="2" s="1"/>
  <c r="B64" i="20"/>
  <c r="F59" i="20"/>
  <c r="E59" i="20"/>
  <c r="B76" i="20"/>
  <c r="D23" i="21"/>
  <c r="C38" i="20"/>
  <c r="C35" i="20"/>
  <c r="E35" i="20" s="1"/>
  <c r="E34" i="20"/>
  <c r="D22" i="19"/>
  <c r="C84" i="19"/>
  <c r="B75" i="19"/>
  <c r="C169" i="16"/>
  <c r="C24" i="21" s="1"/>
  <c r="C117" i="2" s="1"/>
  <c r="D84" i="19"/>
  <c r="J89" i="16"/>
  <c r="I127" i="16"/>
  <c r="F272" i="16"/>
  <c r="B278" i="16" s="1"/>
  <c r="G260" i="16"/>
  <c r="G262" i="16"/>
  <c r="H262" i="16" s="1"/>
  <c r="I262" i="16" s="1"/>
  <c r="G263" i="16"/>
  <c r="H263" i="16" s="1"/>
  <c r="I263" i="16" s="1"/>
  <c r="G264" i="16"/>
  <c r="H264" i="16" s="1"/>
  <c r="I264" i="16" s="1"/>
  <c r="G265" i="16"/>
  <c r="H265" i="16" s="1"/>
  <c r="I265" i="16" s="1"/>
  <c r="G266" i="16"/>
  <c r="H266" i="16" s="1"/>
  <c r="I266" i="16" s="1"/>
  <c r="G268" i="16"/>
  <c r="H268" i="16" s="1"/>
  <c r="I268" i="16" s="1"/>
  <c r="G269" i="16"/>
  <c r="H269" i="16" s="1"/>
  <c r="I269" i="16" s="1"/>
  <c r="G270" i="16"/>
  <c r="H270" i="16" s="1"/>
  <c r="I270" i="16" s="1"/>
  <c r="G271" i="16"/>
  <c r="H271" i="16" s="1"/>
  <c r="I271" i="16" s="1"/>
  <c r="G261" i="16"/>
  <c r="H261" i="16" s="1"/>
  <c r="I261" i="16" s="1"/>
  <c r="G267" i="16"/>
  <c r="H267" i="16" s="1"/>
  <c r="I267" i="16" s="1"/>
  <c r="B254" i="16"/>
  <c r="G251" i="16"/>
  <c r="B233" i="16"/>
  <c r="F230" i="16"/>
  <c r="C39" i="20" l="1"/>
  <c r="E39" i="20" s="1"/>
  <c r="E38" i="20"/>
  <c r="C63" i="20"/>
  <c r="C60" i="20"/>
  <c r="C52" i="20"/>
  <c r="C49" i="20"/>
  <c r="E48" i="20"/>
  <c r="D77" i="20"/>
  <c r="C92" i="2"/>
  <c r="D85" i="2"/>
  <c r="F85" i="2" s="1"/>
  <c r="C77" i="20"/>
  <c r="C91" i="2"/>
  <c r="C85" i="2"/>
  <c r="H128" i="16"/>
  <c r="I101" i="16"/>
  <c r="C143" i="2"/>
  <c r="D72" i="2"/>
  <c r="C52" i="2"/>
  <c r="C30" i="2"/>
  <c r="D23" i="19"/>
  <c r="B175" i="16"/>
  <c r="D168" i="16"/>
  <c r="C175" i="16" s="1"/>
  <c r="D29" i="19"/>
  <c r="D16" i="19"/>
  <c r="B209" i="16"/>
  <c r="B77" i="2"/>
  <c r="E71" i="2"/>
  <c r="F71" i="2" s="1"/>
  <c r="D51" i="2"/>
  <c r="D29" i="2"/>
  <c r="E19" i="16"/>
  <c r="D37" i="16" s="1"/>
  <c r="D35" i="16"/>
  <c r="E59" i="19"/>
  <c r="E167" i="16"/>
  <c r="C37" i="19"/>
  <c r="E31" i="19"/>
  <c r="E30" i="19"/>
  <c r="E14" i="19"/>
  <c r="D36" i="16"/>
  <c r="D142" i="2"/>
  <c r="B78" i="2"/>
  <c r="E70" i="2"/>
  <c r="F70" i="2" s="1"/>
  <c r="B56" i="2"/>
  <c r="D50" i="2"/>
  <c r="E50" i="2" s="1"/>
  <c r="B37" i="2"/>
  <c r="D28" i="2"/>
  <c r="B58" i="2"/>
  <c r="E129" i="16"/>
  <c r="C200" i="16" s="1"/>
  <c r="D200" i="16" s="1"/>
  <c r="H113" i="16"/>
  <c r="F113" i="16"/>
  <c r="F129" i="16" s="1"/>
  <c r="B135" i="16"/>
  <c r="C197" i="16"/>
  <c r="D197" i="16" s="1"/>
  <c r="B69" i="19"/>
  <c r="E60" i="19"/>
  <c r="D24" i="21"/>
  <c r="D117" i="2" s="1"/>
  <c r="B117" i="2"/>
  <c r="D24" i="19"/>
  <c r="B85" i="19"/>
  <c r="K89" i="16"/>
  <c r="J127" i="16"/>
  <c r="C207" i="16" s="1"/>
  <c r="G272" i="16"/>
  <c r="H260" i="16"/>
  <c r="C144" i="2" l="1"/>
  <c r="D73" i="2"/>
  <c r="C53" i="2"/>
  <c r="C31" i="2"/>
  <c r="B25" i="21"/>
  <c r="H129" i="16"/>
  <c r="I113" i="16"/>
  <c r="D143" i="2"/>
  <c r="E72" i="2"/>
  <c r="F72" i="2" s="1"/>
  <c r="B57" i="2"/>
  <c r="D52" i="2"/>
  <c r="E52" i="2" s="1"/>
  <c r="B38" i="2"/>
  <c r="D30" i="2"/>
  <c r="B15" i="2"/>
  <c r="E23" i="19"/>
  <c r="B176" i="16"/>
  <c r="E168" i="16"/>
  <c r="C176" i="16" s="1"/>
  <c r="C39" i="19"/>
  <c r="E29" i="19"/>
  <c r="E16" i="19"/>
  <c r="C40" i="19" s="1"/>
  <c r="E62" i="19"/>
  <c r="C76" i="19" s="1"/>
  <c r="D175" i="16"/>
  <c r="J101" i="16"/>
  <c r="I128" i="16"/>
  <c r="B138" i="16"/>
  <c r="C205" i="16"/>
  <c r="D205" i="16" s="1"/>
  <c r="B72" i="20"/>
  <c r="C61" i="20"/>
  <c r="E49" i="20"/>
  <c r="C53" i="20"/>
  <c r="E52" i="20"/>
  <c r="B91" i="2"/>
  <c r="D91" i="2" s="1"/>
  <c r="C84" i="2"/>
  <c r="F60" i="20"/>
  <c r="E60" i="20"/>
  <c r="C76" i="20"/>
  <c r="B65" i="20"/>
  <c r="E63" i="20"/>
  <c r="F63" i="20"/>
  <c r="C85" i="19"/>
  <c r="D85" i="19" s="1"/>
  <c r="D169" i="16"/>
  <c r="C25" i="21" s="1"/>
  <c r="C118" i="2" s="1"/>
  <c r="E22" i="19"/>
  <c r="H272" i="16"/>
  <c r="C18" i="16" s="1"/>
  <c r="I260" i="16"/>
  <c r="C71" i="2" l="1"/>
  <c r="B51" i="2"/>
  <c r="E51" i="2" s="1"/>
  <c r="B29" i="2"/>
  <c r="C62" i="20"/>
  <c r="E53" i="20"/>
  <c r="F61" i="20"/>
  <c r="E61" i="20"/>
  <c r="K101" i="16"/>
  <c r="J128" i="16"/>
  <c r="D176" i="16"/>
  <c r="J113" i="16"/>
  <c r="I129" i="16"/>
  <c r="B139" i="16"/>
  <c r="C206" i="16"/>
  <c r="D206" i="16" s="1"/>
  <c r="D25" i="21"/>
  <c r="D118" i="2" s="1"/>
  <c r="B118" i="2"/>
  <c r="E24" i="19"/>
  <c r="B86" i="19"/>
  <c r="B141" i="16"/>
  <c r="B207" i="16"/>
  <c r="D207" i="16" s="1"/>
  <c r="I272" i="16"/>
  <c r="C80" i="19" l="1"/>
  <c r="D144" i="2"/>
  <c r="E73" i="2"/>
  <c r="F73" i="2" s="1"/>
  <c r="D53" i="2"/>
  <c r="E53" i="2" s="1"/>
  <c r="D31" i="2"/>
  <c r="B16" i="2"/>
  <c r="B26" i="21"/>
  <c r="K113" i="16"/>
  <c r="J129" i="16"/>
  <c r="B142" i="16"/>
  <c r="C208" i="16"/>
  <c r="D208" i="16" s="1"/>
  <c r="B102" i="2"/>
  <c r="B92" i="2"/>
  <c r="D92" i="2" s="1"/>
  <c r="D84" i="2"/>
  <c r="F84" i="2" s="1"/>
  <c r="F62" i="20"/>
  <c r="E62" i="20"/>
  <c r="D76" i="20"/>
  <c r="B79" i="20" s="1"/>
  <c r="C75" i="19"/>
  <c r="E169" i="16"/>
  <c r="C26" i="21" s="1"/>
  <c r="C119" i="2" s="1"/>
  <c r="C86" i="19"/>
  <c r="D86" i="19" s="1"/>
  <c r="C19" i="16"/>
  <c r="B37" i="16" s="1"/>
  <c r="B35" i="16"/>
  <c r="B106" i="2"/>
  <c r="B10" i="2"/>
  <c r="B39" i="2" s="1"/>
  <c r="B107" i="2" s="1"/>
  <c r="B154" i="2"/>
  <c r="B143" i="16" l="1"/>
  <c r="C209" i="16"/>
  <c r="D209" i="16" s="1"/>
  <c r="B213" i="16" s="1"/>
  <c r="D213" i="16" s="1"/>
  <c r="D26" i="21"/>
  <c r="D119" i="2" s="1"/>
  <c r="B119" i="2"/>
  <c r="B134" i="2"/>
</calcChain>
</file>

<file path=xl/sharedStrings.xml><?xml version="1.0" encoding="utf-8"?>
<sst xmlns="http://schemas.openxmlformats.org/spreadsheetml/2006/main" count="5818" uniqueCount="577">
  <si>
    <t>CASCADE OUTDOOR MANUFACTURING</t>
  </si>
  <si>
    <t>Corporate FP&amp;A Budgeting &amp; Forecasting Model</t>
  </si>
  <si>
    <t>Purpose</t>
  </si>
  <si>
    <t>Integrated financial planning model supporting budgeting, forecasting, scenario analysis, and management decision-making.</t>
  </si>
  <si>
    <t>Historical Period</t>
  </si>
  <si>
    <t>FY2023–FY2025</t>
  </si>
  <si>
    <t>Planning Period</t>
  </si>
  <si>
    <t>FY2026–FY2028</t>
  </si>
  <si>
    <t>Primary Tool</t>
  </si>
  <si>
    <t>Microsoft Excel for the Web</t>
  </si>
  <si>
    <t>Supporting Tool</t>
  </si>
  <si>
    <t>Power BI Desktop</t>
  </si>
  <si>
    <t>Model Status</t>
  </si>
  <si>
    <t>In Development</t>
  </si>
  <si>
    <t>Prepared for</t>
  </si>
  <si>
    <t>FP&amp;A / Financial Business Intelligence Analysis</t>
  </si>
  <si>
    <t>Cascade Outdoor Manufacturing Control Panel</t>
  </si>
  <si>
    <t>Company</t>
  </si>
  <si>
    <t>Cascade Outdoor Manufacturing</t>
  </si>
  <si>
    <t>Historical Start</t>
  </si>
  <si>
    <t>Historical End</t>
  </si>
  <si>
    <t>Forecast Start</t>
  </si>
  <si>
    <t>Forecast End</t>
  </si>
  <si>
    <t>Model QA Status</t>
  </si>
  <si>
    <t>Active Forecast Scenario</t>
  </si>
  <si>
    <t>Forecast Period</t>
  </si>
  <si>
    <t>2026–2028</t>
  </si>
  <si>
    <t>2028 Base Case Revenue</t>
  </si>
  <si>
    <t>2028 Base Case Operating Income</t>
  </si>
  <si>
    <t>2028 Base Case Free Cash Flow</t>
  </si>
  <si>
    <t>2028 Ending Cash</t>
  </si>
  <si>
    <t>Management Forecast Summary</t>
  </si>
  <si>
    <t>Metric</t>
  </si>
  <si>
    <t>2026 Forecast</t>
  </si>
  <si>
    <t>2027 Forecast</t>
  </si>
  <si>
    <t>2028 Forecast</t>
  </si>
  <si>
    <t>Revenue</t>
  </si>
  <si>
    <t>Revenue Growth</t>
  </si>
  <si>
    <t>Gross Profit</t>
  </si>
  <si>
    <t>Gross Margin</t>
  </si>
  <si>
    <t>Operating Expenses</t>
  </si>
  <si>
    <t>Operating Income</t>
  </si>
  <si>
    <t>Operating Margin</t>
  </si>
  <si>
    <t>Net Income</t>
  </si>
  <si>
    <t>Free Cash Flow</t>
  </si>
  <si>
    <t>Ending Cash</t>
  </si>
  <si>
    <t>Total Headcount</t>
  </si>
  <si>
    <t>Employment Cost</t>
  </si>
  <si>
    <t>Capital Expenditures</t>
  </si>
  <si>
    <t>Three-Year Revenue CAGR</t>
  </si>
  <si>
    <t>Operating Margin Change</t>
  </si>
  <si>
    <t>2026–2028 Free Cash Flow Growth</t>
  </si>
  <si>
    <t>Management Reporting Status</t>
  </si>
  <si>
    <t>Forecast Driver Analysis</t>
  </si>
  <si>
    <t>2026–2028 Change</t>
  </si>
  <si>
    <t>Revenue CAGR</t>
  </si>
  <si>
    <t>Operating Margin Expansion</t>
  </si>
  <si>
    <t>Free Cash Flow CAGR</t>
  </si>
  <si>
    <t>Management Interpretation</t>
  </si>
  <si>
    <t>Historical-to-Forecast Variance Analysis</t>
  </si>
  <si>
    <t>2025 Actual</t>
  </si>
  <si>
    <t>2025–2028 Change</t>
  </si>
  <si>
    <t>2025–2028 Revenue Growth</t>
  </si>
  <si>
    <t>2025–2028 Operating Income Growth</t>
  </si>
  <si>
    <t>2025–2028 Net Income Growth</t>
  </si>
  <si>
    <t>Scenario Analysis</t>
  </si>
  <si>
    <t>Scenario</t>
  </si>
  <si>
    <t>2028 Revenue</t>
  </si>
  <si>
    <t>2028 Operating Income</t>
  </si>
  <si>
    <t>2028 Free Cash Flow</t>
  </si>
  <si>
    <t>Revenue vs Base</t>
  </si>
  <si>
    <t>FCF vs Base</t>
  </si>
  <si>
    <t>Base Case</t>
  </si>
  <si>
    <t>Best Case</t>
  </si>
  <si>
    <t>Worst Case</t>
  </si>
  <si>
    <t>Scenario Range Analysis</t>
  </si>
  <si>
    <t>Best-to-Worst-Range</t>
  </si>
  <si>
    <t>Revenue Risk</t>
  </si>
  <si>
    <t>The 2028 revenue range demonstrates the sensitivity of long-term results to changes in the revenue growth assumption.</t>
  </si>
  <si>
    <t>Profitability Risk</t>
  </si>
  <si>
    <t>Gross margin and operating expense assumptions create additional upside or downside beyond revenue growth, resulting in a meaningful range of operating income outcomes.</t>
  </si>
  <si>
    <t>Cash Flow Risk</t>
  </si>
  <si>
    <t>Free cash flow remains positive across all scenarios, but weaker growth and margin performance reduce the cash available for reinvestment and other strategic uses.</t>
  </si>
  <si>
    <t>Management Focus</t>
  </si>
  <si>
    <t>Management should prioritize sustainable revenue growth, gross margin protection, and disciplined operating expense management to preserve forecast profitability and cash generation.</t>
  </si>
  <si>
    <t>Key Quantitative Takeaways</t>
  </si>
  <si>
    <t>2028 Best-to-Worst Revenue Range</t>
  </si>
  <si>
    <t>2028 Best-to-Worst Free Cash Flow Range</t>
  </si>
  <si>
    <t>Model QA &amp; Management Review</t>
  </si>
  <si>
    <t>QA Status</t>
  </si>
  <si>
    <t>Validation Check</t>
  </si>
  <si>
    <t>Expected</t>
  </si>
  <si>
    <t>Actual</t>
  </si>
  <si>
    <t>Status</t>
  </si>
  <si>
    <t>2025 Historical Revenue</t>
  </si>
  <si>
    <t>2025 Historical Gross Profit</t>
  </si>
  <si>
    <t>2025 Historical Operating Expenses</t>
  </si>
  <si>
    <t>2025 Historical Operating Income</t>
  </si>
  <si>
    <t>Forecast Reconciliation</t>
  </si>
  <si>
    <t>2026 Ending Cash</t>
  </si>
  <si>
    <t>2027 Ending Cash</t>
  </si>
  <si>
    <t>2026 CapEx</t>
  </si>
  <si>
    <t>2027 CapEx</t>
  </si>
  <si>
    <t>2028 CapEx</t>
  </si>
  <si>
    <t>2026 Employment Cost</t>
  </si>
  <si>
    <t>2027 Employment Cost</t>
  </si>
  <si>
    <t>2028 Employment Cost</t>
  </si>
  <si>
    <t>Management Review</t>
  </si>
  <si>
    <t>Forecast Outlook</t>
  </si>
  <si>
    <t>The base-case forecast indicates continued revenue growth, improving operating margins, and increasing free cash flow through 2028.</t>
  </si>
  <si>
    <t>Profitability</t>
  </si>
  <si>
    <t>Operating income increases from approximately $1.13 million in 2026 to $1.38 million in 2028 while operating margin expands over the forecast period.</t>
  </si>
  <si>
    <t>Cash Generation</t>
  </si>
  <si>
    <t>Free cash flow remains positive throughout the forecast period and supports continued growth in ending cash.</t>
  </si>
  <si>
    <t>Scenario Risk</t>
  </si>
  <si>
    <t>The scenario analysis shows meaningful sensitivity to revenue growth, margin, and operating expense assumptions, reinforcing the importance of disciplined forecast management.</t>
  </si>
  <si>
    <t>Overall Assessment</t>
  </si>
  <si>
    <t>Executive KPI Snapshot</t>
  </si>
  <si>
    <t>KPI</t>
  </si>
  <si>
    <t>Executive Takeaways</t>
  </si>
  <si>
    <t>Growth</t>
  </si>
  <si>
    <t>Revenue grows from approximately $5.25 million in 2026 to $6.11 million in 2028 under the base-case forecast.</t>
  </si>
  <si>
    <t>Operating income increases from approximately $1.13 million to $1.38 million while operating margin expands over the forecast period.</t>
  </si>
  <si>
    <t>Cash Flow</t>
  </si>
  <si>
    <t>Free cash flow remains positive throughout the forecast period, supporting growth in ending cash and financial flexibility.</t>
  </si>
  <si>
    <t>Risk</t>
  </si>
  <si>
    <t>The scenario analysis indicates that revenue growth, gross margin, and operating expense discipline are the primary drivers of forecast risk.</t>
  </si>
  <si>
    <t>Management Action</t>
  </si>
  <si>
    <t>Management should monitor revenue performance, protect gross margin, and maintain disciplined expense growth against the base-case plan.</t>
  </si>
  <si>
    <t>Final Model Readiness</t>
  </si>
  <si>
    <t>Management Decision Support</t>
  </si>
  <si>
    <t>Decision Area</t>
  </si>
  <si>
    <t>Current Signal</t>
  </si>
  <si>
    <t>Management Implication</t>
  </si>
  <si>
    <t>Recommended Focus</t>
  </si>
  <si>
    <t>Positive</t>
  </si>
  <si>
    <t>Base-case revenue grows consistently through 2028.</t>
  </si>
  <si>
    <t>Monitor actual revenue against the 7.9% base-case growth assumption.</t>
  </si>
  <si>
    <t>Improving</t>
  </si>
  <si>
    <t>Operating margin expands across the forecast period.</t>
  </si>
  <si>
    <t>Protect gross margin while maintaining operating expense discipline.</t>
  </si>
  <si>
    <t>Free cash flow remains positive and supports increasing ending cash.</t>
  </si>
  <si>
    <t>Monitor cash generation against investment and operating requirements.</t>
  </si>
  <si>
    <t>Headcount</t>
  </si>
  <si>
    <t>Controlled Growth</t>
  </si>
  <si>
    <t>Headcount increases gradually from 92 actual employees to 107 by 2028.</t>
  </si>
  <si>
    <t>Align hiring with revenue growth and operating capacity.</t>
  </si>
  <si>
    <t>Planned Growth</t>
  </si>
  <si>
    <t>Capital expenditures increase gradually throughout the forecast period.</t>
  </si>
  <si>
    <t>Prioritize investments that support capacity, efficiency, and growth.</t>
  </si>
  <si>
    <t>Moderate Sensitivity</t>
  </si>
  <si>
    <t>2028 revenue and free cash flow vary meaningfully across scenarios.</t>
  </si>
  <si>
    <t>Monitor revenue growth, gross margin, and operating expense performance.</t>
  </si>
  <si>
    <t>Overall Management View</t>
  </si>
  <si>
    <t>The base-case forecast indicates continued revenue growth, improving profitability, positive free cash flow, and increasing financial flexibility. Management should focus on sustaining revenue growth, protecting margins, and maintaining disciplined expense and investment decisions.</t>
  </si>
  <si>
    <t>AccountKey</t>
  </si>
  <si>
    <t>AccountNumber</t>
  </si>
  <si>
    <t>AccountName</t>
  </si>
  <si>
    <t>FinancialStatement</t>
  </si>
  <si>
    <t>AccountCategory</t>
  </si>
  <si>
    <t>NormalBalance</t>
  </si>
  <si>
    <t>Cash</t>
  </si>
  <si>
    <t>Balance Sheet</t>
  </si>
  <si>
    <t>Asset</t>
  </si>
  <si>
    <t>Debit</t>
  </si>
  <si>
    <t>Accounts Receivable</t>
  </si>
  <si>
    <t>Inventory</t>
  </si>
  <si>
    <t>Prepaid Expenses</t>
  </si>
  <si>
    <t>Equipment</t>
  </si>
  <si>
    <t>Accounts Payable</t>
  </si>
  <si>
    <t>Liability</t>
  </si>
  <si>
    <t>Credit</t>
  </si>
  <si>
    <t>Accrued Expenses</t>
  </si>
  <si>
    <t>Long-Term Debt</t>
  </si>
  <si>
    <t>Retained Earnings</t>
  </si>
  <si>
    <t>Equity</t>
  </si>
  <si>
    <t>Common Stock</t>
  </si>
  <si>
    <t>Product Revenue</t>
  </si>
  <si>
    <t>Income Statement</t>
  </si>
  <si>
    <t>Service Revenue</t>
  </si>
  <si>
    <t>Online Revenue</t>
  </si>
  <si>
    <t>Cost of Goods Sold</t>
  </si>
  <si>
    <t>Cost of Sales</t>
  </si>
  <si>
    <t>Salaries Expense</t>
  </si>
  <si>
    <t>Operating Expense</t>
  </si>
  <si>
    <t>Payroll Taxes</t>
  </si>
  <si>
    <t>Employee Benefits</t>
  </si>
  <si>
    <t>Marketing Expense</t>
  </si>
  <si>
    <t>Software Expense</t>
  </si>
  <si>
    <t>Rent Expense</t>
  </si>
  <si>
    <t>Utilities Expense</t>
  </si>
  <si>
    <t>Insurance Expense</t>
  </si>
  <si>
    <t>Travel Expense</t>
  </si>
  <si>
    <t>Professional Services</t>
  </si>
  <si>
    <t>Income Tax Expense</t>
  </si>
  <si>
    <t>Tax Expense</t>
  </si>
  <si>
    <t>BusinessUnitKey</t>
  </si>
  <si>
    <t>BusinessUnitID</t>
  </si>
  <si>
    <t>BusinessUnitName</t>
  </si>
  <si>
    <t>BUO1</t>
  </si>
  <si>
    <t xml:space="preserve">Manufacturing </t>
  </si>
  <si>
    <t>BUO2</t>
  </si>
  <si>
    <t>Wholesale</t>
  </si>
  <si>
    <t>BUO3</t>
  </si>
  <si>
    <t>Retail</t>
  </si>
  <si>
    <t>BUO4</t>
  </si>
  <si>
    <t>E-Commerce</t>
  </si>
  <si>
    <t>DateKey</t>
  </si>
  <si>
    <t>FullDate</t>
  </si>
  <si>
    <t>CalendarYear</t>
  </si>
  <si>
    <t>CalendarQuarter</t>
  </si>
  <si>
    <t>MonthNumber</t>
  </si>
  <si>
    <t>MonthName</t>
  </si>
  <si>
    <t>MonthYear</t>
  </si>
  <si>
    <t>FiscalYear</t>
  </si>
  <si>
    <t>January</t>
  </si>
  <si>
    <t>Jan 2023</t>
  </si>
  <si>
    <t>FY2023</t>
  </si>
  <si>
    <t>February</t>
  </si>
  <si>
    <t>Feb 2023</t>
  </si>
  <si>
    <t>March</t>
  </si>
  <si>
    <t>Mar 2023</t>
  </si>
  <si>
    <t>April</t>
  </si>
  <si>
    <t>Apr 2023</t>
  </si>
  <si>
    <t>May</t>
  </si>
  <si>
    <t>May 2023</t>
  </si>
  <si>
    <t>June</t>
  </si>
  <si>
    <t>Jun 2023</t>
  </si>
  <si>
    <t>July</t>
  </si>
  <si>
    <t>Jul 2023</t>
  </si>
  <si>
    <t>August</t>
  </si>
  <si>
    <t>Aug 2023</t>
  </si>
  <si>
    <t>September</t>
  </si>
  <si>
    <t>Sep 2023</t>
  </si>
  <si>
    <t>October</t>
  </si>
  <si>
    <t>Oct 2023</t>
  </si>
  <si>
    <t>November</t>
  </si>
  <si>
    <t>Nov 2023</t>
  </si>
  <si>
    <t>December</t>
  </si>
  <si>
    <t>Dec 2023</t>
  </si>
  <si>
    <t>Jan 2024</t>
  </si>
  <si>
    <t>FY2024</t>
  </si>
  <si>
    <t>Feb 2024</t>
  </si>
  <si>
    <t>Mar 2024</t>
  </si>
  <si>
    <t>Apr 2024</t>
  </si>
  <si>
    <t>May 2024</t>
  </si>
  <si>
    <t>Jun 2024</t>
  </si>
  <si>
    <t>Jul 2024</t>
  </si>
  <si>
    <t>Aug 2024</t>
  </si>
  <si>
    <t>Sep 2024</t>
  </si>
  <si>
    <t>Oct 2024</t>
  </si>
  <si>
    <t>Nov 2024</t>
  </si>
  <si>
    <t>Dec 2024</t>
  </si>
  <si>
    <t>Jan 2025</t>
  </si>
  <si>
    <t>FY2025</t>
  </si>
  <si>
    <t>Feb 2025</t>
  </si>
  <si>
    <t>Mar 2025</t>
  </si>
  <si>
    <t>Apr 2025</t>
  </si>
  <si>
    <t>May 2025</t>
  </si>
  <si>
    <t>Jun 2025</t>
  </si>
  <si>
    <t>Jul 2025</t>
  </si>
  <si>
    <t>Aug 2025</t>
  </si>
  <si>
    <t>Sep 2025</t>
  </si>
  <si>
    <t>Oct 2025</t>
  </si>
  <si>
    <t>Nov 2025</t>
  </si>
  <si>
    <t>Dec 2025</t>
  </si>
  <si>
    <t>DepartmentKey</t>
  </si>
  <si>
    <t>DepartmentID</t>
  </si>
  <si>
    <t>DepartmentName</t>
  </si>
  <si>
    <t>D001</t>
  </si>
  <si>
    <t>Executive</t>
  </si>
  <si>
    <t>D002</t>
  </si>
  <si>
    <t>Finance</t>
  </si>
  <si>
    <t>D003</t>
  </si>
  <si>
    <t>Human Resources</t>
  </si>
  <si>
    <t>D004</t>
  </si>
  <si>
    <t>Sales</t>
  </si>
  <si>
    <t>D005</t>
  </si>
  <si>
    <t>Marketing</t>
  </si>
  <si>
    <t>D006</t>
  </si>
  <si>
    <t>Operations</t>
  </si>
  <si>
    <t>D007</t>
  </si>
  <si>
    <t>Information Technology</t>
  </si>
  <si>
    <t>D008</t>
  </si>
  <si>
    <t>Customer Service</t>
  </si>
  <si>
    <t>RegionKey</t>
  </si>
  <si>
    <t>Amount</t>
  </si>
  <si>
    <t>RegionName</t>
  </si>
  <si>
    <t>RegionID</t>
  </si>
  <si>
    <t>R01</t>
  </si>
  <si>
    <t>West</t>
  </si>
  <si>
    <t>R02</t>
  </si>
  <si>
    <t>Midwest</t>
  </si>
  <si>
    <t>R03</t>
  </si>
  <si>
    <t>South</t>
  </si>
  <si>
    <t>R04</t>
  </si>
  <si>
    <t>East</t>
  </si>
  <si>
    <t>Historical Income Statement</t>
  </si>
  <si>
    <t>Account</t>
  </si>
  <si>
    <t>2024 YoY %</t>
  </si>
  <si>
    <t>2025 YoY %</t>
  </si>
  <si>
    <t>Total Revenue</t>
  </si>
  <si>
    <t>Gross Margin %</t>
  </si>
  <si>
    <t>Total Operating Expenses</t>
  </si>
  <si>
    <t>Operating Margin %</t>
  </si>
  <si>
    <t>Net Profit Margin %</t>
  </si>
  <si>
    <t>Historical Model Checks</t>
  </si>
  <si>
    <t>Revenue Check</t>
  </si>
  <si>
    <t>Gross Profit Check</t>
  </si>
  <si>
    <t>Operating Income Check</t>
  </si>
  <si>
    <t>Net Income Check</t>
  </si>
  <si>
    <t>Historical Financial Trends</t>
  </si>
  <si>
    <t>Operating Expense Growth</t>
  </si>
  <si>
    <t>Net Profit Margin</t>
  </si>
  <si>
    <t>Revenue Mix</t>
  </si>
  <si>
    <t>Revenue Growth by Type</t>
  </si>
  <si>
    <t>Product Revenue Growth</t>
  </si>
  <si>
    <t>Service Revenue Growth</t>
  </si>
  <si>
    <t>Online Revenue Growth</t>
  </si>
  <si>
    <t>Historical Management KPIs</t>
  </si>
  <si>
    <t>Revenue CAGR (2023–2025)</t>
  </si>
  <si>
    <t>Gross Margin Change</t>
  </si>
  <si>
    <t>Net Margin Change</t>
  </si>
  <si>
    <t>Historical Revenue Analysis</t>
  </si>
  <si>
    <t>Business Unit</t>
  </si>
  <si>
    <t>Manufacturing</t>
  </si>
  <si>
    <t>Revenue by Region</t>
  </si>
  <si>
    <t>Region</t>
  </si>
  <si>
    <t>Historical Operating Expense Analysis</t>
  </si>
  <si>
    <t>Department</t>
  </si>
  <si>
    <t>2025 Expense Mix</t>
  </si>
  <si>
    <t>Informaton Technology</t>
  </si>
  <si>
    <t>Historical Monthly Financial Analysis</t>
  </si>
  <si>
    <t>Month</t>
  </si>
  <si>
    <t>2023 Revenue</t>
  </si>
  <si>
    <t>2024 Revenue</t>
  </si>
  <si>
    <t>2025 Revenue</t>
  </si>
  <si>
    <t>2025 Revenue Mix</t>
  </si>
  <si>
    <t>Month Number</t>
  </si>
  <si>
    <t>Revenue Seasonality Summary</t>
  </si>
  <si>
    <t>2023 Mix</t>
  </si>
  <si>
    <t>2024 Mix</t>
  </si>
  <si>
    <t>2025 Mix</t>
  </si>
  <si>
    <t>3-Year Average</t>
  </si>
  <si>
    <t>Total</t>
  </si>
  <si>
    <t>Historical Monthly Operating Expense Analysis</t>
  </si>
  <si>
    <t>2023 Operating Expenses</t>
  </si>
  <si>
    <t>2024 Operating Expenses</t>
  </si>
  <si>
    <t>2025 Operating Expenses</t>
  </si>
  <si>
    <t>Monthly Operating Income Analysis</t>
  </si>
  <si>
    <t>2023 Operating Income</t>
  </si>
  <si>
    <t>2024 Operating Income</t>
  </si>
  <si>
    <t>2025 Operating Income</t>
  </si>
  <si>
    <t>Total Operating Income</t>
  </si>
  <si>
    <t>FP&amp;A Forecast Assumptions</t>
  </si>
  <si>
    <t>Assumption</t>
  </si>
  <si>
    <t>Historical</t>
  </si>
  <si>
    <t>Source / Rationale</t>
  </si>
  <si>
    <t>Revenue Growth Rate</t>
  </si>
  <si>
    <t>2023–2025 historical revenue CAGR; scenario range represents ±3 percentage points.</t>
  </si>
  <si>
    <t>Historical gross margin has remained approximately 41.5%; scenarios flex margin by ±1 percentage point.</t>
  </si>
  <si>
    <t>2023–2025 historical operating expense CAGR; Best Case assumes stronger cost control, Worst Case assumes higher expense growth.</t>
  </si>
  <si>
    <t>Operating Profitability</t>
  </si>
  <si>
    <t>2025 historical operating margin; scenarios reflect potential operating leverage or pressure.</t>
  </si>
  <si>
    <t>Product Revenue Mix</t>
  </si>
  <si>
    <t>Service Revenue Mix</t>
  </si>
  <si>
    <t>Online Revenue Mix</t>
  </si>
  <si>
    <t>Revenue Mix Check</t>
  </si>
  <si>
    <t>Monthly Revenue Seasonality</t>
  </si>
  <si>
    <t>Modeling Notes</t>
  </si>
  <si>
    <t>Revenue growth is based on the historical 2023–2025 revenue CAGR.</t>
  </si>
  <si>
    <t>Gross margin is based on the historical 2025 gross margin.</t>
  </si>
  <si>
    <t>Operating expense growth is based on the historical 2023–2025 operating expense CAGR.</t>
  </si>
  <si>
    <t>Operating margin assumptions reflect the historical 2025 operating margin and scenario flexibility.</t>
  </si>
  <si>
    <t>Revenue mix is based on the 2025 historical revenue mix.</t>
  </si>
  <si>
    <t>Monthly revenue seasonality is based on the three-year historical average.</t>
  </si>
  <si>
    <t>Best and Worst Case scenarios are management planning assumptions and are not historical results.</t>
  </si>
  <si>
    <t>Income Tax Rate</t>
  </si>
  <si>
    <t>2025 effective tax rate; held constant across forecast scenarios for initial model.</t>
  </si>
  <si>
    <t>Forecast Calendar</t>
  </si>
  <si>
    <t>Date</t>
  </si>
  <si>
    <t>Year</t>
  </si>
  <si>
    <t>Quarter</t>
  </si>
  <si>
    <t>Forecast Year</t>
  </si>
  <si>
    <t>Forecast Scenario</t>
  </si>
  <si>
    <t>Base case</t>
  </si>
  <si>
    <t>Forecast Summary</t>
  </si>
  <si>
    <t>Scenario Comparison</t>
  </si>
  <si>
    <t>Three-Year Forecast Summary</t>
  </si>
  <si>
    <t>Three-Year Forecast Validation</t>
  </si>
  <si>
    <t>2026 Revenue</t>
  </si>
  <si>
    <t>2027 Revenue</t>
  </si>
  <si>
    <t>Monthly Revenue Forecast</t>
  </si>
  <si>
    <t>Seasonality</t>
  </si>
  <si>
    <t>2026 Revenue Reconciliation Check</t>
  </si>
  <si>
    <t>Three-Year Monthly Revenue Forecast</t>
  </si>
  <si>
    <t>2027 Revenue Reconciliation</t>
  </si>
  <si>
    <t>2028 Revenue Reconciliation</t>
  </si>
  <si>
    <t>Three-Year Monthly Profitability Forecast</t>
  </si>
  <si>
    <t>Net Margin</t>
  </si>
  <si>
    <t>2026 Monthly Forecast Total</t>
  </si>
  <si>
    <t>2027 Monthly Forecast Total</t>
  </si>
  <si>
    <t>2028 Monthly Forecast Total</t>
  </si>
  <si>
    <t>Three-Year Forecast Reconciliation</t>
  </si>
  <si>
    <t>2026 Operating Income</t>
  </si>
  <si>
    <t>2027 Operating Income</t>
  </si>
  <si>
    <t>2026 Net Income</t>
  </si>
  <si>
    <t>2027 Net Income</t>
  </si>
  <si>
    <t>2028 Net Income</t>
  </si>
  <si>
    <t>Workforce Cost Planning</t>
  </si>
  <si>
    <t>Total Employment Cost</t>
  </si>
  <si>
    <t>Revenue per Employee</t>
  </si>
  <si>
    <t>Employment Cost as % of Revenue</t>
  </si>
  <si>
    <t>Capital Expenditure Planning</t>
  </si>
  <si>
    <t>Total CapEx</t>
  </si>
  <si>
    <t>Depreciation Expense</t>
  </si>
  <si>
    <t>CapEx as % of Revenue</t>
  </si>
  <si>
    <t>Cash Flow Planning</t>
  </si>
  <si>
    <t>Operating Cash Flow</t>
  </si>
  <si>
    <t>Cash Flow Integration Check</t>
  </si>
  <si>
    <t>2026 Free Cash Flow</t>
  </si>
  <si>
    <t>2027 Free Cash Flow</t>
  </si>
  <si>
    <t>CapEx Integration Check</t>
  </si>
  <si>
    <t>Workforce Integration Check</t>
  </si>
  <si>
    <t>Forecast Model Quality Control</t>
  </si>
  <si>
    <t>Check</t>
  </si>
  <si>
    <t>2026 Gross Profit</t>
  </si>
  <si>
    <t>2027 Gross Profit</t>
  </si>
  <si>
    <t>2028 Gross Profit</t>
  </si>
  <si>
    <t>2026 Operating Expenses</t>
  </si>
  <si>
    <t>2027 Operating Expenses</t>
  </si>
  <si>
    <t>2028 Operating Expenses</t>
  </si>
  <si>
    <t>Revenue Seasonality</t>
  </si>
  <si>
    <t>Operating Expense Seasonality</t>
  </si>
  <si>
    <t>Overall Forecast Model Status</t>
  </si>
  <si>
    <t>Monthly Gross Profit Forecast</t>
  </si>
  <si>
    <t>COGS %</t>
  </si>
  <si>
    <t>Gross Profit Reconciliation</t>
  </si>
  <si>
    <t>COGS Reconciliation</t>
  </si>
  <si>
    <t>Monthly Operating Expense Forecast</t>
  </si>
  <si>
    <t>Expense Growth</t>
  </si>
  <si>
    <t>Operating Expense % of Revenue</t>
  </si>
  <si>
    <t>Expense Seasonality</t>
  </si>
  <si>
    <t>Operating Expense Reconciliation</t>
  </si>
  <si>
    <t>Operating Income Reconciliation</t>
  </si>
  <si>
    <t>Monthly Income Statement Forecast</t>
  </si>
  <si>
    <t>Income Statement Reconciliation</t>
  </si>
  <si>
    <t>Operating Expense Check</t>
  </si>
  <si>
    <t>Corporate FP&amp;A — Headcount Planning Model</t>
  </si>
  <si>
    <t>2025 Actual | 2026–2028 Forecast</t>
  </si>
  <si>
    <t>Headcount Planning Summary</t>
  </si>
  <si>
    <t>Headcount Planning Assumptions</t>
  </si>
  <si>
    <t>CAGR</t>
  </si>
  <si>
    <t>Rate</t>
  </si>
  <si>
    <t>Annual Headcount Growth</t>
  </si>
  <si>
    <t>Annual Turnover Rate</t>
  </si>
  <si>
    <t>Annual Salary Growth</t>
  </si>
  <si>
    <t>Employer Payroll Burden</t>
  </si>
  <si>
    <t>Headcount Movement</t>
  </si>
  <si>
    <t>Notes</t>
  </si>
  <si>
    <t>Average Headcount</t>
  </si>
  <si>
    <t>New Hires</t>
  </si>
  <si>
    <t>Employee Departures</t>
  </si>
  <si>
    <t>Net Headcount Change</t>
  </si>
  <si>
    <t>Compensation Planning</t>
  </si>
  <si>
    <t>2025 Avg Salary</t>
  </si>
  <si>
    <t>2026 Avg Salary</t>
  </si>
  <si>
    <t>2027 Avg Salary</t>
  </si>
  <si>
    <t>2028 Avg Salary</t>
  </si>
  <si>
    <t>Salary CAGR</t>
  </si>
  <si>
    <t>Weighted Average</t>
  </si>
  <si>
    <t>Total Compensation Expense</t>
  </si>
  <si>
    <t>Total Compensation</t>
  </si>
  <si>
    <t>Base Compensation</t>
  </si>
  <si>
    <t>Headcount Plan Validation</t>
  </si>
  <si>
    <t>2025 Headcount</t>
  </si>
  <si>
    <t>2026 Headcount</t>
  </si>
  <si>
    <t>2027 Headcount</t>
  </si>
  <si>
    <t>2028 Headcount</t>
  </si>
  <si>
    <t>Headcount Growth Validation</t>
  </si>
  <si>
    <t>2026 Net Change</t>
  </si>
  <si>
    <t>2027 Net Change</t>
  </si>
  <si>
    <t>2028 Net Change</t>
  </si>
  <si>
    <t>Workforce Cost Summary</t>
  </si>
  <si>
    <t>Employment Cost Growth</t>
  </si>
  <si>
    <t>Revenue per Employee Growth</t>
  </si>
  <si>
    <t>Workforce KPIs</t>
  </si>
  <si>
    <t>Employment Cost % of Revenue</t>
  </si>
  <si>
    <t>Corporate FP&amp;A — Capital Expenditure Planning Model</t>
  </si>
  <si>
    <t>Capital Expenditure Planning Summary</t>
  </si>
  <si>
    <t>CapEx Planning Assumptions</t>
  </si>
  <si>
    <t>Annual CapEx Growth</t>
  </si>
  <si>
    <t>Useful Life</t>
  </si>
  <si>
    <t>Depreciation Method</t>
  </si>
  <si>
    <t>Straight-Line</t>
  </si>
  <si>
    <t>Residual Value</t>
  </si>
  <si>
    <t>CapEx Growth</t>
  </si>
  <si>
    <t>Capital Expenditure by Category</t>
  </si>
  <si>
    <t>Category</t>
  </si>
  <si>
    <t>% of Total</t>
  </si>
  <si>
    <t>Equipment &amp; Machinery</t>
  </si>
  <si>
    <t>Technology &amp; Software</t>
  </si>
  <si>
    <t>Facilities &amp; Improvements</t>
  </si>
  <si>
    <t>Vehicles &amp; Other</t>
  </si>
  <si>
    <t>Depreciation Planning</t>
  </si>
  <si>
    <t>Depreciation from New CapEx</t>
  </si>
  <si>
    <t>Total Depreciation Expense</t>
  </si>
  <si>
    <t>Depreciation Growth</t>
  </si>
  <si>
    <t>Capital Planning KPIs</t>
  </si>
  <si>
    <t>Corporate FP&amp;A — Cash Flow Planning Model</t>
  </si>
  <si>
    <t>Starting Cash Balance</t>
  </si>
  <si>
    <t>Management planning assumption; replace with actual 2025 year-end cash when available.</t>
  </si>
  <si>
    <t>Free Cash Flow Margin</t>
  </si>
  <si>
    <t>Cash Balance Forecast</t>
  </si>
  <si>
    <t>Beginning Cash</t>
  </si>
  <si>
    <t>Cash Flow Analysis</t>
  </si>
  <si>
    <t>Free Cash Flow Growth</t>
  </si>
  <si>
    <t>Operating Cash Flow Margin</t>
  </si>
  <si>
    <t>CapEx as % of Operating Cash Flow</t>
  </si>
  <si>
    <t>Cash Flow KPIs</t>
  </si>
  <si>
    <t>Working Capital Planning</t>
  </si>
  <si>
    <t>Net Working Capital</t>
  </si>
  <si>
    <t>Change in Working Capital</t>
  </si>
  <si>
    <t>Working Capital as % of Revenue</t>
  </si>
  <si>
    <t>Adjusted Free Cash Flow</t>
  </si>
  <si>
    <t>Working Capital Cash Flow Impact</t>
  </si>
  <si>
    <t>Liquidity Planning KPIs</t>
  </si>
  <si>
    <t>Liquidity Risk Indicator</t>
  </si>
  <si>
    <t>Cash Flow Validation Checks</t>
  </si>
  <si>
    <t>Corporate FP&amp;A — Scenario Analysis</t>
  </si>
  <si>
    <t>Base Case | Best Case | Worst Case</t>
  </si>
  <si>
    <t>Scenario Financial Summary</t>
  </si>
  <si>
    <t>Variance vs Base</t>
  </si>
  <si>
    <t>2026 Scenario Forecast</t>
  </si>
  <si>
    <t>Best vs Worst</t>
  </si>
  <si>
    <t>2027 Scenario Forecast</t>
  </si>
  <si>
    <t>2028 Scenario Forecast</t>
  </si>
  <si>
    <t>Three-Year Scenario Summary</t>
  </si>
  <si>
    <t>Range vs Base</t>
  </si>
  <si>
    <t>2028 Operating Margin</t>
  </si>
  <si>
    <t>2028 Revenue Variance</t>
  </si>
  <si>
    <t>2028 Operating Income Variance</t>
  </si>
  <si>
    <t>Scenario Validation Checks</t>
  </si>
  <si>
    <t>2026 Best Case Revenue &gt; Base Case</t>
  </si>
  <si>
    <t>2026 Base Case Revenue &gt; Worst Case</t>
  </si>
  <si>
    <t>2028 Best Case Revenue &gt; Base Case</t>
  </si>
  <si>
    <t>2028 Base Case Revenue &gt; Worst Case</t>
  </si>
  <si>
    <t>2028 Best Case Operating Margin &gt; Worst Case</t>
  </si>
  <si>
    <t>Management Scenario Interpretation</t>
  </si>
  <si>
    <t>Management Sensitivity Check</t>
  </si>
  <si>
    <t>FP&amp;A Forecasting Model — Quality Assurance</t>
  </si>
  <si>
    <t>Control Check</t>
  </si>
  <si>
    <t>Base Case Revenue Growth</t>
  </si>
  <si>
    <t>Best Case Revenue Growth</t>
  </si>
  <si>
    <t>Worst Case Revenue Growth</t>
  </si>
  <si>
    <t>Base Case Gross Margin</t>
  </si>
  <si>
    <t>Base Case Operating Expense Growth</t>
  </si>
  <si>
    <t>Base Case Operating Margin Assumption</t>
  </si>
  <si>
    <t>2026 Base Case Revenue</t>
  </si>
  <si>
    <t>2026 Monthly Revenue Forecast Reconciliation</t>
  </si>
  <si>
    <t>Variance</t>
  </si>
  <si>
    <t>Overall Model QA Result</t>
  </si>
  <si>
    <t>2026 Ending Cash Reconciliation</t>
  </si>
  <si>
    <t>2027 Ending Cash Reconciliation</t>
  </si>
  <si>
    <t>2028 Ending Cash Reconciliation</t>
  </si>
  <si>
    <t>2026 CapEx Reconciliation</t>
  </si>
  <si>
    <t>2027 CapEx Reconciliation</t>
  </si>
  <si>
    <t>2028 CapEx Reconciliation</t>
  </si>
  <si>
    <t>2026 Employment Cost Reconciliation</t>
  </si>
  <si>
    <t>2027 Employment Cost Reconciliation</t>
  </si>
  <si>
    <t>2028 Employment Cost Reconciliation</t>
  </si>
  <si>
    <t>QA Notes</t>
  </si>
  <si>
    <t>Historical financials reconcile to the established 2023–2025 actual results.</t>
  </si>
  <si>
    <t>Forecast assumptions are linked to the Assumptions sheet.</t>
  </si>
  <si>
    <t>Base, Best, and Worst Case scenarios are linked to the established management assumptions.</t>
  </si>
  <si>
    <t>Scenario forecasts are designed to maintain logical ordering between Best, Base, and Worst Case outcomes.</t>
  </si>
  <si>
    <t>Monthly forecast totals are reconciled to the annual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</si>
</sst>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quot;$&quot;#,##0\)"/>
    <numFmt numFmtId="166" formatCode="&quot;$&quot;#,##0"/>
  </numFmts>
  <fonts count="12">
    <font>
      <sz val="11"/>
      <color theme="1"/>
      <name val="Calibri"/>
      <family val="2"/>
      <scheme val="minor"/>
    </font>
    <font>
      <b/>
      <sz val="11"/>
      <color theme="1"/>
      <name val="Calibri"/>
      <family val="2"/>
      <scheme val="minor"/>
    </font>
    <font>
      <b/>
      <sz val="11"/>
      <color rgb="FFFFFFFF"/>
      <name val="Calibri"/>
    </font>
    <font>
      <sz val="11"/>
      <color rgb="FFFFFFFF"/>
      <name val="Calibri"/>
      <scheme val="minor"/>
    </font>
    <font>
      <b/>
      <sz val="11"/>
      <color theme="0"/>
      <name val="Calibri"/>
      <family val="2"/>
      <scheme val="minor"/>
    </font>
    <font>
      <sz val="11"/>
      <color theme="0"/>
      <name val="Calibri"/>
      <family val="2"/>
      <scheme val="minor"/>
    </font>
    <font>
      <sz val="11"/>
      <color rgb="FF000000"/>
      <name val="Calibri"/>
      <charset val="1"/>
    </font>
    <font>
      <b/>
      <sz val="11"/>
      <color theme="0" tint="-4.9989318521683403E-2"/>
      <name val="Calibri"/>
      <family val="2"/>
      <scheme val="minor"/>
    </font>
    <font>
      <sz val="11"/>
      <color rgb="FFFFFFFF"/>
      <name val="Calibri"/>
      <charset val="1"/>
    </font>
    <font>
      <sz val="11"/>
      <color rgb="FF000000"/>
      <name val="Calibri"/>
      <scheme val="minor"/>
    </font>
    <font>
      <b/>
      <sz val="11"/>
      <color rgb="FFFFFFFF"/>
      <name val="Calibri"/>
      <scheme val="minor"/>
    </font>
    <font>
      <b/>
      <sz val="11"/>
      <color rgb="FF000000"/>
      <name val="Calibri"/>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45">
    <xf numFmtId="0" fontId="0" fillId="0" borderId="0" xfId="0"/>
    <xf numFmtId="14" fontId="0" fillId="0" borderId="0" xfId="0" applyNumberFormat="1"/>
    <xf numFmtId="0" fontId="1" fillId="2" borderId="0" xfId="0" applyFont="1" applyFill="1"/>
    <xf numFmtId="0" fontId="0" fillId="2" borderId="0" xfId="0" applyFill="1"/>
    <xf numFmtId="0" fontId="2" fillId="2" borderId="0" xfId="0" applyFont="1" applyFill="1"/>
    <xf numFmtId="14" fontId="2" fillId="2" borderId="0" xfId="0" applyNumberFormat="1" applyFont="1" applyFill="1"/>
    <xf numFmtId="2" fontId="2" fillId="2" borderId="0" xfId="0" applyNumberFormat="1" applyFont="1" applyFill="1"/>
    <xf numFmtId="0" fontId="3" fillId="2" borderId="0" xfId="0" applyFont="1" applyFill="1"/>
    <xf numFmtId="0"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17" fontId="0" fillId="0" borderId="0" xfId="0" applyNumberFormat="1"/>
    <xf numFmtId="0" fontId="6" fillId="0" borderId="0" xfId="0" applyFont="1"/>
    <xf numFmtId="0" fontId="0" fillId="0" borderId="0" xfId="0" applyFill="1"/>
    <xf numFmtId="0" fontId="5" fillId="0" borderId="0" xfId="0" applyFont="1" applyFill="1"/>
    <xf numFmtId="0" fontId="7" fillId="0" borderId="0" xfId="0" applyFont="1" applyFill="1" applyAlignment="1"/>
    <xf numFmtId="0" fontId="4" fillId="0" borderId="0" xfId="0" applyFont="1" applyFill="1" applyAlignment="1"/>
    <xf numFmtId="0" fontId="0" fillId="0" borderId="0" xfId="0" applyFont="1" applyFill="1" applyAlignment="1"/>
    <xf numFmtId="0" fontId="1" fillId="0" borderId="0" xfId="0" applyFont="1" applyFill="1" applyAlignment="1"/>
    <xf numFmtId="0" fontId="5" fillId="0" borderId="0" xfId="0" applyFont="1" applyFill="1" applyAlignment="1"/>
    <xf numFmtId="10" fontId="0" fillId="0" borderId="0" xfId="0" applyNumberFormat="1"/>
    <xf numFmtId="0" fontId="1" fillId="0" borderId="0" xfId="0" applyFont="1"/>
    <xf numFmtId="0" fontId="9" fillId="0" borderId="0" xfId="0" applyFont="1"/>
    <xf numFmtId="165" fontId="1" fillId="0" borderId="0" xfId="0" applyNumberFormat="1" applyFont="1"/>
    <xf numFmtId="165" fontId="0" fillId="0" borderId="0" xfId="0" applyNumberFormat="1" applyAlignment="1">
      <alignment wrapText="1"/>
    </xf>
    <xf numFmtId="0" fontId="0" fillId="0" borderId="0" xfId="0" applyAlignment="1">
      <alignment wrapText="1"/>
    </xf>
    <xf numFmtId="0" fontId="5" fillId="2" borderId="0" xfId="0" applyFont="1" applyFill="1" applyAlignment="1">
      <alignment horizontal="center"/>
    </xf>
    <xf numFmtId="0" fontId="4" fillId="2" borderId="0" xfId="0" applyFont="1" applyFill="1" applyAlignment="1">
      <alignment horizontal="center"/>
    </xf>
    <xf numFmtId="0" fontId="11" fillId="0" borderId="0" xfId="0" applyFont="1"/>
    <xf numFmtId="0" fontId="4" fillId="2" borderId="0" xfId="0" applyFont="1" applyFill="1"/>
    <xf numFmtId="0" fontId="1" fillId="0" borderId="0" xfId="0" applyFont="1" applyAlignment="1">
      <alignment vertical="center"/>
    </xf>
    <xf numFmtId="164" fontId="1" fillId="0" borderId="0" xfId="0" applyNumberFormat="1" applyFont="1"/>
    <xf numFmtId="0" fontId="1" fillId="0" borderId="0" xfId="0" applyFont="1" applyAlignment="1">
      <alignment horizontal="right" vertical="center"/>
    </xf>
    <xf numFmtId="0" fontId="1" fillId="0" borderId="0" xfId="0" applyFont="1" applyAlignment="1">
      <alignment horizontal="right"/>
    </xf>
    <xf numFmtId="0" fontId="0" fillId="0" borderId="0" xfId="0" applyAlignment="1">
      <alignment horizontal="right"/>
    </xf>
    <xf numFmtId="0" fontId="4" fillId="2" borderId="0" xfId="0" applyFont="1" applyFill="1" applyAlignment="1">
      <alignment horizontal="center"/>
    </xf>
    <xf numFmtId="0" fontId="0" fillId="0" borderId="0" xfId="0" applyAlignment="1">
      <alignment horizontal="left" vertical="center" wrapText="1"/>
    </xf>
    <xf numFmtId="0" fontId="10" fillId="2" borderId="0" xfId="0" applyFont="1" applyFill="1" applyAlignment="1">
      <alignment horizontal="center"/>
    </xf>
    <xf numFmtId="0" fontId="5" fillId="2" borderId="0" xfId="0" applyFont="1" applyFill="1" applyAlignment="1">
      <alignment horizontal="center"/>
    </xf>
    <xf numFmtId="17" fontId="5" fillId="2" borderId="0" xfId="0" applyNumberFormat="1" applyFont="1" applyFill="1" applyAlignment="1">
      <alignment horizontal="center"/>
    </xf>
    <xf numFmtId="0" fontId="8" fillId="2" borderId="0" xfId="0" applyFont="1" applyFill="1" applyAlignment="1">
      <alignment horizontal="center"/>
    </xf>
    <xf numFmtId="164" fontId="5" fillId="2" borderId="0" xfId="0" applyNumberFormat="1" applyFont="1" applyFill="1" applyAlignment="1">
      <alignment horizontal="center"/>
    </xf>
    <xf numFmtId="0" fontId="0" fillId="0" borderId="0" xfId="0" applyAlignment="1">
      <alignment horizontal="left"/>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'Historical Trends'!$A$4</c:f>
              <c:strCache>
                <c:ptCount val="1"/>
                <c:pt idx="0">
                  <c:v>Metric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'Historical Trends'!$B$4:$D$4</c:f>
              <c:numCache>
                <c:formatCode>General</c:formatCode>
                <c:ptCount val="3"/>
                <c:pt idx="0">
                  <c:v>2023</c:v>
                </c:pt>
                <c:pt idx="1">
                  <c:v>2024</c:v>
                </c:pt>
                <c:pt idx="2">
                  <c:v>2025</c:v>
                </c:pt>
              </c:numCache>
            </c:numRef>
          </c:val>
          <c:extLst>
            <c:ext xmlns:c16="http://schemas.microsoft.com/office/drawing/2014/chart" uri="{C3380CC4-5D6E-409C-BE32-E72D297353CC}">
              <c16:uniqueId val="{00000000-66A5-4DEF-97E5-8854E35C5B69}"/>
            </c:ext>
          </c:extLst>
        </c:ser>
        <c:ser>
          <c:idx val="1"/>
          <c:order val="1"/>
          <c:tx>
            <c:strRef>
              <c:f>'Historical Trends'!$A$5</c:f>
              <c:strCache>
                <c:ptCount val="1"/>
                <c:pt idx="0">
                  <c:v>Revenue</c:v>
                </c:pt>
              </c:strCache>
            </c:strRef>
          </c:tx>
          <c:spPr>
            <a:solidFill>
              <a:schemeClr val="accent2"/>
            </a:solidFill>
            <a:ln>
              <a:noFill/>
            </a:ln>
            <a:effectLst/>
          </c:spPr>
          <c:invertIfNegative val="0"/>
          <c:val>
            <c:numRef>
              <c:f>'Historical Trends'!$B$5:$D$5</c:f>
              <c:numCache>
                <c:formatCode>"$"#,##0;\("$"#,##0\)</c:formatCode>
                <c:ptCount val="3"/>
                <c:pt idx="0">
                  <c:v>4178883.0199999996</c:v>
                </c:pt>
                <c:pt idx="1">
                  <c:v>4538318.6300000008</c:v>
                </c:pt>
                <c:pt idx="2">
                  <c:v>4864066.09</c:v>
                </c:pt>
              </c:numCache>
            </c:numRef>
          </c:val>
          <c:extLst>
            <c:ext xmlns:c16="http://schemas.microsoft.com/office/drawing/2014/chart" uri="{C3380CC4-5D6E-409C-BE32-E72D297353CC}">
              <c16:uniqueId val="{00000002-66A5-4DEF-97E5-8854E35C5B69}"/>
            </c:ext>
          </c:extLst>
        </c:ser>
        <c:dLbls>
          <c:showLegendKey val="0"/>
          <c:showVal val="0"/>
          <c:showCatName val="0"/>
          <c:showSerName val="0"/>
          <c:showPercent val="0"/>
          <c:showBubbleSize val="0"/>
        </c:dLbls>
        <c:gapWidth val="219"/>
        <c:overlap val="100"/>
        <c:axId val="52381704"/>
        <c:axId val="52383752"/>
      </c:barChart>
      <c:catAx>
        <c:axId val="523817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3752"/>
        <c:crosses val="autoZero"/>
        <c:auto val="1"/>
        <c:lblAlgn val="ctr"/>
        <c:lblOffset val="100"/>
        <c:noMultiLvlLbl val="0"/>
      </c:catAx>
      <c:valAx>
        <c:axId val="52383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81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'Revenue Analysis'!$A$14:$A$17</c:f>
              <c:strCache>
                <c:ptCount val="4"/>
                <c:pt idx="0">
                  <c:v>West</c:v>
                </c:pt>
                <c:pt idx="1">
                  <c:v>Midwest</c:v>
                </c:pt>
                <c:pt idx="2">
                  <c:v>South</c:v>
                </c:pt>
                <c:pt idx="3">
                  <c:v>East</c:v>
                </c:pt>
              </c:strCache>
            </c:strRef>
          </c:cat>
          <c:val>
            <c:numRef>
              <c:f>'Revenue Analysis'!$C$14:$C$17</c:f>
              <c:numCache>
                <c:formatCode>"$"#,##0;\("$"#,##0\)</c:formatCode>
                <c:ptCount val="4"/>
                <c:pt idx="0">
                  <c:v>1171392.6299999999</c:v>
                </c:pt>
                <c:pt idx="1">
                  <c:v>1022730.6500000001</c:v>
                </c:pt>
                <c:pt idx="2">
                  <c:v>999109.26999999979</c:v>
                </c:pt>
                <c:pt idx="3">
                  <c:v>985650.47</c:v>
                </c:pt>
              </c:numCache>
            </c:numRef>
          </c:val>
          <c:extLst>
            <c:ext xmlns:c16="http://schemas.microsoft.com/office/drawing/2014/chart" uri="{C3380CC4-5D6E-409C-BE32-E72D297353CC}">
              <c16:uniqueId val="{00000000-882E-44FD-AA3A-2C7B4F5C399A}"/>
            </c:ext>
          </c:extLst>
        </c:ser>
        <c:ser>
          <c:idx val="1"/>
          <c:order val="1"/>
          <c:spPr>
            <a:solidFill>
              <a:schemeClr val="accent2"/>
            </a:solidFill>
            <a:ln>
              <a:noFill/>
            </a:ln>
            <a:effectLst/>
          </c:spPr>
          <c:invertIfNegative val="0"/>
          <c:cat>
            <c:strRef>
              <c:f>'Revenue Analysis'!$A$14:$A$17</c:f>
              <c:strCache>
                <c:ptCount val="4"/>
                <c:pt idx="0">
                  <c:v>West</c:v>
                </c:pt>
                <c:pt idx="1">
                  <c:v>Midwest</c:v>
                </c:pt>
                <c:pt idx="2">
                  <c:v>South</c:v>
                </c:pt>
                <c:pt idx="3">
                  <c:v>East</c:v>
                </c:pt>
              </c:strCache>
            </c:strRef>
          </c:cat>
          <c:val>
            <c:numRef>
              <c:f>'Revenue Analysis'!$D$14:$D$17</c:f>
              <c:numCache>
                <c:formatCode>"$"#,##0;\("$"#,##0\)</c:formatCode>
                <c:ptCount val="4"/>
                <c:pt idx="0">
                  <c:v>1209083.0000000002</c:v>
                </c:pt>
                <c:pt idx="1">
                  <c:v>1101158.32</c:v>
                </c:pt>
                <c:pt idx="2">
                  <c:v>1249050.1500000001</c:v>
                </c:pt>
                <c:pt idx="3">
                  <c:v>979027.15999999992</c:v>
                </c:pt>
              </c:numCache>
            </c:numRef>
          </c:val>
          <c:extLst>
            <c:ext xmlns:c16="http://schemas.microsoft.com/office/drawing/2014/chart" uri="{C3380CC4-5D6E-409C-BE32-E72D297353CC}">
              <c16:uniqueId val="{00000002-882E-44FD-AA3A-2C7B4F5C399A}"/>
            </c:ext>
          </c:extLst>
        </c:ser>
        <c:ser>
          <c:idx val="2"/>
          <c:order val="2"/>
          <c:spPr>
            <a:solidFill>
              <a:schemeClr val="accent3"/>
            </a:solidFill>
            <a:ln>
              <a:noFill/>
            </a:ln>
            <a:effectLst/>
          </c:spPr>
          <c:invertIfNegative val="0"/>
          <c:cat>
            <c:strRef>
              <c:f>'Revenue Analysis'!$A$14:$A$17</c:f>
              <c:strCache>
                <c:ptCount val="4"/>
                <c:pt idx="0">
                  <c:v>West</c:v>
                </c:pt>
                <c:pt idx="1">
                  <c:v>Midwest</c:v>
                </c:pt>
                <c:pt idx="2">
                  <c:v>South</c:v>
                </c:pt>
                <c:pt idx="3">
                  <c:v>East</c:v>
                </c:pt>
              </c:strCache>
            </c:strRef>
          </c:cat>
          <c:val>
            <c:numRef>
              <c:f>'Revenue Analysis'!$E$14:$E$17</c:f>
              <c:numCache>
                <c:formatCode>"$"#,##0;\("$"#,##0\)</c:formatCode>
                <c:ptCount val="4"/>
                <c:pt idx="0">
                  <c:v>957037.82000000007</c:v>
                </c:pt>
                <c:pt idx="1">
                  <c:v>1202957.1999999997</c:v>
                </c:pt>
                <c:pt idx="2">
                  <c:v>1490814.0299999998</c:v>
                </c:pt>
                <c:pt idx="3">
                  <c:v>1213257.0399999998</c:v>
                </c:pt>
              </c:numCache>
            </c:numRef>
          </c:val>
          <c:extLst>
            <c:ext xmlns:c16="http://schemas.microsoft.com/office/drawing/2014/chart" uri="{C3380CC4-5D6E-409C-BE32-E72D297353CC}">
              <c16:uniqueId val="{00000004-882E-44FD-AA3A-2C7B4F5C399A}"/>
            </c:ext>
          </c:extLst>
        </c:ser>
        <c:dLbls>
          <c:showLegendKey val="0"/>
          <c:showVal val="0"/>
          <c:showCatName val="0"/>
          <c:showSerName val="0"/>
          <c:showPercent val="0"/>
          <c:showBubbleSize val="0"/>
        </c:dLbls>
        <c:gapWidth val="219"/>
        <c:overlap val="-27"/>
        <c:axId val="5864455"/>
        <c:axId val="52536839"/>
      </c:barChart>
      <c:catAx>
        <c:axId val="5864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6839"/>
        <c:crosses val="autoZero"/>
        <c:auto val="1"/>
        <c:lblAlgn val="ctr"/>
        <c:lblOffset val="100"/>
        <c:noMultiLvlLbl val="0"/>
      </c:catAx>
      <c:valAx>
        <c:axId val="52536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Business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2023</c:v>
          </c:tx>
          <c:spPr>
            <a:solidFill>
              <a:schemeClr val="accent1"/>
            </a:solidFill>
            <a:ln>
              <a:noFill/>
            </a:ln>
            <a:effectLst/>
          </c:spPr>
          <c:invertIfNegative val="0"/>
          <c:cat>
            <c:strRef>
              <c:f>'Revenue Analysis'!$A$5:$A$8</c:f>
              <c:strCache>
                <c:ptCount val="4"/>
                <c:pt idx="0">
                  <c:v>Manufacturing</c:v>
                </c:pt>
                <c:pt idx="1">
                  <c:v>Wholesale</c:v>
                </c:pt>
                <c:pt idx="2">
                  <c:v>Retail</c:v>
                </c:pt>
                <c:pt idx="3">
                  <c:v>E-Commerce</c:v>
                </c:pt>
              </c:strCache>
            </c:strRef>
          </c:cat>
          <c:val>
            <c:numRef>
              <c:f>'Revenue Analysis'!$C$5:$C$8</c:f>
              <c:numCache>
                <c:formatCode>"$"#,##0</c:formatCode>
                <c:ptCount val="4"/>
                <c:pt idx="0">
                  <c:v>912415.04000000015</c:v>
                </c:pt>
                <c:pt idx="1">
                  <c:v>963235.69000000006</c:v>
                </c:pt>
                <c:pt idx="2">
                  <c:v>1174289.0999999999</c:v>
                </c:pt>
                <c:pt idx="3">
                  <c:v>1128943.19</c:v>
                </c:pt>
              </c:numCache>
            </c:numRef>
          </c:val>
          <c:extLst>
            <c:ext xmlns:c16="http://schemas.microsoft.com/office/drawing/2014/chart" uri="{C3380CC4-5D6E-409C-BE32-E72D297353CC}">
              <c16:uniqueId val="{00000000-36EE-4F00-A9F5-9F8BAD96DA7D}"/>
            </c:ext>
          </c:extLst>
        </c:ser>
        <c:ser>
          <c:idx val="1"/>
          <c:order val="1"/>
          <c:tx>
            <c:v>2024</c:v>
          </c:tx>
          <c:spPr>
            <a:solidFill>
              <a:schemeClr val="accent2"/>
            </a:solidFill>
            <a:ln>
              <a:noFill/>
            </a:ln>
            <a:effectLst/>
          </c:spPr>
          <c:invertIfNegative val="0"/>
          <c:cat>
            <c:strRef>
              <c:f>'Revenue Analysis'!$A$5:$A$8</c:f>
              <c:strCache>
                <c:ptCount val="4"/>
                <c:pt idx="0">
                  <c:v>Manufacturing</c:v>
                </c:pt>
                <c:pt idx="1">
                  <c:v>Wholesale</c:v>
                </c:pt>
                <c:pt idx="2">
                  <c:v>Retail</c:v>
                </c:pt>
                <c:pt idx="3">
                  <c:v>E-Commerce</c:v>
                </c:pt>
              </c:strCache>
            </c:strRef>
          </c:cat>
          <c:val>
            <c:numRef>
              <c:f>'Revenue Analysis'!$D$5:$D$8</c:f>
              <c:numCache>
                <c:formatCode>"$"#,##0</c:formatCode>
                <c:ptCount val="4"/>
                <c:pt idx="0">
                  <c:v>967524.10000000009</c:v>
                </c:pt>
                <c:pt idx="1">
                  <c:v>1306632.8500000001</c:v>
                </c:pt>
                <c:pt idx="2">
                  <c:v>1000351.26</c:v>
                </c:pt>
                <c:pt idx="3">
                  <c:v>1263810.42</c:v>
                </c:pt>
              </c:numCache>
            </c:numRef>
          </c:val>
          <c:extLst>
            <c:ext xmlns:c16="http://schemas.microsoft.com/office/drawing/2014/chart" uri="{C3380CC4-5D6E-409C-BE32-E72D297353CC}">
              <c16:uniqueId val="{00000002-36EE-4F00-A9F5-9F8BAD96DA7D}"/>
            </c:ext>
          </c:extLst>
        </c:ser>
        <c:ser>
          <c:idx val="2"/>
          <c:order val="2"/>
          <c:tx>
            <c:v>2025</c:v>
          </c:tx>
          <c:spPr>
            <a:solidFill>
              <a:schemeClr val="accent3"/>
            </a:solidFill>
            <a:ln>
              <a:noFill/>
            </a:ln>
            <a:effectLst/>
          </c:spPr>
          <c:invertIfNegative val="0"/>
          <c:cat>
            <c:strRef>
              <c:f>'Revenue Analysis'!$A$5:$A$8</c:f>
              <c:strCache>
                <c:ptCount val="4"/>
                <c:pt idx="0">
                  <c:v>Manufacturing</c:v>
                </c:pt>
                <c:pt idx="1">
                  <c:v>Wholesale</c:v>
                </c:pt>
                <c:pt idx="2">
                  <c:v>Retail</c:v>
                </c:pt>
                <c:pt idx="3">
                  <c:v>E-Commerce</c:v>
                </c:pt>
              </c:strCache>
            </c:strRef>
          </c:cat>
          <c:val>
            <c:numRef>
              <c:f>'Revenue Analysis'!$E$5:$E$8</c:f>
              <c:numCache>
                <c:formatCode>"$"#,##0</c:formatCode>
                <c:ptCount val="4"/>
                <c:pt idx="0">
                  <c:v>1231127.3800000001</c:v>
                </c:pt>
                <c:pt idx="1">
                  <c:v>1181754.5699999998</c:v>
                </c:pt>
                <c:pt idx="2">
                  <c:v>1420953.4300000002</c:v>
                </c:pt>
                <c:pt idx="3">
                  <c:v>1030230.7099999996</c:v>
                </c:pt>
              </c:numCache>
            </c:numRef>
          </c:val>
          <c:extLst>
            <c:ext xmlns:c16="http://schemas.microsoft.com/office/drawing/2014/chart" uri="{C3380CC4-5D6E-409C-BE32-E72D297353CC}">
              <c16:uniqueId val="{00000004-36EE-4F00-A9F5-9F8BAD96DA7D}"/>
            </c:ext>
          </c:extLst>
        </c:ser>
        <c:dLbls>
          <c:showLegendKey val="0"/>
          <c:showVal val="0"/>
          <c:showCatName val="0"/>
          <c:showSerName val="0"/>
          <c:showPercent val="0"/>
          <c:showBubbleSize val="0"/>
        </c:dLbls>
        <c:gapWidth val="219"/>
        <c:overlap val="-27"/>
        <c:axId val="235015"/>
        <c:axId val="5864967"/>
      </c:barChart>
      <c:catAx>
        <c:axId val="235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967"/>
        <c:crosses val="autoZero"/>
        <c:auto val="1"/>
        <c:lblAlgn val="ctr"/>
        <c:lblOffset val="100"/>
        <c:noMultiLvlLbl val="0"/>
      </c:catAx>
      <c:valAx>
        <c:axId val="5864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Operating Expenses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'Expense Analysis'!$A$5:$A$12</c:f>
              <c:strCache>
                <c:ptCount val="8"/>
                <c:pt idx="0">
                  <c:v>Executive</c:v>
                </c:pt>
                <c:pt idx="1">
                  <c:v>Finance</c:v>
                </c:pt>
                <c:pt idx="2">
                  <c:v>Human Resources</c:v>
                </c:pt>
                <c:pt idx="3">
                  <c:v>Sales</c:v>
                </c:pt>
                <c:pt idx="4">
                  <c:v>Marketing</c:v>
                </c:pt>
                <c:pt idx="5">
                  <c:v>Operations</c:v>
                </c:pt>
                <c:pt idx="6">
                  <c:v>Informaton Technology</c:v>
                </c:pt>
                <c:pt idx="7">
                  <c:v>Customer Service</c:v>
                </c:pt>
              </c:strCache>
            </c:strRef>
          </c:cat>
          <c:val>
            <c:numRef>
              <c:f>'Expense Analysis'!$C$5:$C$12</c:f>
              <c:numCache>
                <c:formatCode>"$"#,##0;\("$"#,##0\)</c:formatCode>
                <c:ptCount val="8"/>
                <c:pt idx="0">
                  <c:v>-89157.199999999983</c:v>
                </c:pt>
                <c:pt idx="1">
                  <c:v>-63275.709999999992</c:v>
                </c:pt>
                <c:pt idx="2">
                  <c:v>-80840.439999999988</c:v>
                </c:pt>
                <c:pt idx="3">
                  <c:v>-125819.73000000001</c:v>
                </c:pt>
                <c:pt idx="4">
                  <c:v>-109322.91000000003</c:v>
                </c:pt>
                <c:pt idx="5">
                  <c:v>-157597.56</c:v>
                </c:pt>
                <c:pt idx="6">
                  <c:v>-186606.9</c:v>
                </c:pt>
                <c:pt idx="7">
                  <c:v>-95744.31</c:v>
                </c:pt>
              </c:numCache>
            </c:numRef>
          </c:val>
          <c:extLst>
            <c:ext xmlns:c16="http://schemas.microsoft.com/office/drawing/2014/chart" uri="{C3380CC4-5D6E-409C-BE32-E72D297353CC}">
              <c16:uniqueId val="{00000000-214F-41DF-A642-73C1A01CAB03}"/>
            </c:ext>
          </c:extLst>
        </c:ser>
        <c:ser>
          <c:idx val="1"/>
          <c:order val="1"/>
          <c:spPr>
            <a:solidFill>
              <a:schemeClr val="accent2"/>
            </a:solidFill>
            <a:ln>
              <a:noFill/>
            </a:ln>
            <a:effectLst/>
          </c:spPr>
          <c:invertIfNegative val="0"/>
          <c:cat>
            <c:strRef>
              <c:f>'Expense Analysis'!$A$5:$A$12</c:f>
              <c:strCache>
                <c:ptCount val="8"/>
                <c:pt idx="0">
                  <c:v>Executive</c:v>
                </c:pt>
                <c:pt idx="1">
                  <c:v>Finance</c:v>
                </c:pt>
                <c:pt idx="2">
                  <c:v>Human Resources</c:v>
                </c:pt>
                <c:pt idx="3">
                  <c:v>Sales</c:v>
                </c:pt>
                <c:pt idx="4">
                  <c:v>Marketing</c:v>
                </c:pt>
                <c:pt idx="5">
                  <c:v>Operations</c:v>
                </c:pt>
                <c:pt idx="6">
                  <c:v>Informaton Technology</c:v>
                </c:pt>
                <c:pt idx="7">
                  <c:v>Customer Service</c:v>
                </c:pt>
              </c:strCache>
            </c:strRef>
          </c:cat>
          <c:val>
            <c:numRef>
              <c:f>'Expense Analysis'!$D$5:$D$12</c:f>
              <c:numCache>
                <c:formatCode>"$"#,##0;\("$"#,##0\)</c:formatCode>
                <c:ptCount val="8"/>
                <c:pt idx="0">
                  <c:v>-140491.59</c:v>
                </c:pt>
                <c:pt idx="1">
                  <c:v>-75718.710000000006</c:v>
                </c:pt>
                <c:pt idx="2">
                  <c:v>-100158.82000000002</c:v>
                </c:pt>
                <c:pt idx="3">
                  <c:v>-123310.93999999999</c:v>
                </c:pt>
                <c:pt idx="4">
                  <c:v>-108724.81999999999</c:v>
                </c:pt>
                <c:pt idx="5">
                  <c:v>-146199.04000000001</c:v>
                </c:pt>
                <c:pt idx="6">
                  <c:v>-143596.91</c:v>
                </c:pt>
                <c:pt idx="7">
                  <c:v>-128017.84999999999</c:v>
                </c:pt>
              </c:numCache>
            </c:numRef>
          </c:val>
          <c:extLst>
            <c:ext xmlns:c16="http://schemas.microsoft.com/office/drawing/2014/chart" uri="{C3380CC4-5D6E-409C-BE32-E72D297353CC}">
              <c16:uniqueId val="{00000002-214F-41DF-A642-73C1A01CAB03}"/>
            </c:ext>
          </c:extLst>
        </c:ser>
        <c:ser>
          <c:idx val="2"/>
          <c:order val="2"/>
          <c:spPr>
            <a:solidFill>
              <a:schemeClr val="accent3"/>
            </a:solidFill>
            <a:ln>
              <a:noFill/>
            </a:ln>
            <a:effectLst/>
          </c:spPr>
          <c:invertIfNegative val="0"/>
          <c:cat>
            <c:strRef>
              <c:f>'Expense Analysis'!$A$5:$A$12</c:f>
              <c:strCache>
                <c:ptCount val="8"/>
                <c:pt idx="0">
                  <c:v>Executive</c:v>
                </c:pt>
                <c:pt idx="1">
                  <c:v>Finance</c:v>
                </c:pt>
                <c:pt idx="2">
                  <c:v>Human Resources</c:v>
                </c:pt>
                <c:pt idx="3">
                  <c:v>Sales</c:v>
                </c:pt>
                <c:pt idx="4">
                  <c:v>Marketing</c:v>
                </c:pt>
                <c:pt idx="5">
                  <c:v>Operations</c:v>
                </c:pt>
                <c:pt idx="6">
                  <c:v>Informaton Technology</c:v>
                </c:pt>
                <c:pt idx="7">
                  <c:v>Customer Service</c:v>
                </c:pt>
              </c:strCache>
            </c:strRef>
          </c:cat>
          <c:val>
            <c:numRef>
              <c:f>'Expense Analysis'!$E$5:$E$12</c:f>
              <c:numCache>
                <c:formatCode>"$"#,##0;\("$"#,##0\)</c:formatCode>
                <c:ptCount val="8"/>
                <c:pt idx="0">
                  <c:v>-134456.64000000001</c:v>
                </c:pt>
                <c:pt idx="1">
                  <c:v>-109025.23999999999</c:v>
                </c:pt>
                <c:pt idx="2">
                  <c:v>-174194.11999999997</c:v>
                </c:pt>
                <c:pt idx="3">
                  <c:v>-151909.95000000001</c:v>
                </c:pt>
                <c:pt idx="4">
                  <c:v>-81967.010000000009</c:v>
                </c:pt>
                <c:pt idx="5">
                  <c:v>-113383.65999999999</c:v>
                </c:pt>
                <c:pt idx="6">
                  <c:v>-122610.08000000002</c:v>
                </c:pt>
                <c:pt idx="7">
                  <c:v>-113960.01</c:v>
                </c:pt>
              </c:numCache>
            </c:numRef>
          </c:val>
          <c:extLst>
            <c:ext xmlns:c16="http://schemas.microsoft.com/office/drawing/2014/chart" uri="{C3380CC4-5D6E-409C-BE32-E72D297353CC}">
              <c16:uniqueId val="{00000004-214F-41DF-A642-73C1A01CAB03}"/>
            </c:ext>
          </c:extLst>
        </c:ser>
        <c:dLbls>
          <c:showLegendKey val="0"/>
          <c:showVal val="0"/>
          <c:showCatName val="0"/>
          <c:showSerName val="0"/>
          <c:showPercent val="0"/>
          <c:showBubbleSize val="0"/>
        </c:dLbls>
        <c:gapWidth val="219"/>
        <c:axId val="509386248"/>
        <c:axId val="1317077511"/>
      </c:barChart>
      <c:catAx>
        <c:axId val="50938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77511"/>
        <c:crosses val="autoZero"/>
        <c:auto val="1"/>
        <c:lblAlgn val="ctr"/>
        <c:lblOffset val="100"/>
        <c:noMultiLvlLbl val="0"/>
      </c:catAx>
      <c:valAx>
        <c:axId val="1317077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86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Revenue 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2023</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Analysis'!$J$7:$J$18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Analysis'!$K$7:$K$18</c:f>
              <c:numCache>
                <c:formatCode>0.0%</c:formatCode>
                <c:ptCount val="12"/>
                <c:pt idx="0">
                  <c:v>7.2769060187762802E-2</c:v>
                </c:pt>
                <c:pt idx="1">
                  <c:v>6.966667375149449E-2</c:v>
                </c:pt>
                <c:pt idx="2">
                  <c:v>7.5956086466378261E-2</c:v>
                </c:pt>
                <c:pt idx="3">
                  <c:v>8.1569706155593696E-2</c:v>
                </c:pt>
                <c:pt idx="4">
                  <c:v>8.5634198968316644E-2</c:v>
                </c:pt>
                <c:pt idx="5">
                  <c:v>8.9154297504121072E-2</c:v>
                </c:pt>
                <c:pt idx="6">
                  <c:v>8.9288161026340476E-2</c:v>
                </c:pt>
                <c:pt idx="7">
                  <c:v>8.7931260157648516E-2</c:v>
                </c:pt>
                <c:pt idx="8">
                  <c:v>8.042896592018027E-2</c:v>
                </c:pt>
                <c:pt idx="9">
                  <c:v>8.2657937144170149E-2</c:v>
                </c:pt>
                <c:pt idx="10">
                  <c:v>8.8215797914343141E-2</c:v>
                </c:pt>
                <c:pt idx="11">
                  <c:v>9.672785480365037E-2</c:v>
                </c:pt>
              </c:numCache>
            </c:numRef>
          </c:val>
          <c:smooth val="0"/>
          <c:extLst>
            <c:ext xmlns:c16="http://schemas.microsoft.com/office/drawing/2014/chart" uri="{C3380CC4-5D6E-409C-BE32-E72D297353CC}">
              <c16:uniqueId val="{00000000-EF8C-43EE-96BA-3296366BE0C9}"/>
            </c:ext>
          </c:extLst>
        </c:ser>
        <c:ser>
          <c:idx val="1"/>
          <c:order val="1"/>
          <c:tx>
            <c:v>2024</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Analysis'!$J$7:$J$18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Analysis'!$L$7:$L$18</c:f>
              <c:numCache>
                <c:formatCode>0.0%</c:formatCode>
                <c:ptCount val="12"/>
                <c:pt idx="0">
                  <c:v>7.3096524736518995E-2</c:v>
                </c:pt>
                <c:pt idx="1">
                  <c:v>6.9862364423716114E-2</c:v>
                </c:pt>
                <c:pt idx="2">
                  <c:v>7.6811274928045306E-2</c:v>
                </c:pt>
                <c:pt idx="3">
                  <c:v>8.3105268877958868E-2</c:v>
                </c:pt>
                <c:pt idx="4">
                  <c:v>8.6046942014734673E-2</c:v>
                </c:pt>
                <c:pt idx="5">
                  <c:v>8.8610003568656448E-2</c:v>
                </c:pt>
                <c:pt idx="6">
                  <c:v>8.889365266977739E-2</c:v>
                </c:pt>
                <c:pt idx="7">
                  <c:v>8.6945190977038123E-2</c:v>
                </c:pt>
                <c:pt idx="8">
                  <c:v>7.9823509439221563E-2</c:v>
                </c:pt>
                <c:pt idx="9">
                  <c:v>8.2637188037191639E-2</c:v>
                </c:pt>
                <c:pt idx="10">
                  <c:v>8.8627765653378127E-2</c:v>
                </c:pt>
                <c:pt idx="11">
                  <c:v>9.5540314673762811E-2</c:v>
                </c:pt>
              </c:numCache>
            </c:numRef>
          </c:val>
          <c:smooth val="0"/>
          <c:extLst>
            <c:ext xmlns:c16="http://schemas.microsoft.com/office/drawing/2014/chart" uri="{C3380CC4-5D6E-409C-BE32-E72D297353CC}">
              <c16:uniqueId val="{00000002-EF8C-43EE-96BA-3296366BE0C9}"/>
            </c:ext>
          </c:extLst>
        </c:ser>
        <c:ser>
          <c:idx val="2"/>
          <c:order val="2"/>
          <c:tx>
            <c:v>2025</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Analysis'!$J$7:$J$18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Analysis'!$M$7:$M$18</c:f>
              <c:numCache>
                <c:formatCode>0.0%</c:formatCode>
                <c:ptCount val="12"/>
                <c:pt idx="0">
                  <c:v>7.2723526665732452E-2</c:v>
                </c:pt>
                <c:pt idx="1">
                  <c:v>6.9705701716729768E-2</c:v>
                </c:pt>
                <c:pt idx="2">
                  <c:v>7.681126306406745E-2</c:v>
                </c:pt>
                <c:pt idx="3">
                  <c:v>8.1917270988396462E-2</c:v>
                </c:pt>
                <c:pt idx="4">
                  <c:v>8.6311049692172251E-2</c:v>
                </c:pt>
                <c:pt idx="5">
                  <c:v>8.7609940349309703E-2</c:v>
                </c:pt>
                <c:pt idx="6">
                  <c:v>9.0680953309168547E-2</c:v>
                </c:pt>
                <c:pt idx="7">
                  <c:v>8.7063307151733216E-2</c:v>
                </c:pt>
                <c:pt idx="8">
                  <c:v>8.0973100018055078E-2</c:v>
                </c:pt>
                <c:pt idx="9">
                  <c:v>8.1766442445686441E-2</c:v>
                </c:pt>
                <c:pt idx="10">
                  <c:v>8.8132848540304273E-2</c:v>
                </c:pt>
                <c:pt idx="11">
                  <c:v>9.6304596058644443E-2</c:v>
                </c:pt>
              </c:numCache>
            </c:numRef>
          </c:val>
          <c:smooth val="0"/>
          <c:extLst>
            <c:ext xmlns:c16="http://schemas.microsoft.com/office/drawing/2014/chart" uri="{C3380CC4-5D6E-409C-BE32-E72D297353CC}">
              <c16:uniqueId val="{00000004-EF8C-43EE-96BA-3296366BE0C9}"/>
            </c:ext>
          </c:extLst>
        </c:ser>
        <c:dLbls>
          <c:showLegendKey val="0"/>
          <c:showVal val="0"/>
          <c:showCatName val="0"/>
          <c:showSerName val="0"/>
          <c:showPercent val="0"/>
          <c:showBubbleSize val="0"/>
        </c:dLbls>
        <c:marker val="1"/>
        <c:smooth val="0"/>
        <c:axId val="1508185608"/>
        <c:axId val="1508187656"/>
      </c:lineChart>
      <c:catAx>
        <c:axId val="150818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87656"/>
        <c:crosses val="autoZero"/>
        <c:auto val="1"/>
        <c:lblAlgn val="ctr"/>
        <c:lblOffset val="100"/>
        <c:noMultiLvlLbl val="0"/>
      </c:catAx>
      <c:valAx>
        <c:axId val="15081876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85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2023</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Analysis'!$B$5:$B$16</c:f>
              <c:numCache>
                <c:formatCode>"$"#,##0;\("$"#,##0\)</c:formatCode>
                <c:ptCount val="12"/>
                <c:pt idx="0">
                  <c:v>304093.39</c:v>
                </c:pt>
                <c:pt idx="1">
                  <c:v>291128.88000000006</c:v>
                </c:pt>
                <c:pt idx="2">
                  <c:v>317411.59999999998</c:v>
                </c:pt>
                <c:pt idx="3">
                  <c:v>340870.26</c:v>
                </c:pt>
                <c:pt idx="4">
                  <c:v>357855.3</c:v>
                </c:pt>
                <c:pt idx="5">
                  <c:v>372565.37999999995</c:v>
                </c:pt>
                <c:pt idx="6">
                  <c:v>373124.78</c:v>
                </c:pt>
                <c:pt idx="7">
                  <c:v>367454.44999999995</c:v>
                </c:pt>
                <c:pt idx="8">
                  <c:v>336103.24000000005</c:v>
                </c:pt>
                <c:pt idx="9">
                  <c:v>345417.85</c:v>
                </c:pt>
                <c:pt idx="10">
                  <c:v>368643.5</c:v>
                </c:pt>
                <c:pt idx="11">
                  <c:v>404214.39</c:v>
                </c:pt>
              </c:numCache>
            </c:numRef>
          </c:val>
          <c:smooth val="0"/>
          <c:extLst>
            <c:ext xmlns:c16="http://schemas.microsoft.com/office/drawing/2014/chart" uri="{C3380CC4-5D6E-409C-BE32-E72D297353CC}">
              <c16:uniqueId val="{00000000-E21E-455C-8F8A-149E1C9F4310}"/>
            </c:ext>
          </c:extLst>
        </c:ser>
        <c:ser>
          <c:idx val="1"/>
          <c:order val="1"/>
          <c:tx>
            <c:v>2024</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Analysis'!$C$5:$C$16</c:f>
              <c:numCache>
                <c:formatCode>"$"#,##0;\("$"#,##0\)</c:formatCode>
                <c:ptCount val="12"/>
                <c:pt idx="0">
                  <c:v>331735.32</c:v>
                </c:pt>
                <c:pt idx="1">
                  <c:v>317057.67000000004</c:v>
                </c:pt>
                <c:pt idx="2">
                  <c:v>348594.03999999992</c:v>
                </c:pt>
                <c:pt idx="3">
                  <c:v>377158.18999999994</c:v>
                </c:pt>
                <c:pt idx="4">
                  <c:v>390508.44000000006</c:v>
                </c:pt>
                <c:pt idx="5">
                  <c:v>402140.43000000005</c:v>
                </c:pt>
                <c:pt idx="6">
                  <c:v>403427.72</c:v>
                </c:pt>
                <c:pt idx="7">
                  <c:v>394584.98</c:v>
                </c:pt>
                <c:pt idx="8">
                  <c:v>362264.52000000008</c:v>
                </c:pt>
                <c:pt idx="9">
                  <c:v>375033.88999999996</c:v>
                </c:pt>
                <c:pt idx="10">
                  <c:v>402221.04000000004</c:v>
                </c:pt>
                <c:pt idx="11">
                  <c:v>433592.39000000013</c:v>
                </c:pt>
              </c:numCache>
            </c:numRef>
          </c:val>
          <c:smooth val="0"/>
          <c:extLst>
            <c:ext xmlns:c16="http://schemas.microsoft.com/office/drawing/2014/chart" uri="{C3380CC4-5D6E-409C-BE32-E72D297353CC}">
              <c16:uniqueId val="{00000002-E21E-455C-8F8A-149E1C9F4310}"/>
            </c:ext>
          </c:extLst>
        </c:ser>
        <c:ser>
          <c:idx val="2"/>
          <c:order val="2"/>
          <c:tx>
            <c:v>2025</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'Monthly Analysis'!$A$5:$A$16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Analysis'!$D$5:$D$16</c:f>
              <c:numCache>
                <c:formatCode>"$"#,##0;\("$"#,##0\)</c:formatCode>
                <c:ptCount val="12"/>
                <c:pt idx="0">
                  <c:v>353732.04</c:v>
                </c:pt>
                <c:pt idx="1">
                  <c:v>339053.14</c:v>
                </c:pt>
                <c:pt idx="2">
                  <c:v>373615.06</c:v>
                </c:pt>
                <c:pt idx="3">
                  <c:v>398451.02</c:v>
                </c:pt>
                <c:pt idx="4">
                  <c:v>419822.64999999997</c:v>
                </c:pt>
                <c:pt idx="5">
                  <c:v>426140.54000000004</c:v>
                </c:pt>
                <c:pt idx="6">
                  <c:v>441078.15</c:v>
                </c:pt>
                <c:pt idx="7">
                  <c:v>423481.68</c:v>
                </c:pt>
                <c:pt idx="8">
                  <c:v>393858.51000000007</c:v>
                </c:pt>
                <c:pt idx="9">
                  <c:v>397717.38000000006</c:v>
                </c:pt>
                <c:pt idx="10">
                  <c:v>428684</c:v>
                </c:pt>
                <c:pt idx="11">
                  <c:v>468431.92000000004</c:v>
                </c:pt>
              </c:numCache>
            </c:numRef>
          </c:val>
          <c:smooth val="0"/>
          <c:extLst>
            <c:ext xmlns:c16="http://schemas.microsoft.com/office/drawing/2014/chart" uri="{C3380CC4-5D6E-409C-BE32-E72D297353CC}">
              <c16:uniqueId val="{00000004-E21E-455C-8F8A-149E1C9F4310}"/>
            </c:ext>
          </c:extLst>
        </c:ser>
        <c:dLbls>
          <c:showLegendKey val="0"/>
          <c:showVal val="0"/>
          <c:showCatName val="0"/>
          <c:showSerName val="0"/>
          <c:showPercent val="0"/>
          <c:showBubbleSize val="0"/>
        </c:dLbls>
        <c:marker val="1"/>
        <c:smooth val="0"/>
        <c:axId val="1133525512"/>
        <c:axId val="1133527560"/>
      </c:lineChart>
      <c:catAx>
        <c:axId val="113352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27560"/>
        <c:crosses val="autoZero"/>
        <c:auto val="1"/>
        <c:lblAlgn val="ctr"/>
        <c:lblOffset val="100"/>
        <c:noMultiLvlLbl val="0"/>
      </c:catAx>
      <c:valAx>
        <c:axId val="1133527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525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9525</xdr:rowOff>
    </xdr:from>
    <xdr:to>
      <xdr:col>14</xdr:col>
      <xdr:colOff>600075</xdr:colOff>
      <xdr:row>15</xdr:row>
      <xdr:rowOff>28575</xdr:rowOff>
    </xdr:to>
    <xdr:graphicFrame macro="">
      <xdr:nvGraphicFramePr>
        <xdr:cNvPr id="4" name="Chart 3">
          <a:extLst>
            <a:ext uri="{FF2B5EF4-FFF2-40B4-BE49-F238E27FC236}">
              <a16:creationId xmlns:a16="http://schemas.microsoft.com/office/drawing/2014/main" id="{954D35CF-38A4-99F4-C634-C282876E4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590550</xdr:colOff>
      <xdr:row>15</xdr:row>
      <xdr:rowOff>0</xdr:rowOff>
    </xdr:from>
    <xdr:to>
      <xdr:col>14</xdr:col>
      <xdr:colOff>590550</xdr:colOff>
      <xdr:row>26</xdr:row>
      <xdr:rowOff>171450</xdr:rowOff>
    </xdr:to>
    <xdr:graphicFrame macro="">
      <xdr:nvGraphicFramePr>
        <xdr:cNvPr id="9" name="Chart 8">
          <a:extLst>
            <a:ext uri="{FF2B5EF4-FFF2-40B4-BE49-F238E27FC236}">
              <a16:creationId xmlns:a16="http://schemas.microsoft.com/office/drawing/2014/main" id="{F4AC6A52-825A-CF7C-FF90-273F9C8DA236}"/>
            </a:ext>
            <a:ext uri="{147F2762-F138-4A5C-976F-8EAC2B608ADB}">
              <a16:predDERef xmlns:a16="http://schemas.microsoft.com/office/drawing/2014/main" pred="{7A1991DE-1A55-C4D3-D1AE-F9A40886B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0</xdr:row>
      <xdr:rowOff>171450</xdr:rowOff>
    </xdr:from>
    <xdr:to>
      <xdr:col>15</xdr:col>
      <xdr:colOff>19050</xdr:colOff>
      <xdr:row>13</xdr:row>
      <xdr:rowOff>152400</xdr:rowOff>
    </xdr:to>
    <xdr:graphicFrame macro="">
      <xdr:nvGraphicFramePr>
        <xdr:cNvPr id="10" name="Chart 9">
          <a:extLst>
            <a:ext uri="{FF2B5EF4-FFF2-40B4-BE49-F238E27FC236}">
              <a16:creationId xmlns:a16="http://schemas.microsoft.com/office/drawing/2014/main" id="{F22CD091-3083-3DE2-B2FE-467416F63E96}"/>
            </a:ext>
            <a:ext uri="{147F2762-F138-4A5C-976F-8EAC2B608ADB}">
              <a16:predDERef xmlns:a16="http://schemas.microsoft.com/office/drawing/2014/main" pred="{F4AC6A52-825A-CF7C-FF90-273F9C8DA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533400</xdr:colOff>
      <xdr:row>2</xdr:row>
      <xdr:rowOff>180975</xdr:rowOff>
    </xdr:from>
    <xdr:to>
      <xdr:col>16</xdr:col>
      <xdr:colOff>533400</xdr:colOff>
      <xdr:row>18</xdr:row>
      <xdr:rowOff>0</xdr:rowOff>
    </xdr:to>
    <xdr:graphicFrame macro="">
      <xdr:nvGraphicFramePr>
        <xdr:cNvPr id="5" name="Chart 4">
          <a:extLst>
            <a:ext uri="{FF2B5EF4-FFF2-40B4-BE49-F238E27FC236}">
              <a16:creationId xmlns:a16="http://schemas.microsoft.com/office/drawing/2014/main" id="{B417292E-F6EA-7438-348D-C815A6703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9525</xdr:colOff>
      <xdr:row>21</xdr:row>
      <xdr:rowOff>0</xdr:rowOff>
    </xdr:from>
    <xdr:to>
      <xdr:col>14</xdr:col>
      <xdr:colOff>0</xdr:colOff>
      <xdr:row>36</xdr:row>
      <xdr:rowOff>9525</xdr:rowOff>
    </xdr:to>
    <xdr:graphicFrame macro="">
      <xdr:nvGraphicFramePr>
        <xdr:cNvPr id="3" name="Chart 2">
          <a:extLst>
            <a:ext uri="{FF2B5EF4-FFF2-40B4-BE49-F238E27FC236}">
              <a16:creationId xmlns:a16="http://schemas.microsoft.com/office/drawing/2014/main" id="{57433D36-1FC3-926A-D435-6D9B8A292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38</xdr:row>
      <xdr:rowOff>180975</xdr:rowOff>
    </xdr:from>
    <xdr:to>
      <xdr:col>13</xdr:col>
      <xdr:colOff>885825</xdr:colOff>
      <xdr:row>54</xdr:row>
      <xdr:rowOff>0</xdr:rowOff>
    </xdr:to>
    <xdr:graphicFrame macro="">
      <xdr:nvGraphicFramePr>
        <xdr:cNvPr id="4" name="Chart 3">
          <a:extLst>
            <a:ext uri="{FF2B5EF4-FFF2-40B4-BE49-F238E27FC236}">
              <a16:creationId xmlns:a16="http://schemas.microsoft.com/office/drawing/2014/main" id="{A6D91E8D-DC19-E610-1B16-EF2426C02BB9}"/>
            </a:ext>
            <a:ext uri="{147F2762-F138-4A5C-976F-8EAC2B608ADB}">
              <a16:predDERef xmlns:a16="http://schemas.microsoft.com/office/drawing/2014/main" pred="{57433D36-1FC3-926A-D435-6D9B8A292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591DD-357E-4772-A60D-2AB6AD3B2299}" name="tblAccounts" displayName="tblAccounts" ref="A1:F26" totalsRowShown="0" headerRowDxfId="10">
  <autoFilter ref="A1:F26" xr:uid="{C18591DD-357E-4772-A60D-2AB6AD3B2299}"/>
  <tableColumns count="6">
    <tableColumn id="6" xr3:uid="{DF572FB8-97FD-40A6-9383-E5C527464EDD}" name="AccountKey"/>
    <tableColumn id="1" xr3:uid="{053353C0-DCAA-4677-91D9-A01354A7629D}" name="AccountNumber"/>
    <tableColumn id="2" xr3:uid="{7D49ADFE-881A-458D-9EC0-37282D733963}" name="AccountName"/>
    <tableColumn id="3" xr3:uid="{0990FFF1-686F-495A-95FE-EB01D4DC262E}" name="FinancialStatement"/>
    <tableColumn id="4" xr3:uid="{ABA061CC-6561-47BA-A9DC-B2488CD7105D}" name="AccountCategory"/>
    <tableColumn id="5" xr3:uid="{2A40288C-1A9B-4D0E-B874-C6601452D522}" name="NormalBal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882E9B-AA2E-4BE2-8D8E-0A69B7E3776F}" name="tblBusinessUnits" displayName="tblBusinessUnits" ref="A1:C5" totalsRowShown="0">
  <autoFilter ref="A1:C5" xr:uid="{CB882E9B-AA2E-4BE2-8D8E-0A69B7E3776F}"/>
  <tableColumns count="3">
    <tableColumn id="3" xr3:uid="{E60CA6E7-E823-45A9-B176-4E641A0BE0BD}" name="BusinessUnitKey"/>
    <tableColumn id="1" xr3:uid="{B1637E09-328A-442B-8128-C8C6E6508123}" name="BusinessUnitID"/>
    <tableColumn id="2" xr3:uid="{3B65628C-5CF8-418F-898F-298C7193B0F6}" name="BusinessUnit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5AE586-1EBF-48B0-B326-C452824863DD}" name="tblCalendar" displayName="tblCalendar" ref="A1:H1097">
  <autoFilter ref="A1:H1097" xr:uid="{305AE586-1EBF-48B0-B326-C452824863DD}"/>
  <tableColumns count="8">
    <tableColumn id="1" xr3:uid="{17CFB25B-CF30-4437-8247-93E21DEBCD3E}" name="DateKey"/>
    <tableColumn id="2" xr3:uid="{64691772-6F50-46F5-A929-5D247182E1F3}" name="FullDate" dataDxfId="9"/>
    <tableColumn id="3" xr3:uid="{DBB7AF50-C8CC-4255-8742-49C4C8737B95}" name="CalendarYear"/>
    <tableColumn id="4" xr3:uid="{BFB7C75A-56CE-4C11-A105-905FED4AD665}" name="CalendarQuarter"/>
    <tableColumn id="5" xr3:uid="{D4D21DC1-8775-4173-8DD0-9AD9EA6D3AA2}" name="MonthNumber"/>
    <tableColumn id="6" xr3:uid="{A3699EB9-50C2-4839-B85F-B617CEA23FC0}" name="MonthName"/>
    <tableColumn id="7" xr3:uid="{7F7A1CD9-AC9E-4623-96B0-5C246944A0C3}" name="MonthYear"/>
    <tableColumn id="8" xr3:uid="{827D3236-4AAE-4187-8E80-4D315CCED5D2}" name="FiscalYe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FBEEFA-2843-4D16-B95E-D365826A1DF0}" name="tblDepartments" displayName="tblDepartments" ref="A1:C9">
  <autoFilter ref="A1:C9" xr:uid="{19FBEEFA-2843-4D16-B95E-D365826A1DF0}"/>
  <tableColumns count="3">
    <tableColumn id="3" xr3:uid="{A2551F85-1D8E-4CB9-94DF-5AD13025967F}" name="DepartmentKey"/>
    <tableColumn id="1" xr3:uid="{A30FC945-E680-487F-8B45-2F289E077E05}" name="DepartmentID"/>
    <tableColumn id="2" xr3:uid="{92A7ADFA-C576-47C4-9B09-9094691593FD}" name="Department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FBDD4F-B376-46F3-BAD0-53FCF076DF0F}" name="tblFinancials" displayName="tblFinancials" ref="A1:P1297">
  <autoFilter ref="A1:P1297" xr:uid="{07FBDD4F-B376-46F3-BAD0-53FCF076DF0F}"/>
  <tableColumns count="16">
    <tableColumn id="1" xr3:uid="{4ABAC96C-5D0F-4F50-A7FA-45BC2D71BE96}" name="DateKey"/>
    <tableColumn id="2" xr3:uid="{C23ADD1C-29D1-4A03-A7BC-2EE899F6EE98}" name="DepartmentKey"/>
    <tableColumn id="3" xr3:uid="{1E63E4A5-AB2A-4690-9511-52E6127DB9A2}" name="BusinessUnitKey"/>
    <tableColumn id="4" xr3:uid="{3F784AD1-46F3-40A9-9D73-702202C9BBD4}" name="RegionKey"/>
    <tableColumn id="5" xr3:uid="{EF20B1FA-2B62-4D10-B9F1-098CFD27B984}" name="AccountKey"/>
    <tableColumn id="6" xr3:uid="{39C4ED6D-F1E8-4F09-9747-1968DB27AA41}" name="Scenario"/>
    <tableColumn id="7" xr3:uid="{070101A0-FFCF-4424-AFDF-CB159CB38C4B}" name="Amount"/>
    <tableColumn id="8" xr3:uid="{33BF7840-DADB-4522-A9B4-C80A48E4B1A2}" name="FullDate" dataDxfId="8">
      <calculatedColumnFormula>_xlfn.XLOOKUP(tblFinancials[[#This Row],[DateKey]],tblCalendar[DateKey],tblCalendar[FullDate],"")</calculatedColumnFormula>
    </tableColumn>
    <tableColumn id="9" xr3:uid="{2F13F841-1432-46A1-951F-65FA96D3F10E}" name="AccountNumber" dataDxfId="7">
      <calculatedColumnFormula>_xlfn.XLOOKUP(tblFinancials[[#This Row],[AccountKey]],tblAccounts[AccountKey],tblAccounts[AccountNumber],"")</calculatedColumnFormula>
    </tableColumn>
    <tableColumn id="10" xr3:uid="{FD7A90D1-1BDC-4C90-9728-87529A2C965F}" name="AccountName" dataDxfId="6">
      <calculatedColumnFormula>_xlfn.XLOOKUP(tblFinancials[[#This Row],[AccountKey]],tblAccounts[AccountKey],tblAccounts[AccountName],"")</calculatedColumnFormula>
    </tableColumn>
    <tableColumn id="11" xr3:uid="{C9DE9108-1DA4-498D-87FD-5C6CAF5D81DC}" name="FinancialStatement" dataDxfId="5">
      <calculatedColumnFormula>_xlfn.XLOOKUP(tblFinancials[[#This Row],[AccountKey]],tblAccounts[AccountKey],tblAccounts[FinancialStatement],"")</calculatedColumnFormula>
    </tableColumn>
    <tableColumn id="12" xr3:uid="{DD00D464-453D-4AB6-849E-8ED4B495AFFD}" name="AccountCategory" dataDxfId="4">
      <calculatedColumnFormula>_xlfn.XLOOKUP(tblFinancials[[#This Row],[AccountKey]],tblAccounts[AccountKey],tblAccounts[AccountCategory],"")</calculatedColumnFormula>
    </tableColumn>
    <tableColumn id="13" xr3:uid="{E05D625E-E235-4513-82CE-9AC195996203}" name="NormalBalance" dataDxfId="3">
      <calculatedColumnFormula>_xlfn.XLOOKUP(tblFinancials[[#This Row],[AccountKey]],tblAccounts[AccountKey],tblAccounts[NormalBalance],"")</calculatedColumnFormula>
    </tableColumn>
    <tableColumn id="14" xr3:uid="{87D4D338-E866-4D2F-A7DA-CE685601A42F}" name="DepartmentName" dataDxfId="2">
      <calculatedColumnFormula>_xlfn.XLOOKUP(tblFinancials[[#This Row],[DepartmentKey]],tblDepartments[DepartmentKey],tblDepartments[DepartmentName],"")</calculatedColumnFormula>
    </tableColumn>
    <tableColumn id="15" xr3:uid="{C413B999-7CA0-47A7-A4BC-545EB15AA847}" name="BusinessUnitName" dataDxfId="1">
      <calculatedColumnFormula>_xlfn.XLOOKUP(tblFinancials[[#This Row],[BusinessUnitKey]],tblBusinessUnits[BusinessUnitKey],tblBusinessUnits[BusinessUnitName],"")</calculatedColumnFormula>
    </tableColumn>
    <tableColumn id="16" xr3:uid="{E63FBF6D-82C5-4BA8-91BC-CA7A57359490}" name="RegionName" dataDxfId="0">
      <calculatedColumnFormula>_xlfn.XLOOKUP(tblFinancials[[#This Row],[RegionKey]],tblRegions[RegionKey],tblRegions[RegionName],"")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39208C-BB0E-4749-A49A-8660B98F189F}" name="tblRegions" displayName="tblRegions" ref="A1:C5">
  <autoFilter ref="A1:C5" xr:uid="{E839208C-BB0E-4749-A49A-8660B98F189F}"/>
  <tableColumns count="3">
    <tableColumn id="3" xr3:uid="{AB8F724A-483C-4F80-894C-632A62DAB263}" name="RegionKey"/>
    <tableColumn id="1" xr3:uid="{3DFDCF4B-9FCC-4F42-A8B0-7355042EDC21}" name="RegionID"/>
    <tableColumn id="2" xr3:uid="{8A3024FB-9683-4E36-A4E7-05C7FF1DF821}" name="Region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A28" sqref="A28"/>
    </sheetView>
  </sheetViews>
  <sheetFormatPr defaultRowHeight="15"/>
  <cols>
    <col min="1" max="1" width="106.42578125" customWidth="1"/>
    <col min="2" max="2" width="41.140625" customWidth="1"/>
  </cols>
  <sheetData>
    <row r="1" spans="1:2">
      <c r="A1" s="40" t="s">
        <v>0</v>
      </c>
      <c r="B1" s="40"/>
    </row>
    <row r="2" spans="1:2">
      <c r="A2" s="40" t="s">
        <v>1</v>
      </c>
      <c r="B2" s="40"/>
    </row>
    <row r="4" spans="1:2">
      <c r="A4" t="s">
        <v>2</v>
      </c>
    </row>
    <row r="5" spans="1:2">
      <c r="A5" t="s">
        <v>3</v>
      </c>
    </row>
    <row r="7" spans="1:2">
      <c r="A7" t="s">
        <v>4</v>
      </c>
      <c r="B7" t="s">
        <v>5</v>
      </c>
    </row>
    <row r="8" spans="1:2">
      <c r="A8" t="s">
        <v>6</v>
      </c>
      <c r="B8" t="s">
        <v>7</v>
      </c>
    </row>
    <row r="10" spans="1:2">
      <c r="A10" t="s">
        <v>8</v>
      </c>
      <c r="B10" t="s">
        <v>9</v>
      </c>
    </row>
    <row r="11" spans="1:2">
      <c r="A11" t="s">
        <v>10</v>
      </c>
      <c r="B11" t="s">
        <v>11</v>
      </c>
    </row>
    <row r="13" spans="1:2">
      <c r="A13" t="s">
        <v>12</v>
      </c>
      <c r="B13" t="s">
        <v>13</v>
      </c>
    </row>
    <row r="15" spans="1:2">
      <c r="A15" t="s">
        <v>14</v>
      </c>
      <c r="B15" t="s">
        <v>15</v>
      </c>
    </row>
  </sheetData>
  <mergeCells count="2">
    <mergeCell ref="A2:B2"/>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5CCAF-735D-4AC2-BBA5-A515123179E6}">
  <dimension ref="A1:F167"/>
  <sheetViews>
    <sheetView topLeftCell="A154" workbookViewId="0">
      <selection activeCell="A94" sqref="A94"/>
    </sheetView>
  </sheetViews>
  <sheetFormatPr defaultRowHeight="15"/>
  <cols>
    <col min="1" max="1" width="36.7109375" customWidth="1"/>
    <col min="2" max="2" width="55" customWidth="1"/>
    <col min="3" max="3" width="63.42578125" customWidth="1"/>
    <col min="4" max="4" width="66.140625" customWidth="1"/>
    <col min="5" max="5" width="17.5703125" customWidth="1"/>
    <col min="6" max="6" width="18.140625" customWidth="1"/>
  </cols>
  <sheetData>
    <row r="1" spans="1:2">
      <c r="A1" s="37" t="s">
        <v>16</v>
      </c>
      <c r="B1" s="37"/>
    </row>
    <row r="3" spans="1:2">
      <c r="A3" s="39" t="s">
        <v>1</v>
      </c>
      <c r="B3" s="40"/>
    </row>
    <row r="4" spans="1:2">
      <c r="A4" s="31" t="s">
        <v>17</v>
      </c>
      <c r="B4" s="31" t="s">
        <v>18</v>
      </c>
    </row>
    <row r="5" spans="1:2">
      <c r="A5" t="s">
        <v>19</v>
      </c>
      <c r="B5" s="1">
        <v>44927</v>
      </c>
    </row>
    <row r="6" spans="1:2">
      <c r="A6" t="s">
        <v>20</v>
      </c>
      <c r="B6" s="1">
        <v>46022</v>
      </c>
    </row>
    <row r="7" spans="1:2">
      <c r="A7" t="s">
        <v>21</v>
      </c>
      <c r="B7" s="1">
        <v>46023</v>
      </c>
    </row>
    <row r="8" spans="1:2">
      <c r="A8" t="s">
        <v>22</v>
      </c>
      <c r="B8" s="1">
        <v>47118</v>
      </c>
    </row>
    <row r="10" spans="1:2">
      <c r="A10" t="s">
        <v>23</v>
      </c>
      <c r="B10" t="str">
        <f>'Model QA'!D23</f>
        <v>PASS</v>
      </c>
    </row>
    <row r="11" spans="1:2">
      <c r="A11" t="s">
        <v>24</v>
      </c>
      <c r="B11" t="str">
        <f>'Forecast Model'!B4</f>
        <v>Base case</v>
      </c>
    </row>
    <row r="12" spans="1:2">
      <c r="A12" t="s">
        <v>25</v>
      </c>
      <c r="B12" t="s">
        <v>26</v>
      </c>
    </row>
    <row r="13" spans="1:2">
      <c r="A13" t="s">
        <v>27</v>
      </c>
      <c r="B13" s="10">
        <f>'Forecast Model'!E10</f>
        <v>6108131.0603413219</v>
      </c>
    </row>
    <row r="14" spans="1:2">
      <c r="A14" t="s">
        <v>28</v>
      </c>
      <c r="B14" s="10">
        <f>'Forecast Model'!E16</f>
        <v>1375445.1455748254</v>
      </c>
    </row>
    <row r="15" spans="1:2">
      <c r="A15" t="s">
        <v>29</v>
      </c>
      <c r="B15" s="10">
        <f>'Cash Flow Plan'!E14</f>
        <v>1254249.1455748254</v>
      </c>
    </row>
    <row r="16" spans="1:2">
      <c r="A16" t="s">
        <v>30</v>
      </c>
      <c r="B16" s="10">
        <f>'Cash Flow Plan'!E24</f>
        <v>4858967.8350237906</v>
      </c>
    </row>
    <row r="19" spans="1:4">
      <c r="A19" s="37" t="s">
        <v>31</v>
      </c>
      <c r="B19" s="37"/>
      <c r="C19" s="37"/>
      <c r="D19" s="37"/>
    </row>
    <row r="21" spans="1:4">
      <c r="A21" t="s">
        <v>32</v>
      </c>
      <c r="B21" s="36" t="s">
        <v>33</v>
      </c>
      <c r="C21" s="36" t="s">
        <v>34</v>
      </c>
      <c r="D21" s="36" t="s">
        <v>35</v>
      </c>
    </row>
    <row r="22" spans="1:4">
      <c r="A22" s="30" t="s">
        <v>36</v>
      </c>
      <c r="B22" s="25">
        <f>'Forecast Model'!C10</f>
        <v>5247701.1413294654</v>
      </c>
      <c r="C22" s="25">
        <f>'Forecast Model'!D10</f>
        <v>5661593.9749105209</v>
      </c>
      <c r="D22" s="25">
        <f>'Forecast Model'!E10</f>
        <v>6108131.0603413219</v>
      </c>
    </row>
    <row r="23" spans="1:4">
      <c r="A23" t="s">
        <v>37</v>
      </c>
      <c r="B23" s="9">
        <f>'Forecast Model'!C11</f>
        <v>7.8871266185749134E-2</v>
      </c>
      <c r="C23" s="9">
        <f>'Forecast Model'!D11</f>
        <v>7.8871266185749134E-2</v>
      </c>
      <c r="D23" s="9">
        <f>'Forecast Model'!E11</f>
        <v>7.8871266185749134E-2</v>
      </c>
    </row>
    <row r="24" spans="1:4">
      <c r="A24" t="s">
        <v>38</v>
      </c>
      <c r="B24" s="10">
        <f>'Forecast Model'!C12</f>
        <v>2177795.9549333109</v>
      </c>
      <c r="C24" s="10">
        <f>'Forecast Model'!D12</f>
        <v>2349561.4793931036</v>
      </c>
      <c r="D24" s="10">
        <f>'Forecast Model'!E12</f>
        <v>2534874.3682540995</v>
      </c>
    </row>
    <row r="25" spans="1:4">
      <c r="A25" t="s">
        <v>39</v>
      </c>
      <c r="B25" s="9">
        <f>'Forecast Model'!C13</f>
        <v>0.41499999643302526</v>
      </c>
      <c r="C25" s="9">
        <f>'Forecast Model'!D13</f>
        <v>0.41499999643302526</v>
      </c>
      <c r="D25" s="9">
        <f>'Forecast Model'!E13</f>
        <v>0.41499999643302526</v>
      </c>
    </row>
    <row r="26" spans="1:4">
      <c r="A26" t="s">
        <v>40</v>
      </c>
      <c r="B26" s="10">
        <f>'Forecast Model'!C14</f>
        <v>-1051600.1910721555</v>
      </c>
      <c r="C26" s="10">
        <f>'Forecast Model'!D14</f>
        <v>-1104199.2538052928</v>
      </c>
      <c r="D26" s="10">
        <f>'Forecast Model'!E14</f>
        <v>-1159429.2226792742</v>
      </c>
    </row>
    <row r="27" spans="1:4">
      <c r="A27" s="23" t="s">
        <v>41</v>
      </c>
      <c r="B27" s="25">
        <f>'Forecast Model'!C16</f>
        <v>1126195.7638611554</v>
      </c>
      <c r="C27" s="25">
        <f>'Forecast Model'!D16</f>
        <v>1245362.2255878109</v>
      </c>
      <c r="D27" s="25">
        <f>'Forecast Model'!E16</f>
        <v>1375445.1455748254</v>
      </c>
    </row>
    <row r="28" spans="1:4">
      <c r="A28" t="s">
        <v>42</v>
      </c>
      <c r="B28" s="9">
        <f>'Forecast Model'!C17</f>
        <v>0.21460745067807771</v>
      </c>
      <c r="C28" s="9">
        <f>'Forecast Model'!D17</f>
        <v>0.21996671451655861</v>
      </c>
      <c r="D28" s="9">
        <f>'Forecast Model'!E17</f>
        <v>0.22518265112306965</v>
      </c>
    </row>
    <row r="29" spans="1:4">
      <c r="A29" t="s">
        <v>43</v>
      </c>
      <c r="B29" s="10">
        <f>'Forecast Model'!C18</f>
        <v>969654.55268445448</v>
      </c>
      <c r="C29" s="10">
        <f>'Forecast Model'!D18</f>
        <v>1072256.8762311051</v>
      </c>
      <c r="D29" s="10">
        <f>'Forecast Model'!E18</f>
        <v>1184258.2703399246</v>
      </c>
    </row>
    <row r="30" spans="1:4">
      <c r="A30" s="23" t="s">
        <v>44</v>
      </c>
      <c r="B30" s="25">
        <f>'Cash Flow Plan'!C14</f>
        <v>863795.76386115537</v>
      </c>
      <c r="C30" s="25">
        <f>'Cash Flow Plan'!D14</f>
        <v>1051842.2255878109</v>
      </c>
      <c r="D30" s="25">
        <f>'Cash Flow Plan'!E14</f>
        <v>1254249.1455748254</v>
      </c>
    </row>
    <row r="31" spans="1:4">
      <c r="A31" t="s">
        <v>45</v>
      </c>
      <c r="B31" s="10">
        <f>'Cash Flow Plan'!C24</f>
        <v>2552876.4638611544</v>
      </c>
      <c r="C31" s="10">
        <f>'Cash Flow Plan'!D24</f>
        <v>3604718.6894489652</v>
      </c>
      <c r="D31" s="10">
        <f>'Cash Flow Plan'!E24</f>
        <v>4858967.8350237906</v>
      </c>
    </row>
    <row r="32" spans="1:4">
      <c r="A32" t="s">
        <v>46</v>
      </c>
      <c r="B32" s="12">
        <f>'Headcount Plan'!C12</f>
        <v>97</v>
      </c>
      <c r="C32" s="12">
        <f>'Headcount Plan'!D12</f>
        <v>102</v>
      </c>
      <c r="D32" s="8">
        <f>'Headcount Plan'!E12</f>
        <v>107</v>
      </c>
    </row>
    <row r="33" spans="1:5">
      <c r="A33" t="s">
        <v>47</v>
      </c>
      <c r="B33" s="10">
        <f>'Headcount Plan'!C71</f>
        <v>6171580.7999999989</v>
      </c>
      <c r="C33" s="10">
        <f>'Headcount Plan'!D71</f>
        <v>6721122.743999999</v>
      </c>
      <c r="D33" s="10">
        <f>'Headcount Plan'!E71</f>
        <v>7301572.437599997</v>
      </c>
    </row>
    <row r="34" spans="1:5">
      <c r="A34" t="s">
        <v>48</v>
      </c>
      <c r="B34" s="10">
        <f>'CapEx Plan'!C12</f>
        <v>430500</v>
      </c>
      <c r="C34" s="10">
        <f>'CapEx Plan'!D12</f>
        <v>452025</v>
      </c>
      <c r="D34" s="10">
        <f>'CapEx Plan'!E12</f>
        <v>474626.25</v>
      </c>
    </row>
    <row r="36" spans="1:5">
      <c r="A36" t="s">
        <v>49</v>
      </c>
      <c r="B36" s="9">
        <f>('Forecast Model'!E10/'Forecast Model'!B10)^(1/3)-1</f>
        <v>7.8871266185749134E-2</v>
      </c>
    </row>
    <row r="37" spans="1:5">
      <c r="A37" t="s">
        <v>50</v>
      </c>
      <c r="B37" s="9">
        <f>'Forecast Model'!E17-'Forecast Model'!B17</f>
        <v>1.6081729963505542E-2</v>
      </c>
    </row>
    <row r="38" spans="1:5">
      <c r="A38" t="s">
        <v>51</v>
      </c>
      <c r="B38" s="9">
        <f>('Cash Flow Plan'!E14/'Cash Flow Plan'!C14)^(1/2)-1</f>
        <v>0.20499812731940192</v>
      </c>
    </row>
    <row r="39" spans="1:5">
      <c r="A39" t="s">
        <v>52</v>
      </c>
      <c r="B39" t="str">
        <f>IF(AND(B10="PASS",B11="Base case"),"READY","REVIEW")</f>
        <v>READY</v>
      </c>
    </row>
    <row r="42" spans="1:5">
      <c r="A42" s="37" t="s">
        <v>53</v>
      </c>
      <c r="B42" s="37"/>
      <c r="C42" s="37"/>
      <c r="D42" s="37"/>
      <c r="E42" s="37"/>
    </row>
    <row r="44" spans="1:5">
      <c r="A44" t="s">
        <v>32</v>
      </c>
      <c r="B44">
        <v>2026</v>
      </c>
      <c r="C44">
        <v>2027</v>
      </c>
      <c r="D44">
        <v>2028</v>
      </c>
      <c r="E44" t="s">
        <v>54</v>
      </c>
    </row>
    <row r="45" spans="1:5">
      <c r="A45" t="s">
        <v>36</v>
      </c>
      <c r="B45" s="10">
        <f>'Forecast Model'!C10</f>
        <v>5247701.1413294654</v>
      </c>
      <c r="C45" s="10">
        <f>'Forecast Model'!D10</f>
        <v>5661593.9749105209</v>
      </c>
      <c r="D45" s="10">
        <f>'Forecast Model'!E10</f>
        <v>6108131.0603413219</v>
      </c>
      <c r="E45" s="10">
        <f>D45-B45</f>
        <v>860429.91901185643</v>
      </c>
    </row>
    <row r="46" spans="1:5">
      <c r="A46" t="s">
        <v>37</v>
      </c>
      <c r="B46" s="9">
        <f>'Forecast Model'!C11</f>
        <v>7.8871266185749134E-2</v>
      </c>
      <c r="C46" s="9">
        <f>'Forecast Model'!D11</f>
        <v>7.8871266185749134E-2</v>
      </c>
      <c r="D46" s="9">
        <f>'Forecast Model'!E11</f>
        <v>7.8871266185749134E-2</v>
      </c>
      <c r="E46" s="9">
        <f>D46-B46</f>
        <v>0</v>
      </c>
    </row>
    <row r="47" spans="1:5">
      <c r="A47" t="s">
        <v>39</v>
      </c>
      <c r="B47" s="9">
        <f>'Forecast Model'!C13</f>
        <v>0.41499999643302526</v>
      </c>
      <c r="C47" s="9">
        <f>'Forecast Model'!D13</f>
        <v>0.41499999643302526</v>
      </c>
      <c r="D47" s="9">
        <f>'Forecast Model'!E13</f>
        <v>0.41499999643302526</v>
      </c>
      <c r="E47" s="9">
        <f>D47-B47</f>
        <v>0</v>
      </c>
    </row>
    <row r="48" spans="1:5">
      <c r="A48" t="s">
        <v>40</v>
      </c>
      <c r="B48" s="10">
        <f>'Forecast Model'!C14</f>
        <v>-1051600.1910721555</v>
      </c>
      <c r="C48" s="10">
        <f>'Forecast Model'!D14</f>
        <v>-1104199.2538052928</v>
      </c>
      <c r="D48" s="10">
        <f>'Forecast Model'!E14</f>
        <v>-1159429.2226792742</v>
      </c>
      <c r="E48" s="10">
        <f>D48-B48</f>
        <v>-107829.03160711867</v>
      </c>
    </row>
    <row r="49" spans="1:6">
      <c r="A49" t="s">
        <v>41</v>
      </c>
      <c r="B49" s="10">
        <f>'Forecast Model'!C16</f>
        <v>1126195.7638611554</v>
      </c>
      <c r="C49" s="10">
        <f>'Forecast Model'!D16</f>
        <v>1245362.2255878109</v>
      </c>
      <c r="D49" s="10">
        <f>'Forecast Model'!E16</f>
        <v>1375445.1455748254</v>
      </c>
      <c r="E49" s="10">
        <f>D49-B49</f>
        <v>249249.38171366998</v>
      </c>
    </row>
    <row r="50" spans="1:6">
      <c r="A50" t="s">
        <v>42</v>
      </c>
      <c r="B50" s="9">
        <f>'Forecast Model'!C17</f>
        <v>0.21460745067807771</v>
      </c>
      <c r="C50" s="9">
        <f>'Forecast Model'!D17</f>
        <v>0.21996671451655861</v>
      </c>
      <c r="D50" s="9">
        <f>'Forecast Model'!E17</f>
        <v>0.22518265112306965</v>
      </c>
      <c r="E50" s="9">
        <f>D50-B50</f>
        <v>1.0575200444991939E-2</v>
      </c>
    </row>
    <row r="51" spans="1:6">
      <c r="A51" t="s">
        <v>43</v>
      </c>
      <c r="B51" s="10">
        <f>'Forecast Model'!C18</f>
        <v>969654.55268445448</v>
      </c>
      <c r="C51" s="10">
        <f>'Forecast Model'!D18</f>
        <v>1072256.8762311051</v>
      </c>
      <c r="D51" s="10">
        <f>'Forecast Model'!E18</f>
        <v>1184258.2703399246</v>
      </c>
      <c r="E51" s="10">
        <f>D51-B51</f>
        <v>214603.71765547013</v>
      </c>
    </row>
    <row r="52" spans="1:6">
      <c r="A52" t="s">
        <v>44</v>
      </c>
      <c r="B52" s="26">
        <f>'Cash Flow Plan'!C14</f>
        <v>863795.76386115537</v>
      </c>
      <c r="C52" s="10">
        <f>'Cash Flow Plan'!D14</f>
        <v>1051842.2255878109</v>
      </c>
      <c r="D52" s="10">
        <f>'Cash Flow Plan'!E14</f>
        <v>1254249.1455748254</v>
      </c>
      <c r="E52" s="10">
        <f>D52-B52</f>
        <v>390453.38171366998</v>
      </c>
    </row>
    <row r="53" spans="1:6">
      <c r="A53" t="s">
        <v>45</v>
      </c>
      <c r="B53" s="10">
        <f>'Cash Flow Plan'!C24</f>
        <v>2552876.4638611544</v>
      </c>
      <c r="C53" s="10">
        <f>'Cash Flow Plan'!D24</f>
        <v>3604718.6894489652</v>
      </c>
      <c r="D53" s="10">
        <f>'Cash Flow Plan'!E24</f>
        <v>4858967.8350237906</v>
      </c>
      <c r="E53" s="10">
        <f>D53-B53</f>
        <v>2306091.3711626362</v>
      </c>
    </row>
    <row r="55" spans="1:6">
      <c r="A55" t="s">
        <v>55</v>
      </c>
      <c r="B55" s="9">
        <f>('Forecast Model'!E10/'Forecast Model'!C10)^(1/2)-1</f>
        <v>7.8871266185749134E-2</v>
      </c>
    </row>
    <row r="56" spans="1:6">
      <c r="A56" t="s">
        <v>56</v>
      </c>
      <c r="B56" s="9">
        <f>'Forecast Model'!E17-'Forecast Model'!C17</f>
        <v>1.0575200444991939E-2</v>
      </c>
    </row>
    <row r="57" spans="1:6">
      <c r="A57" t="s">
        <v>57</v>
      </c>
      <c r="B57" s="9">
        <f>('Cash Flow Plan'!E14/'Cash Flow Plan'!C14)^(1/2)-1</f>
        <v>0.20499812731940192</v>
      </c>
    </row>
    <row r="58" spans="1:6">
      <c r="A58" t="s">
        <v>58</v>
      </c>
      <c r="B58" t="str">
        <f>IF(AND(
'Forecast Model'!E10&gt;'Forecast Model'!C10,
'Forecast Model'!E17&gt;='Forecast Model'!C17,
'Cash Flow Plan'!E14&gt;'Cash Flow Plan'!C14),
"Positive forecast trajectory",
"Review forecast trajectory")</f>
        <v>Positive forecast trajectory</v>
      </c>
    </row>
    <row r="61" spans="1:6">
      <c r="A61" s="37" t="s">
        <v>59</v>
      </c>
      <c r="B61" s="37"/>
      <c r="C61" s="37"/>
      <c r="D61" s="37"/>
      <c r="E61" s="37"/>
      <c r="F61" s="37"/>
    </row>
    <row r="63" spans="1:6">
      <c r="A63" t="s">
        <v>32</v>
      </c>
      <c r="B63" s="36" t="s">
        <v>60</v>
      </c>
      <c r="C63" s="36" t="s">
        <v>33</v>
      </c>
      <c r="D63" s="36" t="s">
        <v>34</v>
      </c>
      <c r="E63" t="s">
        <v>35</v>
      </c>
      <c r="F63" t="s">
        <v>61</v>
      </c>
    </row>
    <row r="64" spans="1:6">
      <c r="A64" t="s">
        <v>36</v>
      </c>
      <c r="B64" s="10">
        <f>'Forecast Model'!B10</f>
        <v>4864066.09</v>
      </c>
      <c r="C64" s="10">
        <f>'Forecast Model'!C10</f>
        <v>5247701.1413294654</v>
      </c>
      <c r="D64" s="10">
        <f>'Forecast Model'!D10</f>
        <v>5661593.9749105209</v>
      </c>
      <c r="E64" s="10">
        <f>'Forecast Model'!E10</f>
        <v>6108131.0603413219</v>
      </c>
      <c r="F64" s="10">
        <f>E64-B64</f>
        <v>1244064.970341322</v>
      </c>
    </row>
    <row r="65" spans="1:6">
      <c r="A65" t="s">
        <v>37</v>
      </c>
      <c r="B65" s="9">
        <f>'Forecast Model'!B11</f>
        <v>0</v>
      </c>
      <c r="C65" s="9">
        <f>'Forecast Model'!C11</f>
        <v>7.8871266185749134E-2</v>
      </c>
      <c r="D65" s="9">
        <f>'Forecast Model'!D11</f>
        <v>7.8871266185749134E-2</v>
      </c>
      <c r="E65" s="9">
        <f>'Forecast Model'!E11</f>
        <v>7.8871266185749134E-2</v>
      </c>
      <c r="F65" s="9">
        <f>E65-B65</f>
        <v>7.8871266185749134E-2</v>
      </c>
    </row>
    <row r="66" spans="1:6">
      <c r="A66" t="s">
        <v>38</v>
      </c>
      <c r="B66" s="10">
        <f>'Forecast Model'!B12</f>
        <v>2018587.4099999992</v>
      </c>
      <c r="C66" s="10">
        <f>'Forecast Model'!C12</f>
        <v>2177795.9549333109</v>
      </c>
      <c r="D66" s="10">
        <f>'Forecast Model'!D12</f>
        <v>2349561.4793931036</v>
      </c>
      <c r="E66" s="10">
        <f>'Forecast Model'!E12</f>
        <v>2534874.3682540995</v>
      </c>
      <c r="F66" s="10">
        <f>E66-B66</f>
        <v>516286.95825410029</v>
      </c>
    </row>
    <row r="67" spans="1:6">
      <c r="A67" t="s">
        <v>39</v>
      </c>
      <c r="B67" s="9">
        <f>'Forecast Model'!B13</f>
        <v>0.41499999643302526</v>
      </c>
      <c r="C67" s="9">
        <f>'Forecast Model'!C13</f>
        <v>0.41499999643302526</v>
      </c>
      <c r="D67" s="9">
        <f>'Forecast Model'!D13</f>
        <v>0.41499999643302526</v>
      </c>
      <c r="E67" s="9">
        <f>'Forecast Model'!E13</f>
        <v>0.41499999643302526</v>
      </c>
      <c r="F67" s="9">
        <f>E67-B67</f>
        <v>0</v>
      </c>
    </row>
    <row r="68" spans="1:6">
      <c r="A68" t="s">
        <v>40</v>
      </c>
      <c r="B68" s="10">
        <f>'Forecast Model'!B14</f>
        <v>-1001506.71</v>
      </c>
      <c r="C68" s="10">
        <f>'Forecast Model'!C14</f>
        <v>-1051600.1910721555</v>
      </c>
      <c r="D68" s="10">
        <f>'Forecast Model'!D14</f>
        <v>-1104199.2538052928</v>
      </c>
      <c r="E68" s="10">
        <f>'Forecast Model'!E14</f>
        <v>-1159429.2226792742</v>
      </c>
      <c r="F68" s="10">
        <f>E68-B68</f>
        <v>-157922.51267927419</v>
      </c>
    </row>
    <row r="69" spans="1:6">
      <c r="A69" t="s">
        <v>41</v>
      </c>
      <c r="B69" s="10">
        <f>'Forecast Model'!B16</f>
        <v>1017080.6999999993</v>
      </c>
      <c r="C69" s="10">
        <f>'Forecast Model'!C16</f>
        <v>1126195.7638611554</v>
      </c>
      <c r="D69" s="10">
        <f>'Forecast Model'!D16</f>
        <v>1245362.2255878109</v>
      </c>
      <c r="E69" s="10">
        <f>'Forecast Model'!E16</f>
        <v>1375445.1455748254</v>
      </c>
      <c r="F69" s="10">
        <f>E69-B69</f>
        <v>358364.4455748261</v>
      </c>
    </row>
    <row r="70" spans="1:6">
      <c r="A70" t="s">
        <v>42</v>
      </c>
      <c r="B70" s="9">
        <f>'Forecast Model'!B17</f>
        <v>0.20910092115956411</v>
      </c>
      <c r="C70" s="9">
        <f>'Forecast Model'!C17</f>
        <v>0.21460745067807771</v>
      </c>
      <c r="D70" s="9">
        <f>'Forecast Model'!D17</f>
        <v>0.21996671451655861</v>
      </c>
      <c r="E70" s="9">
        <f>'Forecast Model'!E17</f>
        <v>0.22518265112306965</v>
      </c>
      <c r="F70" s="9">
        <f>E70-B70</f>
        <v>1.6081729963505542E-2</v>
      </c>
    </row>
    <row r="71" spans="1:6">
      <c r="A71" t="s">
        <v>43</v>
      </c>
      <c r="B71" s="10">
        <f>'Forecast Model'!B18</f>
        <v>875531.8899999992</v>
      </c>
      <c r="C71" s="10">
        <f>'Forecast Model'!C18</f>
        <v>969654.55268445448</v>
      </c>
      <c r="D71" s="10">
        <f>'Forecast Model'!D18</f>
        <v>1072256.8762311051</v>
      </c>
      <c r="E71" s="10">
        <f>'Forecast Model'!E18</f>
        <v>1184258.2703399246</v>
      </c>
      <c r="F71" s="10">
        <f>E71-B71</f>
        <v>308726.38033992541</v>
      </c>
    </row>
    <row r="72" spans="1:6">
      <c r="A72" t="s">
        <v>44</v>
      </c>
      <c r="B72" s="10">
        <f>'Cash Flow Plan'!B14</f>
        <v>689080.69999999925</v>
      </c>
      <c r="C72" s="10">
        <f>'Cash Flow Plan'!C14</f>
        <v>863795.76386115537</v>
      </c>
      <c r="D72" s="10">
        <f>'Cash Flow Plan'!D14</f>
        <v>1051842.2255878109</v>
      </c>
      <c r="E72" s="10">
        <f>'Cash Flow Plan'!E14</f>
        <v>1254249.1455748254</v>
      </c>
      <c r="F72" s="10">
        <f>E72-B72</f>
        <v>565168.4455748261</v>
      </c>
    </row>
    <row r="73" spans="1:6">
      <c r="A73" t="s">
        <v>45</v>
      </c>
      <c r="C73" s="10">
        <f>'Cash Flow Plan'!C24</f>
        <v>2552876.4638611544</v>
      </c>
      <c r="D73" s="10">
        <f>'Cash Flow Plan'!D24</f>
        <v>3604718.6894489652</v>
      </c>
      <c r="E73" s="10">
        <f>'Cash Flow Plan'!E24</f>
        <v>4858967.8350237906</v>
      </c>
      <c r="F73" s="10">
        <f>E73-B73</f>
        <v>4858967.8350237906</v>
      </c>
    </row>
    <row r="75" spans="1:6">
      <c r="A75" t="s">
        <v>62</v>
      </c>
      <c r="B75" s="9">
        <f>'Forecast Model'!E10/'Forecast Model'!B10-1</f>
        <v>0.25576646108879708</v>
      </c>
    </row>
    <row r="76" spans="1:6">
      <c r="A76" t="s">
        <v>63</v>
      </c>
      <c r="B76" s="9">
        <f>'Forecast Model'!E16/'Forecast Model'!B16-1</f>
        <v>0.35234612708197721</v>
      </c>
    </row>
    <row r="77" spans="1:6">
      <c r="A77" t="s">
        <v>64</v>
      </c>
      <c r="B77" s="9">
        <f>'Forecast Model'!E18/'Forecast Model'!B18-1</f>
        <v>0.35261580288060745</v>
      </c>
    </row>
    <row r="78" spans="1:6">
      <c r="A78" t="s">
        <v>56</v>
      </c>
      <c r="B78" s="9">
        <f>'Forecast Model'!E17-'Forecast Model'!B17</f>
        <v>1.6081729963505542E-2</v>
      </c>
    </row>
    <row r="79" spans="1:6">
      <c r="A79" t="s">
        <v>58</v>
      </c>
      <c r="B79" t="str">
        <f>IF(AND('Forecast Model'!E10&gt;'Forecast Model'!B10,'Forecast Model'!E16&gt;'Forecast Model'!B16,'Forecast Model'!E17&gt;='Forecast Model'!B17),"Forecast indicates stronger scale and profitability","Review forecast profitability")</f>
        <v>Forecast indicates stronger scale and profitability</v>
      </c>
    </row>
    <row r="81" spans="1:6">
      <c r="A81" s="37" t="s">
        <v>65</v>
      </c>
      <c r="B81" s="37"/>
      <c r="C81" s="37"/>
      <c r="D81" s="37"/>
      <c r="E81" s="37"/>
      <c r="F81" s="37"/>
    </row>
    <row r="82" spans="1:6">
      <c r="A82" t="s">
        <v>66</v>
      </c>
      <c r="B82" s="36" t="s">
        <v>67</v>
      </c>
      <c r="C82" s="36" t="s">
        <v>68</v>
      </c>
      <c r="D82" s="36" t="s">
        <v>69</v>
      </c>
      <c r="E82" t="s">
        <v>70</v>
      </c>
      <c r="F82" t="s">
        <v>71</v>
      </c>
    </row>
    <row r="83" spans="1:6">
      <c r="A83" t="s">
        <v>72</v>
      </c>
      <c r="B83" s="10">
        <f>'Scenario Analysis'!B59</f>
        <v>6108131.0603413219</v>
      </c>
      <c r="C83" s="10">
        <f>'Scenario Analysis'!B60</f>
        <v>2534874.4105348187</v>
      </c>
      <c r="D83" s="10">
        <f>'Scenario Analysis'!B62</f>
        <v>2413678.4105348187</v>
      </c>
    </row>
    <row r="84" spans="1:6">
      <c r="A84" t="s">
        <v>73</v>
      </c>
      <c r="B84" s="10">
        <f>'Scenario Analysis'!C59</f>
        <v>6631974.6409492902</v>
      </c>
      <c r="C84" s="10">
        <f>'Scenario Analysis'!C60</f>
        <v>2818589.2386578079</v>
      </c>
      <c r="D84" s="10">
        <f>'Scenario Analysis'!C62</f>
        <v>2697393.2386578079</v>
      </c>
      <c r="E84" s="10">
        <f>B84-$B$83</f>
        <v>523843.58060796838</v>
      </c>
      <c r="F84" s="10">
        <f>D84-$D$83</f>
        <v>283714.82812298927</v>
      </c>
    </row>
    <row r="85" spans="1:6">
      <c r="A85" t="s">
        <v>74</v>
      </c>
      <c r="B85" s="10">
        <f>'Scenario Analysis'!D59</f>
        <v>5612625.0658965353</v>
      </c>
      <c r="C85" s="10">
        <f>'Scenario Analysis'!D60</f>
        <v>2273113.1764110341</v>
      </c>
      <c r="D85" s="10">
        <f>'Scenario Analysis'!D62</f>
        <v>2151917.1764110341</v>
      </c>
      <c r="E85" s="10">
        <f>B85-$B$83</f>
        <v>-495505.99444478657</v>
      </c>
      <c r="F85" s="10">
        <f>D85-$D$83</f>
        <v>-261761.23412378458</v>
      </c>
    </row>
    <row r="87" spans="1:6">
      <c r="A87" t="s">
        <v>75</v>
      </c>
    </row>
    <row r="89" spans="1:6">
      <c r="A89" t="s">
        <v>32</v>
      </c>
      <c r="B89" s="36" t="s">
        <v>73</v>
      </c>
      <c r="C89" s="36" t="s">
        <v>74</v>
      </c>
      <c r="D89" s="36" t="s">
        <v>76</v>
      </c>
    </row>
    <row r="90" spans="1:6">
      <c r="A90" t="s">
        <v>67</v>
      </c>
      <c r="B90" s="10">
        <f>'Scenario Analysis'!C59</f>
        <v>6631974.6409492902</v>
      </c>
      <c r="C90" s="10">
        <f>'Scenario Analysis'!D59</f>
        <v>5612625.0658965353</v>
      </c>
      <c r="D90" s="10">
        <f>B90-C90</f>
        <v>1019349.575052755</v>
      </c>
    </row>
    <row r="91" spans="1:6">
      <c r="A91" t="s">
        <v>68</v>
      </c>
      <c r="B91" s="10">
        <f>'Scenario Analysis'!C60</f>
        <v>2818589.2386578079</v>
      </c>
      <c r="C91" s="10">
        <f>'Scenario Analysis'!D60</f>
        <v>2273113.1764110341</v>
      </c>
      <c r="D91" s="10">
        <f>B91-C91</f>
        <v>545476.06224677386</v>
      </c>
    </row>
    <row r="92" spans="1:6">
      <c r="A92" t="s">
        <v>69</v>
      </c>
      <c r="B92" s="10">
        <f>'Scenario Analysis'!C62</f>
        <v>2697393.2386578079</v>
      </c>
      <c r="C92" s="10">
        <f>'Scenario Analysis'!D62</f>
        <v>2151917.1764110341</v>
      </c>
      <c r="D92" s="10">
        <f>B92-C92</f>
        <v>545476.06224677386</v>
      </c>
    </row>
    <row r="94" spans="1:6" ht="30.75">
      <c r="A94" t="s">
        <v>58</v>
      </c>
      <c r="B94" t="s">
        <v>77</v>
      </c>
      <c r="C94" s="27" t="s">
        <v>78</v>
      </c>
    </row>
    <row r="96" spans="1:6">
      <c r="A96" t="s">
        <v>79</v>
      </c>
      <c r="B96" s="27" t="s">
        <v>80</v>
      </c>
    </row>
    <row r="97" spans="1:4">
      <c r="A97" t="s">
        <v>81</v>
      </c>
      <c r="B97" s="27" t="s">
        <v>82</v>
      </c>
    </row>
    <row r="98" spans="1:4" ht="30.75">
      <c r="A98" t="s">
        <v>83</v>
      </c>
      <c r="B98" s="27" t="s">
        <v>84</v>
      </c>
    </row>
    <row r="100" spans="1:4">
      <c r="A100" t="s">
        <v>85</v>
      </c>
    </row>
    <row r="101" spans="1:4">
      <c r="A101" t="s">
        <v>86</v>
      </c>
      <c r="B101" s="10">
        <f>'Scenario Analysis'!C59-'Scenario Analysis'!D59</f>
        <v>1019349.575052755</v>
      </c>
    </row>
    <row r="102" spans="1:4">
      <c r="A102" t="s">
        <v>87</v>
      </c>
      <c r="B102" s="10">
        <f>'Scenario Analysis'!C62-'Scenario Analysis'!D62</f>
        <v>545476.06224677386</v>
      </c>
    </row>
    <row r="104" spans="1:4">
      <c r="A104" s="37" t="s">
        <v>88</v>
      </c>
      <c r="B104" s="37"/>
      <c r="C104" s="37"/>
      <c r="D104" s="37"/>
    </row>
    <row r="106" spans="1:4">
      <c r="A106" t="s">
        <v>89</v>
      </c>
      <c r="B106" t="str">
        <f>'Model QA'!D23</f>
        <v>PASS</v>
      </c>
    </row>
    <row r="107" spans="1:4">
      <c r="A107" t="s">
        <v>52</v>
      </c>
      <c r="B107" t="str">
        <f>B39</f>
        <v>READY</v>
      </c>
    </row>
    <row r="108" spans="1:4">
      <c r="A108" t="s">
        <v>24</v>
      </c>
      <c r="B108" t="str">
        <f>B11</f>
        <v>Base case</v>
      </c>
    </row>
    <row r="110" spans="1:4">
      <c r="A110" t="s">
        <v>90</v>
      </c>
      <c r="B110" s="36" t="s">
        <v>91</v>
      </c>
      <c r="C110" s="36" t="s">
        <v>92</v>
      </c>
      <c r="D110" t="s">
        <v>93</v>
      </c>
    </row>
    <row r="111" spans="1:4">
      <c r="A111" t="s">
        <v>94</v>
      </c>
      <c r="B111" s="10">
        <f>'Model QA'!B5</f>
        <v>4864066</v>
      </c>
      <c r="C111" s="10">
        <f>'Model QA'!C5</f>
        <v>4864066.09</v>
      </c>
      <c r="D111" t="str">
        <f>'Model QA'!D5</f>
        <v>PASS</v>
      </c>
    </row>
    <row r="112" spans="1:4">
      <c r="A112" t="s">
        <v>95</v>
      </c>
      <c r="B112" s="10">
        <f>'Model QA'!B6</f>
        <v>2018587</v>
      </c>
      <c r="C112" s="10">
        <f>'Model QA'!C6</f>
        <v>2018587.4099999992</v>
      </c>
      <c r="D112" t="str">
        <f>'Model QA'!D6</f>
        <v>PASS</v>
      </c>
    </row>
    <row r="113" spans="1:4">
      <c r="A113" t="s">
        <v>96</v>
      </c>
      <c r="B113" s="10">
        <f>'Model QA'!B7</f>
        <v>-1001507</v>
      </c>
      <c r="C113" s="10">
        <f>'Model QA'!C7</f>
        <v>-1001506.71</v>
      </c>
      <c r="D113" t="str">
        <f>'Model QA'!D7</f>
        <v>PASS</v>
      </c>
    </row>
    <row r="114" spans="1:4">
      <c r="A114" t="s">
        <v>97</v>
      </c>
      <c r="B114" s="10">
        <f>'Model QA'!B8</f>
        <v>1017081</v>
      </c>
      <c r="C114" s="10">
        <f>'Model QA'!C8</f>
        <v>1017080.6999999993</v>
      </c>
      <c r="D114" t="str">
        <f>'Model QA'!D8</f>
        <v>PASS</v>
      </c>
    </row>
    <row r="116" spans="1:4">
      <c r="A116" t="s">
        <v>98</v>
      </c>
    </row>
    <row r="117" spans="1:4">
      <c r="A117" t="s">
        <v>99</v>
      </c>
      <c r="B117" s="10">
        <f>'Model QA'!B24</f>
        <v>2552876.4638611544</v>
      </c>
      <c r="C117" s="10">
        <f>'Model QA'!C24</f>
        <v>2552876.4638611544</v>
      </c>
      <c r="D117" t="str">
        <f>'Model QA'!D24</f>
        <v>PASS</v>
      </c>
    </row>
    <row r="118" spans="1:4">
      <c r="A118" t="s">
        <v>100</v>
      </c>
      <c r="B118" s="10">
        <f>'Model QA'!B25</f>
        <v>3604718.6894489652</v>
      </c>
      <c r="C118" s="10">
        <f>'Model QA'!C25</f>
        <v>3604718.6894489652</v>
      </c>
      <c r="D118" t="str">
        <f>'Model QA'!D25</f>
        <v>PASS</v>
      </c>
    </row>
    <row r="119" spans="1:4">
      <c r="A119" t="s">
        <v>30</v>
      </c>
      <c r="B119" s="10">
        <f>'Model QA'!B26</f>
        <v>4858967.8350237906</v>
      </c>
      <c r="C119" s="10">
        <f>'Model QA'!C26</f>
        <v>4858967.8350237906</v>
      </c>
      <c r="D119" t="str">
        <f>'Model QA'!D26</f>
        <v>PASS</v>
      </c>
    </row>
    <row r="120" spans="1:4">
      <c r="A120" t="s">
        <v>101</v>
      </c>
      <c r="B120" s="10">
        <f>'Model QA'!B27</f>
        <v>430500</v>
      </c>
      <c r="C120" s="10">
        <f>'Model QA'!C27</f>
        <v>430500</v>
      </c>
      <c r="D120" t="str">
        <f>'Model QA'!D27</f>
        <v>PASS</v>
      </c>
    </row>
    <row r="121" spans="1:4">
      <c r="A121" t="s">
        <v>102</v>
      </c>
      <c r="B121" s="10">
        <f>'Model QA'!B28</f>
        <v>452025</v>
      </c>
      <c r="C121" s="10">
        <f>'Model QA'!C28</f>
        <v>452025</v>
      </c>
      <c r="D121" t="str">
        <f>'Model QA'!D28</f>
        <v>PASS</v>
      </c>
    </row>
    <row r="122" spans="1:4">
      <c r="A122" t="s">
        <v>103</v>
      </c>
      <c r="B122" s="10">
        <f>'Model QA'!B29</f>
        <v>474626.25</v>
      </c>
      <c r="C122" s="10">
        <f>'Model QA'!C29</f>
        <v>474626.25</v>
      </c>
      <c r="D122" t="str">
        <f>'Model QA'!D29</f>
        <v>PASS</v>
      </c>
    </row>
    <row r="124" spans="1:4">
      <c r="A124" t="s">
        <v>104</v>
      </c>
      <c r="B124" s="10">
        <f>'Model QA'!B30</f>
        <v>6171580.7999999989</v>
      </c>
      <c r="C124" s="10">
        <f>'Model QA'!C30</f>
        <v>6171580.7999999989</v>
      </c>
      <c r="D124" t="str">
        <f>'Model QA'!D30</f>
        <v>PASS</v>
      </c>
    </row>
    <row r="125" spans="1:4">
      <c r="A125" t="s">
        <v>105</v>
      </c>
      <c r="B125" s="10">
        <f>'Model QA'!B31</f>
        <v>6721122.743999999</v>
      </c>
      <c r="C125" s="10">
        <f>'Model QA'!C31</f>
        <v>6721122.743999999</v>
      </c>
      <c r="D125" t="str">
        <f>'Model QA'!D31</f>
        <v>PASS</v>
      </c>
    </row>
    <row r="126" spans="1:4">
      <c r="A126" t="s">
        <v>106</v>
      </c>
      <c r="B126" s="10">
        <f>'Model QA'!B32</f>
        <v>7301572.437599997</v>
      </c>
      <c r="C126" s="10">
        <f>'Model QA'!C32</f>
        <v>7301572.437599997</v>
      </c>
      <c r="D126" t="str">
        <f>'Model QA'!D32</f>
        <v>PASS</v>
      </c>
    </row>
    <row r="128" spans="1:4">
      <c r="A128" t="s">
        <v>107</v>
      </c>
    </row>
    <row r="130" spans="1:4" ht="45.75">
      <c r="A130" t="s">
        <v>108</v>
      </c>
      <c r="B130" s="27" t="s">
        <v>109</v>
      </c>
    </row>
    <row r="131" spans="1:4" ht="60.75">
      <c r="A131" t="s">
        <v>110</v>
      </c>
      <c r="B131" s="27" t="s">
        <v>111</v>
      </c>
    </row>
    <row r="132" spans="1:4" ht="45.75">
      <c r="A132" t="s">
        <v>112</v>
      </c>
      <c r="B132" s="27" t="s">
        <v>113</v>
      </c>
    </row>
    <row r="133" spans="1:4" ht="76.5">
      <c r="A133" t="s">
        <v>114</v>
      </c>
      <c r="B133" s="27" t="s">
        <v>115</v>
      </c>
    </row>
    <row r="134" spans="1:4">
      <c r="A134" t="s">
        <v>116</v>
      </c>
      <c r="B134" t="str">
        <f>IF(AND(B106="PASS",B107="READY",B108="Base case"),"Model is ready for management reporting","Review model before management reporting")</f>
        <v>Model is ready for management reporting</v>
      </c>
    </row>
    <row r="137" spans="1:4">
      <c r="A137" s="37" t="s">
        <v>117</v>
      </c>
      <c r="B137" s="37"/>
      <c r="C137" s="37"/>
      <c r="D137" s="37"/>
    </row>
    <row r="139" spans="1:4">
      <c r="A139" s="23" t="s">
        <v>118</v>
      </c>
      <c r="B139" s="34">
        <v>2026</v>
      </c>
      <c r="C139" s="34">
        <v>2027</v>
      </c>
      <c r="D139" s="35">
        <v>2028</v>
      </c>
    </row>
    <row r="140" spans="1:4">
      <c r="A140" t="s">
        <v>36</v>
      </c>
      <c r="B140" s="25">
        <f>'Forecast Model'!C10</f>
        <v>5247701.1413294654</v>
      </c>
      <c r="C140" s="25">
        <f>'Forecast Model'!D10</f>
        <v>5661593.9749105209</v>
      </c>
      <c r="D140" s="25">
        <f>'Forecast Model'!E10</f>
        <v>6108131.0603413219</v>
      </c>
    </row>
    <row r="141" spans="1:4">
      <c r="A141" t="s">
        <v>41</v>
      </c>
      <c r="B141" s="25">
        <f>'Forecast Model'!C16</f>
        <v>1126195.7638611554</v>
      </c>
      <c r="C141" s="25">
        <f>'Forecast Model'!D16</f>
        <v>1245362.2255878109</v>
      </c>
      <c r="D141" s="25">
        <f>'Forecast Model'!E16</f>
        <v>1375445.1455748254</v>
      </c>
    </row>
    <row r="142" spans="1:4">
      <c r="A142" t="s">
        <v>42</v>
      </c>
      <c r="B142" s="33">
        <f>'Forecast Model'!C17</f>
        <v>0.21460745067807771</v>
      </c>
      <c r="C142" s="33">
        <f>'Forecast Model'!D17</f>
        <v>0.21996671451655861</v>
      </c>
      <c r="D142" s="33">
        <f>'Forecast Model'!E17</f>
        <v>0.22518265112306965</v>
      </c>
    </row>
    <row r="143" spans="1:4">
      <c r="A143" t="s">
        <v>44</v>
      </c>
      <c r="B143" s="25">
        <f>'Cash Flow Plan'!C14</f>
        <v>863795.76386115537</v>
      </c>
      <c r="C143" s="25">
        <f>'Cash Flow Plan'!D14</f>
        <v>1051842.2255878109</v>
      </c>
      <c r="D143" s="25">
        <f>'Cash Flow Plan'!E14</f>
        <v>1254249.1455748254</v>
      </c>
    </row>
    <row r="144" spans="1:4">
      <c r="A144" t="s">
        <v>45</v>
      </c>
      <c r="B144" s="25">
        <f>'Cash Flow Plan'!C24</f>
        <v>2552876.4638611544</v>
      </c>
      <c r="C144" s="25">
        <f>'Cash Flow Plan'!D24</f>
        <v>3604718.6894489652</v>
      </c>
      <c r="D144" s="25">
        <f>'Cash Flow Plan'!E24</f>
        <v>4858967.8350237906</v>
      </c>
    </row>
    <row r="146" spans="1:4">
      <c r="A146" s="37" t="s">
        <v>119</v>
      </c>
      <c r="B146" s="37"/>
    </row>
    <row r="148" spans="1:4" ht="45.75">
      <c r="A148" s="23" t="s">
        <v>120</v>
      </c>
      <c r="B148" s="27" t="s">
        <v>121</v>
      </c>
    </row>
    <row r="149" spans="1:4" ht="45.75">
      <c r="A149" s="23" t="s">
        <v>110</v>
      </c>
      <c r="B149" s="27" t="s">
        <v>122</v>
      </c>
    </row>
    <row r="150" spans="1:4" ht="45.75">
      <c r="A150" s="23" t="s">
        <v>123</v>
      </c>
      <c r="B150" s="27" t="s">
        <v>124</v>
      </c>
    </row>
    <row r="151" spans="1:4" ht="60.75">
      <c r="A151" s="23" t="s">
        <v>125</v>
      </c>
      <c r="B151" s="27" t="s">
        <v>126</v>
      </c>
    </row>
    <row r="152" spans="1:4" ht="60.75">
      <c r="A152" s="23" t="s">
        <v>127</v>
      </c>
      <c r="B152" s="27" t="s">
        <v>128</v>
      </c>
    </row>
    <row r="154" spans="1:4">
      <c r="A154" t="s">
        <v>129</v>
      </c>
      <c r="B154" s="23" t="str">
        <f>IF(AND('Model QA'!D23="PASS",B39="READY",B108="Base case"),"READY FOR MANAGEMENT PRESENTATION","REVIEW MODEL")</f>
        <v>READY FOR MANAGEMENT PRESENTATION</v>
      </c>
    </row>
    <row r="157" spans="1:4">
      <c r="A157" s="37" t="s">
        <v>130</v>
      </c>
      <c r="B157" s="37"/>
      <c r="C157" s="37"/>
      <c r="D157" s="37"/>
    </row>
    <row r="159" spans="1:4">
      <c r="A159" s="23" t="s">
        <v>131</v>
      </c>
      <c r="B159" s="23" t="s">
        <v>132</v>
      </c>
      <c r="C159" s="23" t="s">
        <v>133</v>
      </c>
      <c r="D159" s="23" t="s">
        <v>134</v>
      </c>
    </row>
    <row r="160" spans="1:4">
      <c r="A160" s="23" t="s">
        <v>37</v>
      </c>
      <c r="B160" s="23" t="s">
        <v>135</v>
      </c>
      <c r="C160" t="s">
        <v>136</v>
      </c>
      <c r="D160" t="s">
        <v>137</v>
      </c>
    </row>
    <row r="161" spans="1:4">
      <c r="A161" s="23" t="s">
        <v>110</v>
      </c>
      <c r="B161" s="23" t="s">
        <v>138</v>
      </c>
      <c r="C161" t="s">
        <v>139</v>
      </c>
      <c r="D161" t="s">
        <v>140</v>
      </c>
    </row>
    <row r="162" spans="1:4">
      <c r="A162" s="23" t="s">
        <v>123</v>
      </c>
      <c r="B162" s="23" t="s">
        <v>135</v>
      </c>
      <c r="C162" t="s">
        <v>141</v>
      </c>
      <c r="D162" t="s">
        <v>142</v>
      </c>
    </row>
    <row r="163" spans="1:4">
      <c r="A163" s="23" t="s">
        <v>143</v>
      </c>
      <c r="B163" s="23" t="s">
        <v>144</v>
      </c>
      <c r="C163" t="s">
        <v>145</v>
      </c>
      <c r="D163" t="s">
        <v>146</v>
      </c>
    </row>
    <row r="164" spans="1:4">
      <c r="A164" s="23" t="s">
        <v>48</v>
      </c>
      <c r="B164" s="23" t="s">
        <v>147</v>
      </c>
      <c r="C164" t="s">
        <v>148</v>
      </c>
      <c r="D164" t="s">
        <v>149</v>
      </c>
    </row>
    <row r="165" spans="1:4">
      <c r="A165" s="23" t="s">
        <v>114</v>
      </c>
      <c r="B165" s="23" t="s">
        <v>150</v>
      </c>
      <c r="C165" t="s">
        <v>151</v>
      </c>
      <c r="D165" t="s">
        <v>152</v>
      </c>
    </row>
    <row r="167" spans="1:4" ht="76.5" customHeight="1">
      <c r="A167" s="32" t="s">
        <v>153</v>
      </c>
      <c r="B167" s="38" t="s">
        <v>154</v>
      </c>
      <c r="C167" s="38"/>
      <c r="D167" s="38"/>
    </row>
  </sheetData>
  <mergeCells count="11">
    <mergeCell ref="A157:D157"/>
    <mergeCell ref="B167:D167"/>
    <mergeCell ref="A146:B146"/>
    <mergeCell ref="A1:B1"/>
    <mergeCell ref="A81:F81"/>
    <mergeCell ref="A104:D104"/>
    <mergeCell ref="A3:B3"/>
    <mergeCell ref="A19:D19"/>
    <mergeCell ref="A42:E42"/>
    <mergeCell ref="A61:F61"/>
    <mergeCell ref="A137:D1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F1ED-BD72-4DB9-A727-2FD8C2F40AB5}">
  <dimension ref="A1:F26"/>
  <sheetViews>
    <sheetView workbookViewId="0">
      <selection activeCell="I24" sqref="I24"/>
    </sheetView>
  </sheetViews>
  <sheetFormatPr defaultRowHeight="15"/>
  <cols>
    <col min="1" max="1" width="14" bestFit="1" customWidth="1"/>
    <col min="2" max="2" width="18.140625" bestFit="1" customWidth="1"/>
    <col min="3" max="3" width="19.5703125" bestFit="1" customWidth="1"/>
    <col min="4" max="4" width="21" bestFit="1" customWidth="1"/>
    <col min="5" max="5" width="18.85546875" bestFit="1" customWidth="1"/>
    <col min="6" max="6" width="17.140625" bestFit="1" customWidth="1"/>
  </cols>
  <sheetData>
    <row r="1" spans="1:6">
      <c r="A1" s="2" t="s">
        <v>155</v>
      </c>
      <c r="B1" s="2" t="s">
        <v>156</v>
      </c>
      <c r="C1" s="2" t="s">
        <v>157</v>
      </c>
      <c r="D1" s="2" t="s">
        <v>158</v>
      </c>
      <c r="E1" s="2" t="s">
        <v>159</v>
      </c>
      <c r="F1" s="2" t="s">
        <v>160</v>
      </c>
    </row>
    <row r="2" spans="1:6">
      <c r="A2">
        <v>1</v>
      </c>
      <c r="B2">
        <v>1000</v>
      </c>
      <c r="C2" t="s">
        <v>161</v>
      </c>
      <c r="D2" t="s">
        <v>162</v>
      </c>
      <c r="E2" t="s">
        <v>163</v>
      </c>
      <c r="F2" t="s">
        <v>164</v>
      </c>
    </row>
    <row r="3" spans="1:6">
      <c r="A3">
        <v>2</v>
      </c>
      <c r="B3">
        <v>1100</v>
      </c>
      <c r="C3" t="s">
        <v>165</v>
      </c>
      <c r="D3" t="s">
        <v>162</v>
      </c>
      <c r="E3" t="s">
        <v>163</v>
      </c>
      <c r="F3" t="s">
        <v>164</v>
      </c>
    </row>
    <row r="4" spans="1:6">
      <c r="A4">
        <v>3</v>
      </c>
      <c r="B4">
        <v>1200</v>
      </c>
      <c r="C4" t="s">
        <v>166</v>
      </c>
      <c r="D4" t="s">
        <v>162</v>
      </c>
      <c r="E4" t="s">
        <v>163</v>
      </c>
      <c r="F4" t="s">
        <v>164</v>
      </c>
    </row>
    <row r="5" spans="1:6">
      <c r="A5">
        <v>4</v>
      </c>
      <c r="B5">
        <v>1300</v>
      </c>
      <c r="C5" t="s">
        <v>167</v>
      </c>
      <c r="D5" t="s">
        <v>162</v>
      </c>
      <c r="E5" t="s">
        <v>163</v>
      </c>
      <c r="F5" t="s">
        <v>164</v>
      </c>
    </row>
    <row r="6" spans="1:6">
      <c r="A6">
        <v>5</v>
      </c>
      <c r="B6">
        <v>1500</v>
      </c>
      <c r="C6" t="s">
        <v>168</v>
      </c>
      <c r="D6" t="s">
        <v>162</v>
      </c>
      <c r="E6" t="s">
        <v>163</v>
      </c>
      <c r="F6" t="s">
        <v>164</v>
      </c>
    </row>
    <row r="7" spans="1:6">
      <c r="A7">
        <v>6</v>
      </c>
      <c r="B7">
        <v>2000</v>
      </c>
      <c r="C7" t="s">
        <v>169</v>
      </c>
      <c r="D7" t="s">
        <v>162</v>
      </c>
      <c r="E7" t="s">
        <v>170</v>
      </c>
      <c r="F7" t="s">
        <v>171</v>
      </c>
    </row>
    <row r="8" spans="1:6">
      <c r="A8">
        <v>7</v>
      </c>
      <c r="B8">
        <v>2100</v>
      </c>
      <c r="C8" t="s">
        <v>172</v>
      </c>
      <c r="D8" t="s">
        <v>162</v>
      </c>
      <c r="E8" t="s">
        <v>170</v>
      </c>
      <c r="F8" t="s">
        <v>171</v>
      </c>
    </row>
    <row r="9" spans="1:6">
      <c r="A9">
        <v>8</v>
      </c>
      <c r="B9">
        <v>2200</v>
      </c>
      <c r="C9" t="s">
        <v>173</v>
      </c>
      <c r="D9" t="s">
        <v>162</v>
      </c>
      <c r="E9" t="s">
        <v>170</v>
      </c>
      <c r="F9" t="s">
        <v>171</v>
      </c>
    </row>
    <row r="10" spans="1:6">
      <c r="A10">
        <v>9</v>
      </c>
      <c r="B10">
        <v>3000</v>
      </c>
      <c r="C10" t="s">
        <v>174</v>
      </c>
      <c r="D10" t="s">
        <v>162</v>
      </c>
      <c r="E10" t="s">
        <v>175</v>
      </c>
      <c r="F10" t="s">
        <v>171</v>
      </c>
    </row>
    <row r="11" spans="1:6">
      <c r="A11">
        <v>10</v>
      </c>
      <c r="B11">
        <v>3100</v>
      </c>
      <c r="C11" t="s">
        <v>176</v>
      </c>
      <c r="D11" t="s">
        <v>162</v>
      </c>
      <c r="E11" t="s">
        <v>175</v>
      </c>
      <c r="F11" t="s">
        <v>171</v>
      </c>
    </row>
    <row r="12" spans="1:6">
      <c r="A12">
        <v>11</v>
      </c>
      <c r="B12">
        <v>4000</v>
      </c>
      <c r="C12" t="s">
        <v>177</v>
      </c>
      <c r="D12" t="s">
        <v>178</v>
      </c>
      <c r="E12" t="s">
        <v>36</v>
      </c>
      <c r="F12" t="s">
        <v>171</v>
      </c>
    </row>
    <row r="13" spans="1:6">
      <c r="A13">
        <v>12</v>
      </c>
      <c r="B13">
        <v>4010</v>
      </c>
      <c r="C13" t="s">
        <v>179</v>
      </c>
      <c r="D13" t="s">
        <v>178</v>
      </c>
      <c r="E13" t="s">
        <v>36</v>
      </c>
      <c r="F13" t="s">
        <v>171</v>
      </c>
    </row>
    <row r="14" spans="1:6">
      <c r="A14">
        <v>13</v>
      </c>
      <c r="B14">
        <v>4020</v>
      </c>
      <c r="C14" t="s">
        <v>180</v>
      </c>
      <c r="D14" t="s">
        <v>178</v>
      </c>
      <c r="E14" t="s">
        <v>36</v>
      </c>
      <c r="F14" t="s">
        <v>171</v>
      </c>
    </row>
    <row r="15" spans="1:6">
      <c r="A15">
        <v>14</v>
      </c>
      <c r="B15">
        <v>5000</v>
      </c>
      <c r="C15" t="s">
        <v>181</v>
      </c>
      <c r="D15" t="s">
        <v>178</v>
      </c>
      <c r="E15" t="s">
        <v>182</v>
      </c>
      <c r="F15" t="s">
        <v>164</v>
      </c>
    </row>
    <row r="16" spans="1:6">
      <c r="A16">
        <v>15</v>
      </c>
      <c r="B16">
        <v>6100</v>
      </c>
      <c r="C16" t="s">
        <v>183</v>
      </c>
      <c r="D16" t="s">
        <v>178</v>
      </c>
      <c r="E16" t="s">
        <v>184</v>
      </c>
      <c r="F16" t="s">
        <v>164</v>
      </c>
    </row>
    <row r="17" spans="1:6">
      <c r="A17">
        <v>16</v>
      </c>
      <c r="B17">
        <v>6110</v>
      </c>
      <c r="C17" t="s">
        <v>185</v>
      </c>
      <c r="D17" t="s">
        <v>178</v>
      </c>
      <c r="E17" t="s">
        <v>184</v>
      </c>
      <c r="F17" t="s">
        <v>164</v>
      </c>
    </row>
    <row r="18" spans="1:6">
      <c r="A18">
        <v>17</v>
      </c>
      <c r="B18">
        <v>6120</v>
      </c>
      <c r="C18" t="s">
        <v>186</v>
      </c>
      <c r="D18" t="s">
        <v>178</v>
      </c>
      <c r="E18" t="s">
        <v>184</v>
      </c>
      <c r="F18" t="s">
        <v>164</v>
      </c>
    </row>
    <row r="19" spans="1:6">
      <c r="A19">
        <v>18</v>
      </c>
      <c r="B19">
        <v>6200</v>
      </c>
      <c r="C19" t="s">
        <v>187</v>
      </c>
      <c r="D19" t="s">
        <v>178</v>
      </c>
      <c r="E19" t="s">
        <v>184</v>
      </c>
      <c r="F19" t="s">
        <v>164</v>
      </c>
    </row>
    <row r="20" spans="1:6">
      <c r="A20">
        <v>19</v>
      </c>
      <c r="B20">
        <v>6300</v>
      </c>
      <c r="C20" t="s">
        <v>188</v>
      </c>
      <c r="D20" t="s">
        <v>178</v>
      </c>
      <c r="E20" t="s">
        <v>184</v>
      </c>
      <c r="F20" t="s">
        <v>164</v>
      </c>
    </row>
    <row r="21" spans="1:6">
      <c r="A21">
        <v>20</v>
      </c>
      <c r="B21">
        <v>6500</v>
      </c>
      <c r="C21" t="s">
        <v>189</v>
      </c>
      <c r="D21" t="s">
        <v>178</v>
      </c>
      <c r="E21" t="s">
        <v>184</v>
      </c>
      <c r="F21" t="s">
        <v>164</v>
      </c>
    </row>
    <row r="22" spans="1:6">
      <c r="A22">
        <v>21</v>
      </c>
      <c r="B22">
        <v>6600</v>
      </c>
      <c r="C22" t="s">
        <v>190</v>
      </c>
      <c r="D22" t="s">
        <v>178</v>
      </c>
      <c r="E22" t="s">
        <v>184</v>
      </c>
      <c r="F22" t="s">
        <v>164</v>
      </c>
    </row>
    <row r="23" spans="1:6">
      <c r="A23">
        <v>22</v>
      </c>
      <c r="B23">
        <v>6700</v>
      </c>
      <c r="C23" t="s">
        <v>191</v>
      </c>
      <c r="D23" t="s">
        <v>178</v>
      </c>
      <c r="E23" t="s">
        <v>184</v>
      </c>
      <c r="F23" t="s">
        <v>164</v>
      </c>
    </row>
    <row r="24" spans="1:6">
      <c r="A24">
        <v>23</v>
      </c>
      <c r="B24">
        <v>6800</v>
      </c>
      <c r="C24" t="s">
        <v>192</v>
      </c>
      <c r="D24" t="s">
        <v>178</v>
      </c>
      <c r="E24" t="s">
        <v>184</v>
      </c>
      <c r="F24" t="s">
        <v>164</v>
      </c>
    </row>
    <row r="25" spans="1:6">
      <c r="A25">
        <v>24</v>
      </c>
      <c r="B25">
        <v>6900</v>
      </c>
      <c r="C25" t="s">
        <v>193</v>
      </c>
      <c r="D25" t="s">
        <v>178</v>
      </c>
      <c r="E25" t="s">
        <v>184</v>
      </c>
      <c r="F25" t="s">
        <v>164</v>
      </c>
    </row>
    <row r="26" spans="1:6">
      <c r="A26">
        <v>25</v>
      </c>
      <c r="B26">
        <v>8200</v>
      </c>
      <c r="C26" t="s">
        <v>194</v>
      </c>
      <c r="D26" t="s">
        <v>178</v>
      </c>
      <c r="E26" t="s">
        <v>195</v>
      </c>
      <c r="F26" t="s">
        <v>164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CD37-218B-49A0-8853-F47418C03AA7}">
  <dimension ref="A1:C5"/>
  <sheetViews>
    <sheetView workbookViewId="0">
      <selection activeCell="C1" sqref="C1"/>
    </sheetView>
  </sheetViews>
  <sheetFormatPr defaultRowHeight="15"/>
  <cols>
    <col min="1" max="1" width="18.28515625" bestFit="1" customWidth="1"/>
    <col min="2" max="2" width="17" bestFit="1" customWidth="1"/>
    <col min="3" max="3" width="20.42578125" bestFit="1" customWidth="1"/>
  </cols>
  <sheetData>
    <row r="1" spans="1:3">
      <c r="A1" s="3" t="s">
        <v>196</v>
      </c>
      <c r="B1" s="3" t="s">
        <v>197</v>
      </c>
      <c r="C1" s="3" t="s">
        <v>198</v>
      </c>
    </row>
    <row r="2" spans="1:3">
      <c r="A2">
        <v>1</v>
      </c>
      <c r="B2" t="s">
        <v>199</v>
      </c>
      <c r="C2" t="s">
        <v>200</v>
      </c>
    </row>
    <row r="3" spans="1:3">
      <c r="A3">
        <v>2</v>
      </c>
      <c r="B3" t="s">
        <v>201</v>
      </c>
      <c r="C3" t="s">
        <v>202</v>
      </c>
    </row>
    <row r="4" spans="1:3">
      <c r="A4">
        <v>3</v>
      </c>
      <c r="B4" t="s">
        <v>203</v>
      </c>
      <c r="C4" t="s">
        <v>204</v>
      </c>
    </row>
    <row r="5" spans="1:3">
      <c r="A5">
        <v>4</v>
      </c>
      <c r="B5" t="s">
        <v>205</v>
      </c>
      <c r="C5" t="s">
        <v>206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F842-DA19-44E0-A64C-65B58D256186}">
  <dimension ref="A1:H1097"/>
  <sheetViews>
    <sheetView workbookViewId="0">
      <selection activeCell="J10" sqref="J10"/>
    </sheetView>
  </sheetViews>
  <sheetFormatPr defaultRowHeight="15"/>
  <cols>
    <col min="1" max="1" width="10.85546875" bestFit="1" customWidth="1"/>
    <col min="2" max="2" width="11.42578125" style="1" bestFit="1" customWidth="1"/>
    <col min="3" max="3" width="15.28515625" bestFit="1" customWidth="1"/>
    <col min="4" max="4" width="18.5703125" bestFit="1" customWidth="1"/>
    <col min="5" max="5" width="17" bestFit="1" customWidth="1"/>
    <col min="6" max="6" width="14.85546875" bestFit="1" customWidth="1"/>
    <col min="7" max="7" width="13.5703125" bestFit="1" customWidth="1"/>
    <col min="8" max="8" width="12.28515625" bestFit="1" customWidth="1"/>
  </cols>
  <sheetData>
    <row r="1" spans="1:8">
      <c r="A1" s="6" t="s">
        <v>207</v>
      </c>
      <c r="B1" s="5" t="s">
        <v>208</v>
      </c>
      <c r="C1" s="4" t="s">
        <v>209</v>
      </c>
      <c r="D1" s="4" t="s">
        <v>210</v>
      </c>
      <c r="E1" s="4" t="s">
        <v>211</v>
      </c>
      <c r="F1" s="4" t="s">
        <v>212</v>
      </c>
      <c r="G1" s="4" t="s">
        <v>213</v>
      </c>
      <c r="H1" s="4" t="s">
        <v>214</v>
      </c>
    </row>
    <row r="2" spans="1:8">
      <c r="A2">
        <v>20230101</v>
      </c>
      <c r="B2" s="1">
        <v>44927</v>
      </c>
      <c r="C2">
        <v>2023</v>
      </c>
      <c r="D2">
        <v>1</v>
      </c>
      <c r="E2">
        <v>1</v>
      </c>
      <c r="F2" t="s">
        <v>215</v>
      </c>
      <c r="G2" t="s">
        <v>216</v>
      </c>
      <c r="H2" t="s">
        <v>217</v>
      </c>
    </row>
    <row r="3" spans="1:8">
      <c r="A3">
        <v>20230102</v>
      </c>
      <c r="B3" s="1">
        <v>44928</v>
      </c>
      <c r="C3">
        <v>2023</v>
      </c>
      <c r="D3">
        <v>1</v>
      </c>
      <c r="E3">
        <v>1</v>
      </c>
      <c r="F3" t="s">
        <v>215</v>
      </c>
      <c r="G3" t="s">
        <v>216</v>
      </c>
      <c r="H3" t="s">
        <v>217</v>
      </c>
    </row>
    <row r="4" spans="1:8">
      <c r="A4">
        <v>20230103</v>
      </c>
      <c r="B4" s="1">
        <v>44929</v>
      </c>
      <c r="C4">
        <v>2023</v>
      </c>
      <c r="D4">
        <v>1</v>
      </c>
      <c r="E4">
        <v>1</v>
      </c>
      <c r="F4" t="s">
        <v>215</v>
      </c>
      <c r="G4" t="s">
        <v>216</v>
      </c>
      <c r="H4" t="s">
        <v>217</v>
      </c>
    </row>
    <row r="5" spans="1:8">
      <c r="A5">
        <v>20230104</v>
      </c>
      <c r="B5" s="1">
        <v>44930</v>
      </c>
      <c r="C5">
        <v>2023</v>
      </c>
      <c r="D5">
        <v>1</v>
      </c>
      <c r="E5">
        <v>1</v>
      </c>
      <c r="F5" t="s">
        <v>215</v>
      </c>
      <c r="G5" t="s">
        <v>216</v>
      </c>
      <c r="H5" t="s">
        <v>217</v>
      </c>
    </row>
    <row r="6" spans="1:8">
      <c r="A6">
        <v>20230105</v>
      </c>
      <c r="B6" s="1">
        <v>44931</v>
      </c>
      <c r="C6">
        <v>2023</v>
      </c>
      <c r="D6">
        <v>1</v>
      </c>
      <c r="E6">
        <v>1</v>
      </c>
      <c r="F6" t="s">
        <v>215</v>
      </c>
      <c r="G6" t="s">
        <v>216</v>
      </c>
      <c r="H6" t="s">
        <v>217</v>
      </c>
    </row>
    <row r="7" spans="1:8">
      <c r="A7">
        <v>20230106</v>
      </c>
      <c r="B7" s="1">
        <v>44932</v>
      </c>
      <c r="C7">
        <v>2023</v>
      </c>
      <c r="D7">
        <v>1</v>
      </c>
      <c r="E7">
        <v>1</v>
      </c>
      <c r="F7" t="s">
        <v>215</v>
      </c>
      <c r="G7" t="s">
        <v>216</v>
      </c>
      <c r="H7" t="s">
        <v>217</v>
      </c>
    </row>
    <row r="8" spans="1:8">
      <c r="A8">
        <v>20230107</v>
      </c>
      <c r="B8" s="1">
        <v>44933</v>
      </c>
      <c r="C8">
        <v>2023</v>
      </c>
      <c r="D8">
        <v>1</v>
      </c>
      <c r="E8">
        <v>1</v>
      </c>
      <c r="F8" t="s">
        <v>215</v>
      </c>
      <c r="G8" t="s">
        <v>216</v>
      </c>
      <c r="H8" t="s">
        <v>217</v>
      </c>
    </row>
    <row r="9" spans="1:8">
      <c r="A9">
        <v>20230108</v>
      </c>
      <c r="B9" s="1">
        <v>44934</v>
      </c>
      <c r="C9">
        <v>2023</v>
      </c>
      <c r="D9">
        <v>1</v>
      </c>
      <c r="E9">
        <v>1</v>
      </c>
      <c r="F9" t="s">
        <v>215</v>
      </c>
      <c r="G9" t="s">
        <v>216</v>
      </c>
      <c r="H9" t="s">
        <v>217</v>
      </c>
    </row>
    <row r="10" spans="1:8">
      <c r="A10">
        <v>20230109</v>
      </c>
      <c r="B10" s="1">
        <v>44935</v>
      </c>
      <c r="C10">
        <v>2023</v>
      </c>
      <c r="D10">
        <v>1</v>
      </c>
      <c r="E10">
        <v>1</v>
      </c>
      <c r="F10" t="s">
        <v>215</v>
      </c>
      <c r="G10" t="s">
        <v>216</v>
      </c>
      <c r="H10" t="s">
        <v>217</v>
      </c>
    </row>
    <row r="11" spans="1:8">
      <c r="A11">
        <v>20230110</v>
      </c>
      <c r="B11" s="1">
        <v>44936</v>
      </c>
      <c r="C11">
        <v>2023</v>
      </c>
      <c r="D11">
        <v>1</v>
      </c>
      <c r="E11">
        <v>1</v>
      </c>
      <c r="F11" t="s">
        <v>215</v>
      </c>
      <c r="G11" t="s">
        <v>216</v>
      </c>
      <c r="H11" t="s">
        <v>217</v>
      </c>
    </row>
    <row r="12" spans="1:8">
      <c r="A12">
        <v>20230111</v>
      </c>
      <c r="B12" s="1">
        <v>44937</v>
      </c>
      <c r="C12">
        <v>2023</v>
      </c>
      <c r="D12">
        <v>1</v>
      </c>
      <c r="E12">
        <v>1</v>
      </c>
      <c r="F12" t="s">
        <v>215</v>
      </c>
      <c r="G12" t="s">
        <v>216</v>
      </c>
      <c r="H12" t="s">
        <v>217</v>
      </c>
    </row>
    <row r="13" spans="1:8">
      <c r="A13">
        <v>20230112</v>
      </c>
      <c r="B13" s="1">
        <v>44938</v>
      </c>
      <c r="C13">
        <v>2023</v>
      </c>
      <c r="D13">
        <v>1</v>
      </c>
      <c r="E13">
        <v>1</v>
      </c>
      <c r="F13" t="s">
        <v>215</v>
      </c>
      <c r="G13" t="s">
        <v>216</v>
      </c>
      <c r="H13" t="s">
        <v>217</v>
      </c>
    </row>
    <row r="14" spans="1:8">
      <c r="A14">
        <v>20230113</v>
      </c>
      <c r="B14" s="1">
        <v>44939</v>
      </c>
      <c r="C14">
        <v>2023</v>
      </c>
      <c r="D14">
        <v>1</v>
      </c>
      <c r="E14">
        <v>1</v>
      </c>
      <c r="F14" t="s">
        <v>215</v>
      </c>
      <c r="G14" t="s">
        <v>216</v>
      </c>
      <c r="H14" t="s">
        <v>217</v>
      </c>
    </row>
    <row r="15" spans="1:8">
      <c r="A15">
        <v>20230114</v>
      </c>
      <c r="B15" s="1">
        <v>44940</v>
      </c>
      <c r="C15">
        <v>2023</v>
      </c>
      <c r="D15">
        <v>1</v>
      </c>
      <c r="E15">
        <v>1</v>
      </c>
      <c r="F15" t="s">
        <v>215</v>
      </c>
      <c r="G15" t="s">
        <v>216</v>
      </c>
      <c r="H15" t="s">
        <v>217</v>
      </c>
    </row>
    <row r="16" spans="1:8">
      <c r="A16">
        <v>20230115</v>
      </c>
      <c r="B16" s="1">
        <v>44941</v>
      </c>
      <c r="C16">
        <v>2023</v>
      </c>
      <c r="D16">
        <v>1</v>
      </c>
      <c r="E16">
        <v>1</v>
      </c>
      <c r="F16" t="s">
        <v>215</v>
      </c>
      <c r="G16" t="s">
        <v>216</v>
      </c>
      <c r="H16" t="s">
        <v>217</v>
      </c>
    </row>
    <row r="17" spans="1:8">
      <c r="A17">
        <v>20230116</v>
      </c>
      <c r="B17" s="1">
        <v>44942</v>
      </c>
      <c r="C17">
        <v>2023</v>
      </c>
      <c r="D17">
        <v>1</v>
      </c>
      <c r="E17">
        <v>1</v>
      </c>
      <c r="F17" t="s">
        <v>215</v>
      </c>
      <c r="G17" t="s">
        <v>216</v>
      </c>
      <c r="H17" t="s">
        <v>217</v>
      </c>
    </row>
    <row r="18" spans="1:8">
      <c r="A18">
        <v>20230117</v>
      </c>
      <c r="B18" s="1">
        <v>44943</v>
      </c>
      <c r="C18">
        <v>2023</v>
      </c>
      <c r="D18">
        <v>1</v>
      </c>
      <c r="E18">
        <v>1</v>
      </c>
      <c r="F18" t="s">
        <v>215</v>
      </c>
      <c r="G18" t="s">
        <v>216</v>
      </c>
      <c r="H18" t="s">
        <v>217</v>
      </c>
    </row>
    <row r="19" spans="1:8">
      <c r="A19">
        <v>20230118</v>
      </c>
      <c r="B19" s="1">
        <v>44944</v>
      </c>
      <c r="C19">
        <v>2023</v>
      </c>
      <c r="D19">
        <v>1</v>
      </c>
      <c r="E19">
        <v>1</v>
      </c>
      <c r="F19" t="s">
        <v>215</v>
      </c>
      <c r="G19" t="s">
        <v>216</v>
      </c>
      <c r="H19" t="s">
        <v>217</v>
      </c>
    </row>
    <row r="20" spans="1:8">
      <c r="A20">
        <v>20230119</v>
      </c>
      <c r="B20" s="1">
        <v>44945</v>
      </c>
      <c r="C20">
        <v>2023</v>
      </c>
      <c r="D20">
        <v>1</v>
      </c>
      <c r="E20">
        <v>1</v>
      </c>
      <c r="F20" t="s">
        <v>215</v>
      </c>
      <c r="G20" t="s">
        <v>216</v>
      </c>
      <c r="H20" t="s">
        <v>217</v>
      </c>
    </row>
    <row r="21" spans="1:8">
      <c r="A21">
        <v>20230120</v>
      </c>
      <c r="B21" s="1">
        <v>44946</v>
      </c>
      <c r="C21">
        <v>2023</v>
      </c>
      <c r="D21">
        <v>1</v>
      </c>
      <c r="E21">
        <v>1</v>
      </c>
      <c r="F21" t="s">
        <v>215</v>
      </c>
      <c r="G21" t="s">
        <v>216</v>
      </c>
      <c r="H21" t="s">
        <v>217</v>
      </c>
    </row>
    <row r="22" spans="1:8">
      <c r="A22">
        <v>20230121</v>
      </c>
      <c r="B22" s="1">
        <v>44947</v>
      </c>
      <c r="C22">
        <v>2023</v>
      </c>
      <c r="D22">
        <v>1</v>
      </c>
      <c r="E22">
        <v>1</v>
      </c>
      <c r="F22" t="s">
        <v>215</v>
      </c>
      <c r="G22" t="s">
        <v>216</v>
      </c>
      <c r="H22" t="s">
        <v>217</v>
      </c>
    </row>
    <row r="23" spans="1:8">
      <c r="A23">
        <v>20230122</v>
      </c>
      <c r="B23" s="1">
        <v>44948</v>
      </c>
      <c r="C23">
        <v>2023</v>
      </c>
      <c r="D23">
        <v>1</v>
      </c>
      <c r="E23">
        <v>1</v>
      </c>
      <c r="F23" t="s">
        <v>215</v>
      </c>
      <c r="G23" t="s">
        <v>216</v>
      </c>
      <c r="H23" t="s">
        <v>217</v>
      </c>
    </row>
    <row r="24" spans="1:8">
      <c r="A24">
        <v>20230123</v>
      </c>
      <c r="B24" s="1">
        <v>44949</v>
      </c>
      <c r="C24">
        <v>2023</v>
      </c>
      <c r="D24">
        <v>1</v>
      </c>
      <c r="E24">
        <v>1</v>
      </c>
      <c r="F24" t="s">
        <v>215</v>
      </c>
      <c r="G24" t="s">
        <v>216</v>
      </c>
      <c r="H24" t="s">
        <v>217</v>
      </c>
    </row>
    <row r="25" spans="1:8">
      <c r="A25">
        <v>20230124</v>
      </c>
      <c r="B25" s="1">
        <v>44950</v>
      </c>
      <c r="C25">
        <v>2023</v>
      </c>
      <c r="D25">
        <v>1</v>
      </c>
      <c r="E25">
        <v>1</v>
      </c>
      <c r="F25" t="s">
        <v>215</v>
      </c>
      <c r="G25" t="s">
        <v>216</v>
      </c>
      <c r="H25" t="s">
        <v>217</v>
      </c>
    </row>
    <row r="26" spans="1:8">
      <c r="A26">
        <v>20230125</v>
      </c>
      <c r="B26" s="1">
        <v>44951</v>
      </c>
      <c r="C26">
        <v>2023</v>
      </c>
      <c r="D26">
        <v>1</v>
      </c>
      <c r="E26">
        <v>1</v>
      </c>
      <c r="F26" t="s">
        <v>215</v>
      </c>
      <c r="G26" t="s">
        <v>216</v>
      </c>
      <c r="H26" t="s">
        <v>217</v>
      </c>
    </row>
    <row r="27" spans="1:8">
      <c r="A27">
        <v>20230126</v>
      </c>
      <c r="B27" s="1">
        <v>44952</v>
      </c>
      <c r="C27">
        <v>2023</v>
      </c>
      <c r="D27">
        <v>1</v>
      </c>
      <c r="E27">
        <v>1</v>
      </c>
      <c r="F27" t="s">
        <v>215</v>
      </c>
      <c r="G27" t="s">
        <v>216</v>
      </c>
      <c r="H27" t="s">
        <v>217</v>
      </c>
    </row>
    <row r="28" spans="1:8">
      <c r="A28">
        <v>20230127</v>
      </c>
      <c r="B28" s="1">
        <v>44953</v>
      </c>
      <c r="C28">
        <v>2023</v>
      </c>
      <c r="D28">
        <v>1</v>
      </c>
      <c r="E28">
        <v>1</v>
      </c>
      <c r="F28" t="s">
        <v>215</v>
      </c>
      <c r="G28" t="s">
        <v>216</v>
      </c>
      <c r="H28" t="s">
        <v>217</v>
      </c>
    </row>
    <row r="29" spans="1:8">
      <c r="A29">
        <v>20230128</v>
      </c>
      <c r="B29" s="1">
        <v>44954</v>
      </c>
      <c r="C29">
        <v>2023</v>
      </c>
      <c r="D29">
        <v>1</v>
      </c>
      <c r="E29">
        <v>1</v>
      </c>
      <c r="F29" t="s">
        <v>215</v>
      </c>
      <c r="G29" t="s">
        <v>216</v>
      </c>
      <c r="H29" t="s">
        <v>217</v>
      </c>
    </row>
    <row r="30" spans="1:8">
      <c r="A30">
        <v>20230129</v>
      </c>
      <c r="B30" s="1">
        <v>44955</v>
      </c>
      <c r="C30">
        <v>2023</v>
      </c>
      <c r="D30">
        <v>1</v>
      </c>
      <c r="E30">
        <v>1</v>
      </c>
      <c r="F30" t="s">
        <v>215</v>
      </c>
      <c r="G30" t="s">
        <v>216</v>
      </c>
      <c r="H30" t="s">
        <v>217</v>
      </c>
    </row>
    <row r="31" spans="1:8">
      <c r="A31">
        <v>20230130</v>
      </c>
      <c r="B31" s="1">
        <v>44956</v>
      </c>
      <c r="C31">
        <v>2023</v>
      </c>
      <c r="D31">
        <v>1</v>
      </c>
      <c r="E31">
        <v>1</v>
      </c>
      <c r="F31" t="s">
        <v>215</v>
      </c>
      <c r="G31" t="s">
        <v>216</v>
      </c>
      <c r="H31" t="s">
        <v>217</v>
      </c>
    </row>
    <row r="32" spans="1:8">
      <c r="A32">
        <v>20230131</v>
      </c>
      <c r="B32" s="1">
        <v>44957</v>
      </c>
      <c r="C32">
        <v>2023</v>
      </c>
      <c r="D32">
        <v>1</v>
      </c>
      <c r="E32">
        <v>1</v>
      </c>
      <c r="F32" t="s">
        <v>215</v>
      </c>
      <c r="G32" t="s">
        <v>216</v>
      </c>
      <c r="H32" t="s">
        <v>217</v>
      </c>
    </row>
    <row r="33" spans="1:8">
      <c r="A33">
        <v>20230201</v>
      </c>
      <c r="B33" s="1">
        <v>44958</v>
      </c>
      <c r="C33">
        <v>2023</v>
      </c>
      <c r="D33">
        <v>1</v>
      </c>
      <c r="E33">
        <v>2</v>
      </c>
      <c r="F33" t="s">
        <v>218</v>
      </c>
      <c r="G33" t="s">
        <v>219</v>
      </c>
      <c r="H33" t="s">
        <v>217</v>
      </c>
    </row>
    <row r="34" spans="1:8">
      <c r="A34">
        <v>20230202</v>
      </c>
      <c r="B34" s="1">
        <v>44959</v>
      </c>
      <c r="C34">
        <v>2023</v>
      </c>
      <c r="D34">
        <v>1</v>
      </c>
      <c r="E34">
        <v>2</v>
      </c>
      <c r="F34" t="s">
        <v>218</v>
      </c>
      <c r="G34" t="s">
        <v>219</v>
      </c>
      <c r="H34" t="s">
        <v>217</v>
      </c>
    </row>
    <row r="35" spans="1:8">
      <c r="A35">
        <v>20230203</v>
      </c>
      <c r="B35" s="1">
        <v>44960</v>
      </c>
      <c r="C35">
        <v>2023</v>
      </c>
      <c r="D35">
        <v>1</v>
      </c>
      <c r="E35">
        <v>2</v>
      </c>
      <c r="F35" t="s">
        <v>218</v>
      </c>
      <c r="G35" t="s">
        <v>219</v>
      </c>
      <c r="H35" t="s">
        <v>217</v>
      </c>
    </row>
    <row r="36" spans="1:8">
      <c r="A36">
        <v>20230204</v>
      </c>
      <c r="B36" s="1">
        <v>44961</v>
      </c>
      <c r="C36">
        <v>2023</v>
      </c>
      <c r="D36">
        <v>1</v>
      </c>
      <c r="E36">
        <v>2</v>
      </c>
      <c r="F36" t="s">
        <v>218</v>
      </c>
      <c r="G36" t="s">
        <v>219</v>
      </c>
      <c r="H36" t="s">
        <v>217</v>
      </c>
    </row>
    <row r="37" spans="1:8">
      <c r="A37">
        <v>20230205</v>
      </c>
      <c r="B37" s="1">
        <v>44962</v>
      </c>
      <c r="C37">
        <v>2023</v>
      </c>
      <c r="D37">
        <v>1</v>
      </c>
      <c r="E37">
        <v>2</v>
      </c>
      <c r="F37" t="s">
        <v>218</v>
      </c>
      <c r="G37" t="s">
        <v>219</v>
      </c>
      <c r="H37" t="s">
        <v>217</v>
      </c>
    </row>
    <row r="38" spans="1:8">
      <c r="A38">
        <v>20230206</v>
      </c>
      <c r="B38" s="1">
        <v>44963</v>
      </c>
      <c r="C38">
        <v>2023</v>
      </c>
      <c r="D38">
        <v>1</v>
      </c>
      <c r="E38">
        <v>2</v>
      </c>
      <c r="F38" t="s">
        <v>218</v>
      </c>
      <c r="G38" t="s">
        <v>219</v>
      </c>
      <c r="H38" t="s">
        <v>217</v>
      </c>
    </row>
    <row r="39" spans="1:8">
      <c r="A39">
        <v>20230207</v>
      </c>
      <c r="B39" s="1">
        <v>44964</v>
      </c>
      <c r="C39">
        <v>2023</v>
      </c>
      <c r="D39">
        <v>1</v>
      </c>
      <c r="E39">
        <v>2</v>
      </c>
      <c r="F39" t="s">
        <v>218</v>
      </c>
      <c r="G39" t="s">
        <v>219</v>
      </c>
      <c r="H39" t="s">
        <v>217</v>
      </c>
    </row>
    <row r="40" spans="1:8">
      <c r="A40">
        <v>20230208</v>
      </c>
      <c r="B40" s="1">
        <v>44965</v>
      </c>
      <c r="C40">
        <v>2023</v>
      </c>
      <c r="D40">
        <v>1</v>
      </c>
      <c r="E40">
        <v>2</v>
      </c>
      <c r="F40" t="s">
        <v>218</v>
      </c>
      <c r="G40" t="s">
        <v>219</v>
      </c>
      <c r="H40" t="s">
        <v>217</v>
      </c>
    </row>
    <row r="41" spans="1:8">
      <c r="A41">
        <v>20230209</v>
      </c>
      <c r="B41" s="1">
        <v>44966</v>
      </c>
      <c r="C41">
        <v>2023</v>
      </c>
      <c r="D41">
        <v>1</v>
      </c>
      <c r="E41">
        <v>2</v>
      </c>
      <c r="F41" t="s">
        <v>218</v>
      </c>
      <c r="G41" t="s">
        <v>219</v>
      </c>
      <c r="H41" t="s">
        <v>217</v>
      </c>
    </row>
    <row r="42" spans="1:8">
      <c r="A42">
        <v>20230210</v>
      </c>
      <c r="B42" s="1">
        <v>44967</v>
      </c>
      <c r="C42">
        <v>2023</v>
      </c>
      <c r="D42">
        <v>1</v>
      </c>
      <c r="E42">
        <v>2</v>
      </c>
      <c r="F42" t="s">
        <v>218</v>
      </c>
      <c r="G42" t="s">
        <v>219</v>
      </c>
      <c r="H42" t="s">
        <v>217</v>
      </c>
    </row>
    <row r="43" spans="1:8">
      <c r="A43">
        <v>20230211</v>
      </c>
      <c r="B43" s="1">
        <v>44968</v>
      </c>
      <c r="C43">
        <v>2023</v>
      </c>
      <c r="D43">
        <v>1</v>
      </c>
      <c r="E43">
        <v>2</v>
      </c>
      <c r="F43" t="s">
        <v>218</v>
      </c>
      <c r="G43" t="s">
        <v>219</v>
      </c>
      <c r="H43" t="s">
        <v>217</v>
      </c>
    </row>
    <row r="44" spans="1:8">
      <c r="A44">
        <v>20230212</v>
      </c>
      <c r="B44" s="1">
        <v>44969</v>
      </c>
      <c r="C44">
        <v>2023</v>
      </c>
      <c r="D44">
        <v>1</v>
      </c>
      <c r="E44">
        <v>2</v>
      </c>
      <c r="F44" t="s">
        <v>218</v>
      </c>
      <c r="G44" t="s">
        <v>219</v>
      </c>
      <c r="H44" t="s">
        <v>217</v>
      </c>
    </row>
    <row r="45" spans="1:8">
      <c r="A45">
        <v>20230213</v>
      </c>
      <c r="B45" s="1">
        <v>44970</v>
      </c>
      <c r="C45">
        <v>2023</v>
      </c>
      <c r="D45">
        <v>1</v>
      </c>
      <c r="E45">
        <v>2</v>
      </c>
      <c r="F45" t="s">
        <v>218</v>
      </c>
      <c r="G45" t="s">
        <v>219</v>
      </c>
      <c r="H45" t="s">
        <v>217</v>
      </c>
    </row>
    <row r="46" spans="1:8">
      <c r="A46">
        <v>20230214</v>
      </c>
      <c r="B46" s="1">
        <v>44971</v>
      </c>
      <c r="C46">
        <v>2023</v>
      </c>
      <c r="D46">
        <v>1</v>
      </c>
      <c r="E46">
        <v>2</v>
      </c>
      <c r="F46" t="s">
        <v>218</v>
      </c>
      <c r="G46" t="s">
        <v>219</v>
      </c>
      <c r="H46" t="s">
        <v>217</v>
      </c>
    </row>
    <row r="47" spans="1:8">
      <c r="A47">
        <v>20230215</v>
      </c>
      <c r="B47" s="1">
        <v>44972</v>
      </c>
      <c r="C47">
        <v>2023</v>
      </c>
      <c r="D47">
        <v>1</v>
      </c>
      <c r="E47">
        <v>2</v>
      </c>
      <c r="F47" t="s">
        <v>218</v>
      </c>
      <c r="G47" t="s">
        <v>219</v>
      </c>
      <c r="H47" t="s">
        <v>217</v>
      </c>
    </row>
    <row r="48" spans="1:8">
      <c r="A48">
        <v>20230216</v>
      </c>
      <c r="B48" s="1">
        <v>44973</v>
      </c>
      <c r="C48">
        <v>2023</v>
      </c>
      <c r="D48">
        <v>1</v>
      </c>
      <c r="E48">
        <v>2</v>
      </c>
      <c r="F48" t="s">
        <v>218</v>
      </c>
      <c r="G48" t="s">
        <v>219</v>
      </c>
      <c r="H48" t="s">
        <v>217</v>
      </c>
    </row>
    <row r="49" spans="1:8">
      <c r="A49">
        <v>20230217</v>
      </c>
      <c r="B49" s="1">
        <v>44974</v>
      </c>
      <c r="C49">
        <v>2023</v>
      </c>
      <c r="D49">
        <v>1</v>
      </c>
      <c r="E49">
        <v>2</v>
      </c>
      <c r="F49" t="s">
        <v>218</v>
      </c>
      <c r="G49" t="s">
        <v>219</v>
      </c>
      <c r="H49" t="s">
        <v>217</v>
      </c>
    </row>
    <row r="50" spans="1:8">
      <c r="A50">
        <v>20230218</v>
      </c>
      <c r="B50" s="1">
        <v>44975</v>
      </c>
      <c r="C50">
        <v>2023</v>
      </c>
      <c r="D50">
        <v>1</v>
      </c>
      <c r="E50">
        <v>2</v>
      </c>
      <c r="F50" t="s">
        <v>218</v>
      </c>
      <c r="G50" t="s">
        <v>219</v>
      </c>
      <c r="H50" t="s">
        <v>217</v>
      </c>
    </row>
    <row r="51" spans="1:8">
      <c r="A51">
        <v>20230219</v>
      </c>
      <c r="B51" s="1">
        <v>44976</v>
      </c>
      <c r="C51">
        <v>2023</v>
      </c>
      <c r="D51">
        <v>1</v>
      </c>
      <c r="E51">
        <v>2</v>
      </c>
      <c r="F51" t="s">
        <v>218</v>
      </c>
      <c r="G51" t="s">
        <v>219</v>
      </c>
      <c r="H51" t="s">
        <v>217</v>
      </c>
    </row>
    <row r="52" spans="1:8">
      <c r="A52">
        <v>20230220</v>
      </c>
      <c r="B52" s="1">
        <v>44977</v>
      </c>
      <c r="C52">
        <v>2023</v>
      </c>
      <c r="D52">
        <v>1</v>
      </c>
      <c r="E52">
        <v>2</v>
      </c>
      <c r="F52" t="s">
        <v>218</v>
      </c>
      <c r="G52" t="s">
        <v>219</v>
      </c>
      <c r="H52" t="s">
        <v>217</v>
      </c>
    </row>
    <row r="53" spans="1:8">
      <c r="A53">
        <v>20230221</v>
      </c>
      <c r="B53" s="1">
        <v>44978</v>
      </c>
      <c r="C53">
        <v>2023</v>
      </c>
      <c r="D53">
        <v>1</v>
      </c>
      <c r="E53">
        <v>2</v>
      </c>
      <c r="F53" t="s">
        <v>218</v>
      </c>
      <c r="G53" t="s">
        <v>219</v>
      </c>
      <c r="H53" t="s">
        <v>217</v>
      </c>
    </row>
    <row r="54" spans="1:8">
      <c r="A54">
        <v>20230222</v>
      </c>
      <c r="B54" s="1">
        <v>44979</v>
      </c>
      <c r="C54">
        <v>2023</v>
      </c>
      <c r="D54">
        <v>1</v>
      </c>
      <c r="E54">
        <v>2</v>
      </c>
      <c r="F54" t="s">
        <v>218</v>
      </c>
      <c r="G54" t="s">
        <v>219</v>
      </c>
      <c r="H54" t="s">
        <v>217</v>
      </c>
    </row>
    <row r="55" spans="1:8">
      <c r="A55">
        <v>20230223</v>
      </c>
      <c r="B55" s="1">
        <v>44980</v>
      </c>
      <c r="C55">
        <v>2023</v>
      </c>
      <c r="D55">
        <v>1</v>
      </c>
      <c r="E55">
        <v>2</v>
      </c>
      <c r="F55" t="s">
        <v>218</v>
      </c>
      <c r="G55" t="s">
        <v>219</v>
      </c>
      <c r="H55" t="s">
        <v>217</v>
      </c>
    </row>
    <row r="56" spans="1:8">
      <c r="A56">
        <v>20230224</v>
      </c>
      <c r="B56" s="1">
        <v>44981</v>
      </c>
      <c r="C56">
        <v>2023</v>
      </c>
      <c r="D56">
        <v>1</v>
      </c>
      <c r="E56">
        <v>2</v>
      </c>
      <c r="F56" t="s">
        <v>218</v>
      </c>
      <c r="G56" t="s">
        <v>219</v>
      </c>
      <c r="H56" t="s">
        <v>217</v>
      </c>
    </row>
    <row r="57" spans="1:8">
      <c r="A57">
        <v>20230225</v>
      </c>
      <c r="B57" s="1">
        <v>44982</v>
      </c>
      <c r="C57">
        <v>2023</v>
      </c>
      <c r="D57">
        <v>1</v>
      </c>
      <c r="E57">
        <v>2</v>
      </c>
      <c r="F57" t="s">
        <v>218</v>
      </c>
      <c r="G57" t="s">
        <v>219</v>
      </c>
      <c r="H57" t="s">
        <v>217</v>
      </c>
    </row>
    <row r="58" spans="1:8">
      <c r="A58">
        <v>20230226</v>
      </c>
      <c r="B58" s="1">
        <v>44983</v>
      </c>
      <c r="C58">
        <v>2023</v>
      </c>
      <c r="D58">
        <v>1</v>
      </c>
      <c r="E58">
        <v>2</v>
      </c>
      <c r="F58" t="s">
        <v>218</v>
      </c>
      <c r="G58" t="s">
        <v>219</v>
      </c>
      <c r="H58" t="s">
        <v>217</v>
      </c>
    </row>
    <row r="59" spans="1:8">
      <c r="A59">
        <v>20230227</v>
      </c>
      <c r="B59" s="1">
        <v>44984</v>
      </c>
      <c r="C59">
        <v>2023</v>
      </c>
      <c r="D59">
        <v>1</v>
      </c>
      <c r="E59">
        <v>2</v>
      </c>
      <c r="F59" t="s">
        <v>218</v>
      </c>
      <c r="G59" t="s">
        <v>219</v>
      </c>
      <c r="H59" t="s">
        <v>217</v>
      </c>
    </row>
    <row r="60" spans="1:8">
      <c r="A60">
        <v>20230228</v>
      </c>
      <c r="B60" s="1">
        <v>44985</v>
      </c>
      <c r="C60">
        <v>2023</v>
      </c>
      <c r="D60">
        <v>1</v>
      </c>
      <c r="E60">
        <v>2</v>
      </c>
      <c r="F60" t="s">
        <v>218</v>
      </c>
      <c r="G60" t="s">
        <v>219</v>
      </c>
      <c r="H60" t="s">
        <v>217</v>
      </c>
    </row>
    <row r="61" spans="1:8">
      <c r="A61">
        <v>20230301</v>
      </c>
      <c r="B61" s="1">
        <v>44986</v>
      </c>
      <c r="C61">
        <v>2023</v>
      </c>
      <c r="D61">
        <v>1</v>
      </c>
      <c r="E61">
        <v>3</v>
      </c>
      <c r="F61" t="s">
        <v>220</v>
      </c>
      <c r="G61" t="s">
        <v>221</v>
      </c>
      <c r="H61" t="s">
        <v>217</v>
      </c>
    </row>
    <row r="62" spans="1:8">
      <c r="A62">
        <v>20230302</v>
      </c>
      <c r="B62" s="1">
        <v>44987</v>
      </c>
      <c r="C62">
        <v>2023</v>
      </c>
      <c r="D62">
        <v>1</v>
      </c>
      <c r="E62">
        <v>3</v>
      </c>
      <c r="F62" t="s">
        <v>220</v>
      </c>
      <c r="G62" t="s">
        <v>221</v>
      </c>
      <c r="H62" t="s">
        <v>217</v>
      </c>
    </row>
    <row r="63" spans="1:8">
      <c r="A63">
        <v>20230303</v>
      </c>
      <c r="B63" s="1">
        <v>44988</v>
      </c>
      <c r="C63">
        <v>2023</v>
      </c>
      <c r="D63">
        <v>1</v>
      </c>
      <c r="E63">
        <v>3</v>
      </c>
      <c r="F63" t="s">
        <v>220</v>
      </c>
      <c r="G63" t="s">
        <v>221</v>
      </c>
      <c r="H63" t="s">
        <v>217</v>
      </c>
    </row>
    <row r="64" spans="1:8">
      <c r="A64">
        <v>20230304</v>
      </c>
      <c r="B64" s="1">
        <v>44989</v>
      </c>
      <c r="C64">
        <v>2023</v>
      </c>
      <c r="D64">
        <v>1</v>
      </c>
      <c r="E64">
        <v>3</v>
      </c>
      <c r="F64" t="s">
        <v>220</v>
      </c>
      <c r="G64" t="s">
        <v>221</v>
      </c>
      <c r="H64" t="s">
        <v>217</v>
      </c>
    </row>
    <row r="65" spans="1:8">
      <c r="A65">
        <v>20230305</v>
      </c>
      <c r="B65" s="1">
        <v>44990</v>
      </c>
      <c r="C65">
        <v>2023</v>
      </c>
      <c r="D65">
        <v>1</v>
      </c>
      <c r="E65">
        <v>3</v>
      </c>
      <c r="F65" t="s">
        <v>220</v>
      </c>
      <c r="G65" t="s">
        <v>221</v>
      </c>
      <c r="H65" t="s">
        <v>217</v>
      </c>
    </row>
    <row r="66" spans="1:8">
      <c r="A66">
        <v>20230306</v>
      </c>
      <c r="B66" s="1">
        <v>44991</v>
      </c>
      <c r="C66">
        <v>2023</v>
      </c>
      <c r="D66">
        <v>1</v>
      </c>
      <c r="E66">
        <v>3</v>
      </c>
      <c r="F66" t="s">
        <v>220</v>
      </c>
      <c r="G66" t="s">
        <v>221</v>
      </c>
      <c r="H66" t="s">
        <v>217</v>
      </c>
    </row>
    <row r="67" spans="1:8">
      <c r="A67">
        <v>20230307</v>
      </c>
      <c r="B67" s="1">
        <v>44992</v>
      </c>
      <c r="C67">
        <v>2023</v>
      </c>
      <c r="D67">
        <v>1</v>
      </c>
      <c r="E67">
        <v>3</v>
      </c>
      <c r="F67" t="s">
        <v>220</v>
      </c>
      <c r="G67" t="s">
        <v>221</v>
      </c>
      <c r="H67" t="s">
        <v>217</v>
      </c>
    </row>
    <row r="68" spans="1:8">
      <c r="A68">
        <v>20230308</v>
      </c>
      <c r="B68" s="1">
        <v>44993</v>
      </c>
      <c r="C68">
        <v>2023</v>
      </c>
      <c r="D68">
        <v>1</v>
      </c>
      <c r="E68">
        <v>3</v>
      </c>
      <c r="F68" t="s">
        <v>220</v>
      </c>
      <c r="G68" t="s">
        <v>221</v>
      </c>
      <c r="H68" t="s">
        <v>217</v>
      </c>
    </row>
    <row r="69" spans="1:8">
      <c r="A69">
        <v>20230309</v>
      </c>
      <c r="B69" s="1">
        <v>44994</v>
      </c>
      <c r="C69">
        <v>2023</v>
      </c>
      <c r="D69">
        <v>1</v>
      </c>
      <c r="E69">
        <v>3</v>
      </c>
      <c r="F69" t="s">
        <v>220</v>
      </c>
      <c r="G69" t="s">
        <v>221</v>
      </c>
      <c r="H69" t="s">
        <v>217</v>
      </c>
    </row>
    <row r="70" spans="1:8">
      <c r="A70">
        <v>20230310</v>
      </c>
      <c r="B70" s="1">
        <v>44995</v>
      </c>
      <c r="C70">
        <v>2023</v>
      </c>
      <c r="D70">
        <v>1</v>
      </c>
      <c r="E70">
        <v>3</v>
      </c>
      <c r="F70" t="s">
        <v>220</v>
      </c>
      <c r="G70" t="s">
        <v>221</v>
      </c>
      <c r="H70" t="s">
        <v>217</v>
      </c>
    </row>
    <row r="71" spans="1:8">
      <c r="A71">
        <v>20230311</v>
      </c>
      <c r="B71" s="1">
        <v>44996</v>
      </c>
      <c r="C71">
        <v>2023</v>
      </c>
      <c r="D71">
        <v>1</v>
      </c>
      <c r="E71">
        <v>3</v>
      </c>
      <c r="F71" t="s">
        <v>220</v>
      </c>
      <c r="G71" t="s">
        <v>221</v>
      </c>
      <c r="H71" t="s">
        <v>217</v>
      </c>
    </row>
    <row r="72" spans="1:8">
      <c r="A72">
        <v>20230312</v>
      </c>
      <c r="B72" s="1">
        <v>44997</v>
      </c>
      <c r="C72">
        <v>2023</v>
      </c>
      <c r="D72">
        <v>1</v>
      </c>
      <c r="E72">
        <v>3</v>
      </c>
      <c r="F72" t="s">
        <v>220</v>
      </c>
      <c r="G72" t="s">
        <v>221</v>
      </c>
      <c r="H72" t="s">
        <v>217</v>
      </c>
    </row>
    <row r="73" spans="1:8">
      <c r="A73">
        <v>20230313</v>
      </c>
      <c r="B73" s="1">
        <v>44998</v>
      </c>
      <c r="C73">
        <v>2023</v>
      </c>
      <c r="D73">
        <v>1</v>
      </c>
      <c r="E73">
        <v>3</v>
      </c>
      <c r="F73" t="s">
        <v>220</v>
      </c>
      <c r="G73" t="s">
        <v>221</v>
      </c>
      <c r="H73" t="s">
        <v>217</v>
      </c>
    </row>
    <row r="74" spans="1:8">
      <c r="A74">
        <v>20230314</v>
      </c>
      <c r="B74" s="1">
        <v>44999</v>
      </c>
      <c r="C74">
        <v>2023</v>
      </c>
      <c r="D74">
        <v>1</v>
      </c>
      <c r="E74">
        <v>3</v>
      </c>
      <c r="F74" t="s">
        <v>220</v>
      </c>
      <c r="G74" t="s">
        <v>221</v>
      </c>
      <c r="H74" t="s">
        <v>217</v>
      </c>
    </row>
    <row r="75" spans="1:8">
      <c r="A75">
        <v>20230315</v>
      </c>
      <c r="B75" s="1">
        <v>45000</v>
      </c>
      <c r="C75">
        <v>2023</v>
      </c>
      <c r="D75">
        <v>1</v>
      </c>
      <c r="E75">
        <v>3</v>
      </c>
      <c r="F75" t="s">
        <v>220</v>
      </c>
      <c r="G75" t="s">
        <v>221</v>
      </c>
      <c r="H75" t="s">
        <v>217</v>
      </c>
    </row>
    <row r="76" spans="1:8">
      <c r="A76">
        <v>20230316</v>
      </c>
      <c r="B76" s="1">
        <v>45001</v>
      </c>
      <c r="C76">
        <v>2023</v>
      </c>
      <c r="D76">
        <v>1</v>
      </c>
      <c r="E76">
        <v>3</v>
      </c>
      <c r="F76" t="s">
        <v>220</v>
      </c>
      <c r="G76" t="s">
        <v>221</v>
      </c>
      <c r="H76" t="s">
        <v>217</v>
      </c>
    </row>
    <row r="77" spans="1:8">
      <c r="A77">
        <v>20230317</v>
      </c>
      <c r="B77" s="1">
        <v>45002</v>
      </c>
      <c r="C77">
        <v>2023</v>
      </c>
      <c r="D77">
        <v>1</v>
      </c>
      <c r="E77">
        <v>3</v>
      </c>
      <c r="F77" t="s">
        <v>220</v>
      </c>
      <c r="G77" t="s">
        <v>221</v>
      </c>
      <c r="H77" t="s">
        <v>217</v>
      </c>
    </row>
    <row r="78" spans="1:8">
      <c r="A78">
        <v>20230318</v>
      </c>
      <c r="B78" s="1">
        <v>45003</v>
      </c>
      <c r="C78">
        <v>2023</v>
      </c>
      <c r="D78">
        <v>1</v>
      </c>
      <c r="E78">
        <v>3</v>
      </c>
      <c r="F78" t="s">
        <v>220</v>
      </c>
      <c r="G78" t="s">
        <v>221</v>
      </c>
      <c r="H78" t="s">
        <v>217</v>
      </c>
    </row>
    <row r="79" spans="1:8">
      <c r="A79">
        <v>20230319</v>
      </c>
      <c r="B79" s="1">
        <v>45004</v>
      </c>
      <c r="C79">
        <v>2023</v>
      </c>
      <c r="D79">
        <v>1</v>
      </c>
      <c r="E79">
        <v>3</v>
      </c>
      <c r="F79" t="s">
        <v>220</v>
      </c>
      <c r="G79" t="s">
        <v>221</v>
      </c>
      <c r="H79" t="s">
        <v>217</v>
      </c>
    </row>
    <row r="80" spans="1:8">
      <c r="A80">
        <v>20230320</v>
      </c>
      <c r="B80" s="1">
        <v>45005</v>
      </c>
      <c r="C80">
        <v>2023</v>
      </c>
      <c r="D80">
        <v>1</v>
      </c>
      <c r="E80">
        <v>3</v>
      </c>
      <c r="F80" t="s">
        <v>220</v>
      </c>
      <c r="G80" t="s">
        <v>221</v>
      </c>
      <c r="H80" t="s">
        <v>217</v>
      </c>
    </row>
    <row r="81" spans="1:8">
      <c r="A81">
        <v>20230321</v>
      </c>
      <c r="B81" s="1">
        <v>45006</v>
      </c>
      <c r="C81">
        <v>2023</v>
      </c>
      <c r="D81">
        <v>1</v>
      </c>
      <c r="E81">
        <v>3</v>
      </c>
      <c r="F81" t="s">
        <v>220</v>
      </c>
      <c r="G81" t="s">
        <v>221</v>
      </c>
      <c r="H81" t="s">
        <v>217</v>
      </c>
    </row>
    <row r="82" spans="1:8">
      <c r="A82">
        <v>20230322</v>
      </c>
      <c r="B82" s="1">
        <v>45007</v>
      </c>
      <c r="C82">
        <v>2023</v>
      </c>
      <c r="D82">
        <v>1</v>
      </c>
      <c r="E82">
        <v>3</v>
      </c>
      <c r="F82" t="s">
        <v>220</v>
      </c>
      <c r="G82" t="s">
        <v>221</v>
      </c>
      <c r="H82" t="s">
        <v>217</v>
      </c>
    </row>
    <row r="83" spans="1:8">
      <c r="A83">
        <v>20230323</v>
      </c>
      <c r="B83" s="1">
        <v>45008</v>
      </c>
      <c r="C83">
        <v>2023</v>
      </c>
      <c r="D83">
        <v>1</v>
      </c>
      <c r="E83">
        <v>3</v>
      </c>
      <c r="F83" t="s">
        <v>220</v>
      </c>
      <c r="G83" t="s">
        <v>221</v>
      </c>
      <c r="H83" t="s">
        <v>217</v>
      </c>
    </row>
    <row r="84" spans="1:8">
      <c r="A84">
        <v>20230324</v>
      </c>
      <c r="B84" s="1">
        <v>45009</v>
      </c>
      <c r="C84">
        <v>2023</v>
      </c>
      <c r="D84">
        <v>1</v>
      </c>
      <c r="E84">
        <v>3</v>
      </c>
      <c r="F84" t="s">
        <v>220</v>
      </c>
      <c r="G84" t="s">
        <v>221</v>
      </c>
      <c r="H84" t="s">
        <v>217</v>
      </c>
    </row>
    <row r="85" spans="1:8">
      <c r="A85">
        <v>20230325</v>
      </c>
      <c r="B85" s="1">
        <v>45010</v>
      </c>
      <c r="C85">
        <v>2023</v>
      </c>
      <c r="D85">
        <v>1</v>
      </c>
      <c r="E85">
        <v>3</v>
      </c>
      <c r="F85" t="s">
        <v>220</v>
      </c>
      <c r="G85" t="s">
        <v>221</v>
      </c>
      <c r="H85" t="s">
        <v>217</v>
      </c>
    </row>
    <row r="86" spans="1:8">
      <c r="A86">
        <v>20230326</v>
      </c>
      <c r="B86" s="1">
        <v>45011</v>
      </c>
      <c r="C86">
        <v>2023</v>
      </c>
      <c r="D86">
        <v>1</v>
      </c>
      <c r="E86">
        <v>3</v>
      </c>
      <c r="F86" t="s">
        <v>220</v>
      </c>
      <c r="G86" t="s">
        <v>221</v>
      </c>
      <c r="H86" t="s">
        <v>217</v>
      </c>
    </row>
    <row r="87" spans="1:8">
      <c r="A87">
        <v>20230327</v>
      </c>
      <c r="B87" s="1">
        <v>45012</v>
      </c>
      <c r="C87">
        <v>2023</v>
      </c>
      <c r="D87">
        <v>1</v>
      </c>
      <c r="E87">
        <v>3</v>
      </c>
      <c r="F87" t="s">
        <v>220</v>
      </c>
      <c r="G87" t="s">
        <v>221</v>
      </c>
      <c r="H87" t="s">
        <v>217</v>
      </c>
    </row>
    <row r="88" spans="1:8">
      <c r="A88">
        <v>20230328</v>
      </c>
      <c r="B88" s="1">
        <v>45013</v>
      </c>
      <c r="C88">
        <v>2023</v>
      </c>
      <c r="D88">
        <v>1</v>
      </c>
      <c r="E88">
        <v>3</v>
      </c>
      <c r="F88" t="s">
        <v>220</v>
      </c>
      <c r="G88" t="s">
        <v>221</v>
      </c>
      <c r="H88" t="s">
        <v>217</v>
      </c>
    </row>
    <row r="89" spans="1:8">
      <c r="A89">
        <v>20230329</v>
      </c>
      <c r="B89" s="1">
        <v>45014</v>
      </c>
      <c r="C89">
        <v>2023</v>
      </c>
      <c r="D89">
        <v>1</v>
      </c>
      <c r="E89">
        <v>3</v>
      </c>
      <c r="F89" t="s">
        <v>220</v>
      </c>
      <c r="G89" t="s">
        <v>221</v>
      </c>
      <c r="H89" t="s">
        <v>217</v>
      </c>
    </row>
    <row r="90" spans="1:8">
      <c r="A90">
        <v>20230330</v>
      </c>
      <c r="B90" s="1">
        <v>45015</v>
      </c>
      <c r="C90">
        <v>2023</v>
      </c>
      <c r="D90">
        <v>1</v>
      </c>
      <c r="E90">
        <v>3</v>
      </c>
      <c r="F90" t="s">
        <v>220</v>
      </c>
      <c r="G90" t="s">
        <v>221</v>
      </c>
      <c r="H90" t="s">
        <v>217</v>
      </c>
    </row>
    <row r="91" spans="1:8">
      <c r="A91">
        <v>20230331</v>
      </c>
      <c r="B91" s="1">
        <v>45016</v>
      </c>
      <c r="C91">
        <v>2023</v>
      </c>
      <c r="D91">
        <v>1</v>
      </c>
      <c r="E91">
        <v>3</v>
      </c>
      <c r="F91" t="s">
        <v>220</v>
      </c>
      <c r="G91" t="s">
        <v>221</v>
      </c>
      <c r="H91" t="s">
        <v>217</v>
      </c>
    </row>
    <row r="92" spans="1:8">
      <c r="A92">
        <v>20230401</v>
      </c>
      <c r="B92" s="1">
        <v>45017</v>
      </c>
      <c r="C92">
        <v>2023</v>
      </c>
      <c r="D92">
        <v>2</v>
      </c>
      <c r="E92">
        <v>4</v>
      </c>
      <c r="F92" t="s">
        <v>222</v>
      </c>
      <c r="G92" t="s">
        <v>223</v>
      </c>
      <c r="H92" t="s">
        <v>217</v>
      </c>
    </row>
    <row r="93" spans="1:8">
      <c r="A93">
        <v>20230402</v>
      </c>
      <c r="B93" s="1">
        <v>45018</v>
      </c>
      <c r="C93">
        <v>2023</v>
      </c>
      <c r="D93">
        <v>2</v>
      </c>
      <c r="E93">
        <v>4</v>
      </c>
      <c r="F93" t="s">
        <v>222</v>
      </c>
      <c r="G93" t="s">
        <v>223</v>
      </c>
      <c r="H93" t="s">
        <v>217</v>
      </c>
    </row>
    <row r="94" spans="1:8">
      <c r="A94">
        <v>20230403</v>
      </c>
      <c r="B94" s="1">
        <v>45019</v>
      </c>
      <c r="C94">
        <v>2023</v>
      </c>
      <c r="D94">
        <v>2</v>
      </c>
      <c r="E94">
        <v>4</v>
      </c>
      <c r="F94" t="s">
        <v>222</v>
      </c>
      <c r="G94" t="s">
        <v>223</v>
      </c>
      <c r="H94" t="s">
        <v>217</v>
      </c>
    </row>
    <row r="95" spans="1:8">
      <c r="A95">
        <v>20230404</v>
      </c>
      <c r="B95" s="1">
        <v>45020</v>
      </c>
      <c r="C95">
        <v>2023</v>
      </c>
      <c r="D95">
        <v>2</v>
      </c>
      <c r="E95">
        <v>4</v>
      </c>
      <c r="F95" t="s">
        <v>222</v>
      </c>
      <c r="G95" t="s">
        <v>223</v>
      </c>
      <c r="H95" t="s">
        <v>217</v>
      </c>
    </row>
    <row r="96" spans="1:8">
      <c r="A96">
        <v>20230405</v>
      </c>
      <c r="B96" s="1">
        <v>45021</v>
      </c>
      <c r="C96">
        <v>2023</v>
      </c>
      <c r="D96">
        <v>2</v>
      </c>
      <c r="E96">
        <v>4</v>
      </c>
      <c r="F96" t="s">
        <v>222</v>
      </c>
      <c r="G96" t="s">
        <v>223</v>
      </c>
      <c r="H96" t="s">
        <v>217</v>
      </c>
    </row>
    <row r="97" spans="1:8">
      <c r="A97">
        <v>20230406</v>
      </c>
      <c r="B97" s="1">
        <v>45022</v>
      </c>
      <c r="C97">
        <v>2023</v>
      </c>
      <c r="D97">
        <v>2</v>
      </c>
      <c r="E97">
        <v>4</v>
      </c>
      <c r="F97" t="s">
        <v>222</v>
      </c>
      <c r="G97" t="s">
        <v>223</v>
      </c>
      <c r="H97" t="s">
        <v>217</v>
      </c>
    </row>
    <row r="98" spans="1:8">
      <c r="A98">
        <v>20230407</v>
      </c>
      <c r="B98" s="1">
        <v>45023</v>
      </c>
      <c r="C98">
        <v>2023</v>
      </c>
      <c r="D98">
        <v>2</v>
      </c>
      <c r="E98">
        <v>4</v>
      </c>
      <c r="F98" t="s">
        <v>222</v>
      </c>
      <c r="G98" t="s">
        <v>223</v>
      </c>
      <c r="H98" t="s">
        <v>217</v>
      </c>
    </row>
    <row r="99" spans="1:8">
      <c r="A99">
        <v>20230408</v>
      </c>
      <c r="B99" s="1">
        <v>45024</v>
      </c>
      <c r="C99">
        <v>2023</v>
      </c>
      <c r="D99">
        <v>2</v>
      </c>
      <c r="E99">
        <v>4</v>
      </c>
      <c r="F99" t="s">
        <v>222</v>
      </c>
      <c r="G99" t="s">
        <v>223</v>
      </c>
      <c r="H99" t="s">
        <v>217</v>
      </c>
    </row>
    <row r="100" spans="1:8">
      <c r="A100">
        <v>20230409</v>
      </c>
      <c r="B100" s="1">
        <v>45025</v>
      </c>
      <c r="C100">
        <v>2023</v>
      </c>
      <c r="D100">
        <v>2</v>
      </c>
      <c r="E100">
        <v>4</v>
      </c>
      <c r="F100" t="s">
        <v>222</v>
      </c>
      <c r="G100" t="s">
        <v>223</v>
      </c>
      <c r="H100" t="s">
        <v>217</v>
      </c>
    </row>
    <row r="101" spans="1:8">
      <c r="A101">
        <v>20230410</v>
      </c>
      <c r="B101" s="1">
        <v>45026</v>
      </c>
      <c r="C101">
        <v>2023</v>
      </c>
      <c r="D101">
        <v>2</v>
      </c>
      <c r="E101">
        <v>4</v>
      </c>
      <c r="F101" t="s">
        <v>222</v>
      </c>
      <c r="G101" t="s">
        <v>223</v>
      </c>
      <c r="H101" t="s">
        <v>217</v>
      </c>
    </row>
    <row r="102" spans="1:8">
      <c r="A102">
        <v>20230411</v>
      </c>
      <c r="B102" s="1">
        <v>45027</v>
      </c>
      <c r="C102">
        <v>2023</v>
      </c>
      <c r="D102">
        <v>2</v>
      </c>
      <c r="E102">
        <v>4</v>
      </c>
      <c r="F102" t="s">
        <v>222</v>
      </c>
      <c r="G102" t="s">
        <v>223</v>
      </c>
      <c r="H102" t="s">
        <v>217</v>
      </c>
    </row>
    <row r="103" spans="1:8">
      <c r="A103">
        <v>20230412</v>
      </c>
      <c r="B103" s="1">
        <v>45028</v>
      </c>
      <c r="C103">
        <v>2023</v>
      </c>
      <c r="D103">
        <v>2</v>
      </c>
      <c r="E103">
        <v>4</v>
      </c>
      <c r="F103" t="s">
        <v>222</v>
      </c>
      <c r="G103" t="s">
        <v>223</v>
      </c>
      <c r="H103" t="s">
        <v>217</v>
      </c>
    </row>
    <row r="104" spans="1:8">
      <c r="A104">
        <v>20230413</v>
      </c>
      <c r="B104" s="1">
        <v>45029</v>
      </c>
      <c r="C104">
        <v>2023</v>
      </c>
      <c r="D104">
        <v>2</v>
      </c>
      <c r="E104">
        <v>4</v>
      </c>
      <c r="F104" t="s">
        <v>222</v>
      </c>
      <c r="G104" t="s">
        <v>223</v>
      </c>
      <c r="H104" t="s">
        <v>217</v>
      </c>
    </row>
    <row r="105" spans="1:8">
      <c r="A105">
        <v>20230414</v>
      </c>
      <c r="B105" s="1">
        <v>45030</v>
      </c>
      <c r="C105">
        <v>2023</v>
      </c>
      <c r="D105">
        <v>2</v>
      </c>
      <c r="E105">
        <v>4</v>
      </c>
      <c r="F105" t="s">
        <v>222</v>
      </c>
      <c r="G105" t="s">
        <v>223</v>
      </c>
      <c r="H105" t="s">
        <v>217</v>
      </c>
    </row>
    <row r="106" spans="1:8">
      <c r="A106">
        <v>20230415</v>
      </c>
      <c r="B106" s="1">
        <v>45031</v>
      </c>
      <c r="C106">
        <v>2023</v>
      </c>
      <c r="D106">
        <v>2</v>
      </c>
      <c r="E106">
        <v>4</v>
      </c>
      <c r="F106" t="s">
        <v>222</v>
      </c>
      <c r="G106" t="s">
        <v>223</v>
      </c>
      <c r="H106" t="s">
        <v>217</v>
      </c>
    </row>
    <row r="107" spans="1:8">
      <c r="A107">
        <v>20230416</v>
      </c>
      <c r="B107" s="1">
        <v>45032</v>
      </c>
      <c r="C107">
        <v>2023</v>
      </c>
      <c r="D107">
        <v>2</v>
      </c>
      <c r="E107">
        <v>4</v>
      </c>
      <c r="F107" t="s">
        <v>222</v>
      </c>
      <c r="G107" t="s">
        <v>223</v>
      </c>
      <c r="H107" t="s">
        <v>217</v>
      </c>
    </row>
    <row r="108" spans="1:8">
      <c r="A108">
        <v>20230417</v>
      </c>
      <c r="B108" s="1">
        <v>45033</v>
      </c>
      <c r="C108">
        <v>2023</v>
      </c>
      <c r="D108">
        <v>2</v>
      </c>
      <c r="E108">
        <v>4</v>
      </c>
      <c r="F108" t="s">
        <v>222</v>
      </c>
      <c r="G108" t="s">
        <v>223</v>
      </c>
      <c r="H108" t="s">
        <v>217</v>
      </c>
    </row>
    <row r="109" spans="1:8">
      <c r="A109">
        <v>20230418</v>
      </c>
      <c r="B109" s="1">
        <v>45034</v>
      </c>
      <c r="C109">
        <v>2023</v>
      </c>
      <c r="D109">
        <v>2</v>
      </c>
      <c r="E109">
        <v>4</v>
      </c>
      <c r="F109" t="s">
        <v>222</v>
      </c>
      <c r="G109" t="s">
        <v>223</v>
      </c>
      <c r="H109" t="s">
        <v>217</v>
      </c>
    </row>
    <row r="110" spans="1:8">
      <c r="A110">
        <v>20230419</v>
      </c>
      <c r="B110" s="1">
        <v>45035</v>
      </c>
      <c r="C110">
        <v>2023</v>
      </c>
      <c r="D110">
        <v>2</v>
      </c>
      <c r="E110">
        <v>4</v>
      </c>
      <c r="F110" t="s">
        <v>222</v>
      </c>
      <c r="G110" t="s">
        <v>223</v>
      </c>
      <c r="H110" t="s">
        <v>217</v>
      </c>
    </row>
    <row r="111" spans="1:8">
      <c r="A111">
        <v>20230420</v>
      </c>
      <c r="B111" s="1">
        <v>45036</v>
      </c>
      <c r="C111">
        <v>2023</v>
      </c>
      <c r="D111">
        <v>2</v>
      </c>
      <c r="E111">
        <v>4</v>
      </c>
      <c r="F111" t="s">
        <v>222</v>
      </c>
      <c r="G111" t="s">
        <v>223</v>
      </c>
      <c r="H111" t="s">
        <v>217</v>
      </c>
    </row>
    <row r="112" spans="1:8">
      <c r="A112">
        <v>20230421</v>
      </c>
      <c r="B112" s="1">
        <v>45037</v>
      </c>
      <c r="C112">
        <v>2023</v>
      </c>
      <c r="D112">
        <v>2</v>
      </c>
      <c r="E112">
        <v>4</v>
      </c>
      <c r="F112" t="s">
        <v>222</v>
      </c>
      <c r="G112" t="s">
        <v>223</v>
      </c>
      <c r="H112" t="s">
        <v>217</v>
      </c>
    </row>
    <row r="113" spans="1:8">
      <c r="A113">
        <v>20230422</v>
      </c>
      <c r="B113" s="1">
        <v>45038</v>
      </c>
      <c r="C113">
        <v>2023</v>
      </c>
      <c r="D113">
        <v>2</v>
      </c>
      <c r="E113">
        <v>4</v>
      </c>
      <c r="F113" t="s">
        <v>222</v>
      </c>
      <c r="G113" t="s">
        <v>223</v>
      </c>
      <c r="H113" t="s">
        <v>217</v>
      </c>
    </row>
    <row r="114" spans="1:8">
      <c r="A114">
        <v>20230423</v>
      </c>
      <c r="B114" s="1">
        <v>45039</v>
      </c>
      <c r="C114">
        <v>2023</v>
      </c>
      <c r="D114">
        <v>2</v>
      </c>
      <c r="E114">
        <v>4</v>
      </c>
      <c r="F114" t="s">
        <v>222</v>
      </c>
      <c r="G114" t="s">
        <v>223</v>
      </c>
      <c r="H114" t="s">
        <v>217</v>
      </c>
    </row>
    <row r="115" spans="1:8">
      <c r="A115">
        <v>20230424</v>
      </c>
      <c r="B115" s="1">
        <v>45040</v>
      </c>
      <c r="C115">
        <v>2023</v>
      </c>
      <c r="D115">
        <v>2</v>
      </c>
      <c r="E115">
        <v>4</v>
      </c>
      <c r="F115" t="s">
        <v>222</v>
      </c>
      <c r="G115" t="s">
        <v>223</v>
      </c>
      <c r="H115" t="s">
        <v>217</v>
      </c>
    </row>
    <row r="116" spans="1:8">
      <c r="A116">
        <v>20230425</v>
      </c>
      <c r="B116" s="1">
        <v>45041</v>
      </c>
      <c r="C116">
        <v>2023</v>
      </c>
      <c r="D116">
        <v>2</v>
      </c>
      <c r="E116">
        <v>4</v>
      </c>
      <c r="F116" t="s">
        <v>222</v>
      </c>
      <c r="G116" t="s">
        <v>223</v>
      </c>
      <c r="H116" t="s">
        <v>217</v>
      </c>
    </row>
    <row r="117" spans="1:8">
      <c r="A117">
        <v>20230426</v>
      </c>
      <c r="B117" s="1">
        <v>45042</v>
      </c>
      <c r="C117">
        <v>2023</v>
      </c>
      <c r="D117">
        <v>2</v>
      </c>
      <c r="E117">
        <v>4</v>
      </c>
      <c r="F117" t="s">
        <v>222</v>
      </c>
      <c r="G117" t="s">
        <v>223</v>
      </c>
      <c r="H117" t="s">
        <v>217</v>
      </c>
    </row>
    <row r="118" spans="1:8">
      <c r="A118">
        <v>20230427</v>
      </c>
      <c r="B118" s="1">
        <v>45043</v>
      </c>
      <c r="C118">
        <v>2023</v>
      </c>
      <c r="D118">
        <v>2</v>
      </c>
      <c r="E118">
        <v>4</v>
      </c>
      <c r="F118" t="s">
        <v>222</v>
      </c>
      <c r="G118" t="s">
        <v>223</v>
      </c>
      <c r="H118" t="s">
        <v>217</v>
      </c>
    </row>
    <row r="119" spans="1:8">
      <c r="A119">
        <v>20230428</v>
      </c>
      <c r="B119" s="1">
        <v>45044</v>
      </c>
      <c r="C119">
        <v>2023</v>
      </c>
      <c r="D119">
        <v>2</v>
      </c>
      <c r="E119">
        <v>4</v>
      </c>
      <c r="F119" t="s">
        <v>222</v>
      </c>
      <c r="G119" t="s">
        <v>223</v>
      </c>
      <c r="H119" t="s">
        <v>217</v>
      </c>
    </row>
    <row r="120" spans="1:8">
      <c r="A120">
        <v>20230429</v>
      </c>
      <c r="B120" s="1">
        <v>45045</v>
      </c>
      <c r="C120">
        <v>2023</v>
      </c>
      <c r="D120">
        <v>2</v>
      </c>
      <c r="E120">
        <v>4</v>
      </c>
      <c r="F120" t="s">
        <v>222</v>
      </c>
      <c r="G120" t="s">
        <v>223</v>
      </c>
      <c r="H120" t="s">
        <v>217</v>
      </c>
    </row>
    <row r="121" spans="1:8">
      <c r="A121">
        <v>20230430</v>
      </c>
      <c r="B121" s="1">
        <v>45046</v>
      </c>
      <c r="C121">
        <v>2023</v>
      </c>
      <c r="D121">
        <v>2</v>
      </c>
      <c r="E121">
        <v>4</v>
      </c>
      <c r="F121" t="s">
        <v>222</v>
      </c>
      <c r="G121" t="s">
        <v>223</v>
      </c>
      <c r="H121" t="s">
        <v>217</v>
      </c>
    </row>
    <row r="122" spans="1:8">
      <c r="A122">
        <v>20230501</v>
      </c>
      <c r="B122" s="1">
        <v>45047</v>
      </c>
      <c r="C122">
        <v>2023</v>
      </c>
      <c r="D122">
        <v>2</v>
      </c>
      <c r="E122">
        <v>5</v>
      </c>
      <c r="F122" t="s">
        <v>224</v>
      </c>
      <c r="G122" t="s">
        <v>225</v>
      </c>
      <c r="H122" t="s">
        <v>217</v>
      </c>
    </row>
    <row r="123" spans="1:8">
      <c r="A123">
        <v>20230502</v>
      </c>
      <c r="B123" s="1">
        <v>45048</v>
      </c>
      <c r="C123">
        <v>2023</v>
      </c>
      <c r="D123">
        <v>2</v>
      </c>
      <c r="E123">
        <v>5</v>
      </c>
      <c r="F123" t="s">
        <v>224</v>
      </c>
      <c r="G123" t="s">
        <v>225</v>
      </c>
      <c r="H123" t="s">
        <v>217</v>
      </c>
    </row>
    <row r="124" spans="1:8">
      <c r="A124">
        <v>20230503</v>
      </c>
      <c r="B124" s="1">
        <v>45049</v>
      </c>
      <c r="C124">
        <v>2023</v>
      </c>
      <c r="D124">
        <v>2</v>
      </c>
      <c r="E124">
        <v>5</v>
      </c>
      <c r="F124" t="s">
        <v>224</v>
      </c>
      <c r="G124" t="s">
        <v>225</v>
      </c>
      <c r="H124" t="s">
        <v>217</v>
      </c>
    </row>
    <row r="125" spans="1:8">
      <c r="A125">
        <v>20230504</v>
      </c>
      <c r="B125" s="1">
        <v>45050</v>
      </c>
      <c r="C125">
        <v>2023</v>
      </c>
      <c r="D125">
        <v>2</v>
      </c>
      <c r="E125">
        <v>5</v>
      </c>
      <c r="F125" t="s">
        <v>224</v>
      </c>
      <c r="G125" t="s">
        <v>225</v>
      </c>
      <c r="H125" t="s">
        <v>217</v>
      </c>
    </row>
    <row r="126" spans="1:8">
      <c r="A126">
        <v>20230505</v>
      </c>
      <c r="B126" s="1">
        <v>45051</v>
      </c>
      <c r="C126">
        <v>2023</v>
      </c>
      <c r="D126">
        <v>2</v>
      </c>
      <c r="E126">
        <v>5</v>
      </c>
      <c r="F126" t="s">
        <v>224</v>
      </c>
      <c r="G126" t="s">
        <v>225</v>
      </c>
      <c r="H126" t="s">
        <v>217</v>
      </c>
    </row>
    <row r="127" spans="1:8">
      <c r="A127">
        <v>20230506</v>
      </c>
      <c r="B127" s="1">
        <v>45052</v>
      </c>
      <c r="C127">
        <v>2023</v>
      </c>
      <c r="D127">
        <v>2</v>
      </c>
      <c r="E127">
        <v>5</v>
      </c>
      <c r="F127" t="s">
        <v>224</v>
      </c>
      <c r="G127" t="s">
        <v>225</v>
      </c>
      <c r="H127" t="s">
        <v>217</v>
      </c>
    </row>
    <row r="128" spans="1:8">
      <c r="A128">
        <v>20230507</v>
      </c>
      <c r="B128" s="1">
        <v>45053</v>
      </c>
      <c r="C128">
        <v>2023</v>
      </c>
      <c r="D128">
        <v>2</v>
      </c>
      <c r="E128">
        <v>5</v>
      </c>
      <c r="F128" t="s">
        <v>224</v>
      </c>
      <c r="G128" t="s">
        <v>225</v>
      </c>
      <c r="H128" t="s">
        <v>217</v>
      </c>
    </row>
    <row r="129" spans="1:8">
      <c r="A129">
        <v>20230508</v>
      </c>
      <c r="B129" s="1">
        <v>45054</v>
      </c>
      <c r="C129">
        <v>2023</v>
      </c>
      <c r="D129">
        <v>2</v>
      </c>
      <c r="E129">
        <v>5</v>
      </c>
      <c r="F129" t="s">
        <v>224</v>
      </c>
      <c r="G129" t="s">
        <v>225</v>
      </c>
      <c r="H129" t="s">
        <v>217</v>
      </c>
    </row>
    <row r="130" spans="1:8">
      <c r="A130">
        <v>20230509</v>
      </c>
      <c r="B130" s="1">
        <v>45055</v>
      </c>
      <c r="C130">
        <v>2023</v>
      </c>
      <c r="D130">
        <v>2</v>
      </c>
      <c r="E130">
        <v>5</v>
      </c>
      <c r="F130" t="s">
        <v>224</v>
      </c>
      <c r="G130" t="s">
        <v>225</v>
      </c>
      <c r="H130" t="s">
        <v>217</v>
      </c>
    </row>
    <row r="131" spans="1:8">
      <c r="A131">
        <v>20230510</v>
      </c>
      <c r="B131" s="1">
        <v>45056</v>
      </c>
      <c r="C131">
        <v>2023</v>
      </c>
      <c r="D131">
        <v>2</v>
      </c>
      <c r="E131">
        <v>5</v>
      </c>
      <c r="F131" t="s">
        <v>224</v>
      </c>
      <c r="G131" t="s">
        <v>225</v>
      </c>
      <c r="H131" t="s">
        <v>217</v>
      </c>
    </row>
    <row r="132" spans="1:8">
      <c r="A132">
        <v>20230511</v>
      </c>
      <c r="B132" s="1">
        <v>45057</v>
      </c>
      <c r="C132">
        <v>2023</v>
      </c>
      <c r="D132">
        <v>2</v>
      </c>
      <c r="E132">
        <v>5</v>
      </c>
      <c r="F132" t="s">
        <v>224</v>
      </c>
      <c r="G132" t="s">
        <v>225</v>
      </c>
      <c r="H132" t="s">
        <v>217</v>
      </c>
    </row>
    <row r="133" spans="1:8">
      <c r="A133">
        <v>20230512</v>
      </c>
      <c r="B133" s="1">
        <v>45058</v>
      </c>
      <c r="C133">
        <v>2023</v>
      </c>
      <c r="D133">
        <v>2</v>
      </c>
      <c r="E133">
        <v>5</v>
      </c>
      <c r="F133" t="s">
        <v>224</v>
      </c>
      <c r="G133" t="s">
        <v>225</v>
      </c>
      <c r="H133" t="s">
        <v>217</v>
      </c>
    </row>
    <row r="134" spans="1:8">
      <c r="A134">
        <v>20230513</v>
      </c>
      <c r="B134" s="1">
        <v>45059</v>
      </c>
      <c r="C134">
        <v>2023</v>
      </c>
      <c r="D134">
        <v>2</v>
      </c>
      <c r="E134">
        <v>5</v>
      </c>
      <c r="F134" t="s">
        <v>224</v>
      </c>
      <c r="G134" t="s">
        <v>225</v>
      </c>
      <c r="H134" t="s">
        <v>217</v>
      </c>
    </row>
    <row r="135" spans="1:8">
      <c r="A135">
        <v>20230514</v>
      </c>
      <c r="B135" s="1">
        <v>45060</v>
      </c>
      <c r="C135">
        <v>2023</v>
      </c>
      <c r="D135">
        <v>2</v>
      </c>
      <c r="E135">
        <v>5</v>
      </c>
      <c r="F135" t="s">
        <v>224</v>
      </c>
      <c r="G135" t="s">
        <v>225</v>
      </c>
      <c r="H135" t="s">
        <v>217</v>
      </c>
    </row>
    <row r="136" spans="1:8">
      <c r="A136">
        <v>20230515</v>
      </c>
      <c r="B136" s="1">
        <v>45061</v>
      </c>
      <c r="C136">
        <v>2023</v>
      </c>
      <c r="D136">
        <v>2</v>
      </c>
      <c r="E136">
        <v>5</v>
      </c>
      <c r="F136" t="s">
        <v>224</v>
      </c>
      <c r="G136" t="s">
        <v>225</v>
      </c>
      <c r="H136" t="s">
        <v>217</v>
      </c>
    </row>
    <row r="137" spans="1:8">
      <c r="A137">
        <v>20230516</v>
      </c>
      <c r="B137" s="1">
        <v>45062</v>
      </c>
      <c r="C137">
        <v>2023</v>
      </c>
      <c r="D137">
        <v>2</v>
      </c>
      <c r="E137">
        <v>5</v>
      </c>
      <c r="F137" t="s">
        <v>224</v>
      </c>
      <c r="G137" t="s">
        <v>225</v>
      </c>
      <c r="H137" t="s">
        <v>217</v>
      </c>
    </row>
    <row r="138" spans="1:8">
      <c r="A138">
        <v>20230517</v>
      </c>
      <c r="B138" s="1">
        <v>45063</v>
      </c>
      <c r="C138">
        <v>2023</v>
      </c>
      <c r="D138">
        <v>2</v>
      </c>
      <c r="E138">
        <v>5</v>
      </c>
      <c r="F138" t="s">
        <v>224</v>
      </c>
      <c r="G138" t="s">
        <v>225</v>
      </c>
      <c r="H138" t="s">
        <v>217</v>
      </c>
    </row>
    <row r="139" spans="1:8">
      <c r="A139">
        <v>20230518</v>
      </c>
      <c r="B139" s="1">
        <v>45064</v>
      </c>
      <c r="C139">
        <v>2023</v>
      </c>
      <c r="D139">
        <v>2</v>
      </c>
      <c r="E139">
        <v>5</v>
      </c>
      <c r="F139" t="s">
        <v>224</v>
      </c>
      <c r="G139" t="s">
        <v>225</v>
      </c>
      <c r="H139" t="s">
        <v>217</v>
      </c>
    </row>
    <row r="140" spans="1:8">
      <c r="A140">
        <v>20230519</v>
      </c>
      <c r="B140" s="1">
        <v>45065</v>
      </c>
      <c r="C140">
        <v>2023</v>
      </c>
      <c r="D140">
        <v>2</v>
      </c>
      <c r="E140">
        <v>5</v>
      </c>
      <c r="F140" t="s">
        <v>224</v>
      </c>
      <c r="G140" t="s">
        <v>225</v>
      </c>
      <c r="H140" t="s">
        <v>217</v>
      </c>
    </row>
    <row r="141" spans="1:8">
      <c r="A141">
        <v>20230520</v>
      </c>
      <c r="B141" s="1">
        <v>45066</v>
      </c>
      <c r="C141">
        <v>2023</v>
      </c>
      <c r="D141">
        <v>2</v>
      </c>
      <c r="E141">
        <v>5</v>
      </c>
      <c r="F141" t="s">
        <v>224</v>
      </c>
      <c r="G141" t="s">
        <v>225</v>
      </c>
      <c r="H141" t="s">
        <v>217</v>
      </c>
    </row>
    <row r="142" spans="1:8">
      <c r="A142">
        <v>20230521</v>
      </c>
      <c r="B142" s="1">
        <v>45067</v>
      </c>
      <c r="C142">
        <v>2023</v>
      </c>
      <c r="D142">
        <v>2</v>
      </c>
      <c r="E142">
        <v>5</v>
      </c>
      <c r="F142" t="s">
        <v>224</v>
      </c>
      <c r="G142" t="s">
        <v>225</v>
      </c>
      <c r="H142" t="s">
        <v>217</v>
      </c>
    </row>
    <row r="143" spans="1:8">
      <c r="A143">
        <v>20230522</v>
      </c>
      <c r="B143" s="1">
        <v>45068</v>
      </c>
      <c r="C143">
        <v>2023</v>
      </c>
      <c r="D143">
        <v>2</v>
      </c>
      <c r="E143">
        <v>5</v>
      </c>
      <c r="F143" t="s">
        <v>224</v>
      </c>
      <c r="G143" t="s">
        <v>225</v>
      </c>
      <c r="H143" t="s">
        <v>217</v>
      </c>
    </row>
    <row r="144" spans="1:8">
      <c r="A144">
        <v>20230523</v>
      </c>
      <c r="B144" s="1">
        <v>45069</v>
      </c>
      <c r="C144">
        <v>2023</v>
      </c>
      <c r="D144">
        <v>2</v>
      </c>
      <c r="E144">
        <v>5</v>
      </c>
      <c r="F144" t="s">
        <v>224</v>
      </c>
      <c r="G144" t="s">
        <v>225</v>
      </c>
      <c r="H144" t="s">
        <v>217</v>
      </c>
    </row>
    <row r="145" spans="1:8">
      <c r="A145">
        <v>20230524</v>
      </c>
      <c r="B145" s="1">
        <v>45070</v>
      </c>
      <c r="C145">
        <v>2023</v>
      </c>
      <c r="D145">
        <v>2</v>
      </c>
      <c r="E145">
        <v>5</v>
      </c>
      <c r="F145" t="s">
        <v>224</v>
      </c>
      <c r="G145" t="s">
        <v>225</v>
      </c>
      <c r="H145" t="s">
        <v>217</v>
      </c>
    </row>
    <row r="146" spans="1:8">
      <c r="A146">
        <v>20230525</v>
      </c>
      <c r="B146" s="1">
        <v>45071</v>
      </c>
      <c r="C146">
        <v>2023</v>
      </c>
      <c r="D146">
        <v>2</v>
      </c>
      <c r="E146">
        <v>5</v>
      </c>
      <c r="F146" t="s">
        <v>224</v>
      </c>
      <c r="G146" t="s">
        <v>225</v>
      </c>
      <c r="H146" t="s">
        <v>217</v>
      </c>
    </row>
    <row r="147" spans="1:8">
      <c r="A147">
        <v>20230526</v>
      </c>
      <c r="B147" s="1">
        <v>45072</v>
      </c>
      <c r="C147">
        <v>2023</v>
      </c>
      <c r="D147">
        <v>2</v>
      </c>
      <c r="E147">
        <v>5</v>
      </c>
      <c r="F147" t="s">
        <v>224</v>
      </c>
      <c r="G147" t="s">
        <v>225</v>
      </c>
      <c r="H147" t="s">
        <v>217</v>
      </c>
    </row>
    <row r="148" spans="1:8">
      <c r="A148">
        <v>20230527</v>
      </c>
      <c r="B148" s="1">
        <v>45073</v>
      </c>
      <c r="C148">
        <v>2023</v>
      </c>
      <c r="D148">
        <v>2</v>
      </c>
      <c r="E148">
        <v>5</v>
      </c>
      <c r="F148" t="s">
        <v>224</v>
      </c>
      <c r="G148" t="s">
        <v>225</v>
      </c>
      <c r="H148" t="s">
        <v>217</v>
      </c>
    </row>
    <row r="149" spans="1:8">
      <c r="A149">
        <v>20230528</v>
      </c>
      <c r="B149" s="1">
        <v>45074</v>
      </c>
      <c r="C149">
        <v>2023</v>
      </c>
      <c r="D149">
        <v>2</v>
      </c>
      <c r="E149">
        <v>5</v>
      </c>
      <c r="F149" t="s">
        <v>224</v>
      </c>
      <c r="G149" t="s">
        <v>225</v>
      </c>
      <c r="H149" t="s">
        <v>217</v>
      </c>
    </row>
    <row r="150" spans="1:8">
      <c r="A150">
        <v>20230529</v>
      </c>
      <c r="B150" s="1">
        <v>45075</v>
      </c>
      <c r="C150">
        <v>2023</v>
      </c>
      <c r="D150">
        <v>2</v>
      </c>
      <c r="E150">
        <v>5</v>
      </c>
      <c r="F150" t="s">
        <v>224</v>
      </c>
      <c r="G150" t="s">
        <v>225</v>
      </c>
      <c r="H150" t="s">
        <v>217</v>
      </c>
    </row>
    <row r="151" spans="1:8">
      <c r="A151">
        <v>20230530</v>
      </c>
      <c r="B151" s="1">
        <v>45076</v>
      </c>
      <c r="C151">
        <v>2023</v>
      </c>
      <c r="D151">
        <v>2</v>
      </c>
      <c r="E151">
        <v>5</v>
      </c>
      <c r="F151" t="s">
        <v>224</v>
      </c>
      <c r="G151" t="s">
        <v>225</v>
      </c>
      <c r="H151" t="s">
        <v>217</v>
      </c>
    </row>
    <row r="152" spans="1:8">
      <c r="A152">
        <v>20230531</v>
      </c>
      <c r="B152" s="1">
        <v>45077</v>
      </c>
      <c r="C152">
        <v>2023</v>
      </c>
      <c r="D152">
        <v>2</v>
      </c>
      <c r="E152">
        <v>5</v>
      </c>
      <c r="F152" t="s">
        <v>224</v>
      </c>
      <c r="G152" t="s">
        <v>225</v>
      </c>
      <c r="H152" t="s">
        <v>217</v>
      </c>
    </row>
    <row r="153" spans="1:8">
      <c r="A153">
        <v>20230601</v>
      </c>
      <c r="B153" s="1">
        <v>45078</v>
      </c>
      <c r="C153">
        <v>2023</v>
      </c>
      <c r="D153">
        <v>2</v>
      </c>
      <c r="E153">
        <v>6</v>
      </c>
      <c r="F153" t="s">
        <v>226</v>
      </c>
      <c r="G153" t="s">
        <v>227</v>
      </c>
      <c r="H153" t="s">
        <v>217</v>
      </c>
    </row>
    <row r="154" spans="1:8">
      <c r="A154">
        <v>20230602</v>
      </c>
      <c r="B154" s="1">
        <v>45079</v>
      </c>
      <c r="C154">
        <v>2023</v>
      </c>
      <c r="D154">
        <v>2</v>
      </c>
      <c r="E154">
        <v>6</v>
      </c>
      <c r="F154" t="s">
        <v>226</v>
      </c>
      <c r="G154" t="s">
        <v>227</v>
      </c>
      <c r="H154" t="s">
        <v>217</v>
      </c>
    </row>
    <row r="155" spans="1:8">
      <c r="A155">
        <v>20230603</v>
      </c>
      <c r="B155" s="1">
        <v>45080</v>
      </c>
      <c r="C155">
        <v>2023</v>
      </c>
      <c r="D155">
        <v>2</v>
      </c>
      <c r="E155">
        <v>6</v>
      </c>
      <c r="F155" t="s">
        <v>226</v>
      </c>
      <c r="G155" t="s">
        <v>227</v>
      </c>
      <c r="H155" t="s">
        <v>217</v>
      </c>
    </row>
    <row r="156" spans="1:8">
      <c r="A156">
        <v>20230604</v>
      </c>
      <c r="B156" s="1">
        <v>45081</v>
      </c>
      <c r="C156">
        <v>2023</v>
      </c>
      <c r="D156">
        <v>2</v>
      </c>
      <c r="E156">
        <v>6</v>
      </c>
      <c r="F156" t="s">
        <v>226</v>
      </c>
      <c r="G156" t="s">
        <v>227</v>
      </c>
      <c r="H156" t="s">
        <v>217</v>
      </c>
    </row>
    <row r="157" spans="1:8">
      <c r="A157">
        <v>20230605</v>
      </c>
      <c r="B157" s="1">
        <v>45082</v>
      </c>
      <c r="C157">
        <v>2023</v>
      </c>
      <c r="D157">
        <v>2</v>
      </c>
      <c r="E157">
        <v>6</v>
      </c>
      <c r="F157" t="s">
        <v>226</v>
      </c>
      <c r="G157" t="s">
        <v>227</v>
      </c>
      <c r="H157" t="s">
        <v>217</v>
      </c>
    </row>
    <row r="158" spans="1:8">
      <c r="A158">
        <v>20230606</v>
      </c>
      <c r="B158" s="1">
        <v>45083</v>
      </c>
      <c r="C158">
        <v>2023</v>
      </c>
      <c r="D158">
        <v>2</v>
      </c>
      <c r="E158">
        <v>6</v>
      </c>
      <c r="F158" t="s">
        <v>226</v>
      </c>
      <c r="G158" t="s">
        <v>227</v>
      </c>
      <c r="H158" t="s">
        <v>217</v>
      </c>
    </row>
    <row r="159" spans="1:8">
      <c r="A159">
        <v>20230607</v>
      </c>
      <c r="B159" s="1">
        <v>45084</v>
      </c>
      <c r="C159">
        <v>2023</v>
      </c>
      <c r="D159">
        <v>2</v>
      </c>
      <c r="E159">
        <v>6</v>
      </c>
      <c r="F159" t="s">
        <v>226</v>
      </c>
      <c r="G159" t="s">
        <v>227</v>
      </c>
      <c r="H159" t="s">
        <v>217</v>
      </c>
    </row>
    <row r="160" spans="1:8">
      <c r="A160">
        <v>20230608</v>
      </c>
      <c r="B160" s="1">
        <v>45085</v>
      </c>
      <c r="C160">
        <v>2023</v>
      </c>
      <c r="D160">
        <v>2</v>
      </c>
      <c r="E160">
        <v>6</v>
      </c>
      <c r="F160" t="s">
        <v>226</v>
      </c>
      <c r="G160" t="s">
        <v>227</v>
      </c>
      <c r="H160" t="s">
        <v>217</v>
      </c>
    </row>
    <row r="161" spans="1:8">
      <c r="A161">
        <v>20230609</v>
      </c>
      <c r="B161" s="1">
        <v>45086</v>
      </c>
      <c r="C161">
        <v>2023</v>
      </c>
      <c r="D161">
        <v>2</v>
      </c>
      <c r="E161">
        <v>6</v>
      </c>
      <c r="F161" t="s">
        <v>226</v>
      </c>
      <c r="G161" t="s">
        <v>227</v>
      </c>
      <c r="H161" t="s">
        <v>217</v>
      </c>
    </row>
    <row r="162" spans="1:8">
      <c r="A162">
        <v>20230610</v>
      </c>
      <c r="B162" s="1">
        <v>45087</v>
      </c>
      <c r="C162">
        <v>2023</v>
      </c>
      <c r="D162">
        <v>2</v>
      </c>
      <c r="E162">
        <v>6</v>
      </c>
      <c r="F162" t="s">
        <v>226</v>
      </c>
      <c r="G162" t="s">
        <v>227</v>
      </c>
      <c r="H162" t="s">
        <v>217</v>
      </c>
    </row>
    <row r="163" spans="1:8">
      <c r="A163">
        <v>20230611</v>
      </c>
      <c r="B163" s="1">
        <v>45088</v>
      </c>
      <c r="C163">
        <v>2023</v>
      </c>
      <c r="D163">
        <v>2</v>
      </c>
      <c r="E163">
        <v>6</v>
      </c>
      <c r="F163" t="s">
        <v>226</v>
      </c>
      <c r="G163" t="s">
        <v>227</v>
      </c>
      <c r="H163" t="s">
        <v>217</v>
      </c>
    </row>
    <row r="164" spans="1:8">
      <c r="A164">
        <v>20230612</v>
      </c>
      <c r="B164" s="1">
        <v>45089</v>
      </c>
      <c r="C164">
        <v>2023</v>
      </c>
      <c r="D164">
        <v>2</v>
      </c>
      <c r="E164">
        <v>6</v>
      </c>
      <c r="F164" t="s">
        <v>226</v>
      </c>
      <c r="G164" t="s">
        <v>227</v>
      </c>
      <c r="H164" t="s">
        <v>217</v>
      </c>
    </row>
    <row r="165" spans="1:8">
      <c r="A165">
        <v>20230613</v>
      </c>
      <c r="B165" s="1">
        <v>45090</v>
      </c>
      <c r="C165">
        <v>2023</v>
      </c>
      <c r="D165">
        <v>2</v>
      </c>
      <c r="E165">
        <v>6</v>
      </c>
      <c r="F165" t="s">
        <v>226</v>
      </c>
      <c r="G165" t="s">
        <v>227</v>
      </c>
      <c r="H165" t="s">
        <v>217</v>
      </c>
    </row>
    <row r="166" spans="1:8">
      <c r="A166">
        <v>20230614</v>
      </c>
      <c r="B166" s="1">
        <v>45091</v>
      </c>
      <c r="C166">
        <v>2023</v>
      </c>
      <c r="D166">
        <v>2</v>
      </c>
      <c r="E166">
        <v>6</v>
      </c>
      <c r="F166" t="s">
        <v>226</v>
      </c>
      <c r="G166" t="s">
        <v>227</v>
      </c>
      <c r="H166" t="s">
        <v>217</v>
      </c>
    </row>
    <row r="167" spans="1:8">
      <c r="A167">
        <v>20230615</v>
      </c>
      <c r="B167" s="1">
        <v>45092</v>
      </c>
      <c r="C167">
        <v>2023</v>
      </c>
      <c r="D167">
        <v>2</v>
      </c>
      <c r="E167">
        <v>6</v>
      </c>
      <c r="F167" t="s">
        <v>226</v>
      </c>
      <c r="G167" t="s">
        <v>227</v>
      </c>
      <c r="H167" t="s">
        <v>217</v>
      </c>
    </row>
    <row r="168" spans="1:8">
      <c r="A168">
        <v>20230616</v>
      </c>
      <c r="B168" s="1">
        <v>45093</v>
      </c>
      <c r="C168">
        <v>2023</v>
      </c>
      <c r="D168">
        <v>2</v>
      </c>
      <c r="E168">
        <v>6</v>
      </c>
      <c r="F168" t="s">
        <v>226</v>
      </c>
      <c r="G168" t="s">
        <v>227</v>
      </c>
      <c r="H168" t="s">
        <v>217</v>
      </c>
    </row>
    <row r="169" spans="1:8">
      <c r="A169">
        <v>20230617</v>
      </c>
      <c r="B169" s="1">
        <v>45094</v>
      </c>
      <c r="C169">
        <v>2023</v>
      </c>
      <c r="D169">
        <v>2</v>
      </c>
      <c r="E169">
        <v>6</v>
      </c>
      <c r="F169" t="s">
        <v>226</v>
      </c>
      <c r="G169" t="s">
        <v>227</v>
      </c>
      <c r="H169" t="s">
        <v>217</v>
      </c>
    </row>
    <row r="170" spans="1:8">
      <c r="A170">
        <v>20230618</v>
      </c>
      <c r="B170" s="1">
        <v>45095</v>
      </c>
      <c r="C170">
        <v>2023</v>
      </c>
      <c r="D170">
        <v>2</v>
      </c>
      <c r="E170">
        <v>6</v>
      </c>
      <c r="F170" t="s">
        <v>226</v>
      </c>
      <c r="G170" t="s">
        <v>227</v>
      </c>
      <c r="H170" t="s">
        <v>217</v>
      </c>
    </row>
    <row r="171" spans="1:8">
      <c r="A171">
        <v>20230619</v>
      </c>
      <c r="B171" s="1">
        <v>45096</v>
      </c>
      <c r="C171">
        <v>2023</v>
      </c>
      <c r="D171">
        <v>2</v>
      </c>
      <c r="E171">
        <v>6</v>
      </c>
      <c r="F171" t="s">
        <v>226</v>
      </c>
      <c r="G171" t="s">
        <v>227</v>
      </c>
      <c r="H171" t="s">
        <v>217</v>
      </c>
    </row>
    <row r="172" spans="1:8">
      <c r="A172">
        <v>20230620</v>
      </c>
      <c r="B172" s="1">
        <v>45097</v>
      </c>
      <c r="C172">
        <v>2023</v>
      </c>
      <c r="D172">
        <v>2</v>
      </c>
      <c r="E172">
        <v>6</v>
      </c>
      <c r="F172" t="s">
        <v>226</v>
      </c>
      <c r="G172" t="s">
        <v>227</v>
      </c>
      <c r="H172" t="s">
        <v>217</v>
      </c>
    </row>
    <row r="173" spans="1:8">
      <c r="A173">
        <v>20230621</v>
      </c>
      <c r="B173" s="1">
        <v>45098</v>
      </c>
      <c r="C173">
        <v>2023</v>
      </c>
      <c r="D173">
        <v>2</v>
      </c>
      <c r="E173">
        <v>6</v>
      </c>
      <c r="F173" t="s">
        <v>226</v>
      </c>
      <c r="G173" t="s">
        <v>227</v>
      </c>
      <c r="H173" t="s">
        <v>217</v>
      </c>
    </row>
    <row r="174" spans="1:8">
      <c r="A174">
        <v>20230622</v>
      </c>
      <c r="B174" s="1">
        <v>45099</v>
      </c>
      <c r="C174">
        <v>2023</v>
      </c>
      <c r="D174">
        <v>2</v>
      </c>
      <c r="E174">
        <v>6</v>
      </c>
      <c r="F174" t="s">
        <v>226</v>
      </c>
      <c r="G174" t="s">
        <v>227</v>
      </c>
      <c r="H174" t="s">
        <v>217</v>
      </c>
    </row>
    <row r="175" spans="1:8">
      <c r="A175">
        <v>20230623</v>
      </c>
      <c r="B175" s="1">
        <v>45100</v>
      </c>
      <c r="C175">
        <v>2023</v>
      </c>
      <c r="D175">
        <v>2</v>
      </c>
      <c r="E175">
        <v>6</v>
      </c>
      <c r="F175" t="s">
        <v>226</v>
      </c>
      <c r="G175" t="s">
        <v>227</v>
      </c>
      <c r="H175" t="s">
        <v>217</v>
      </c>
    </row>
    <row r="176" spans="1:8">
      <c r="A176">
        <v>20230624</v>
      </c>
      <c r="B176" s="1">
        <v>45101</v>
      </c>
      <c r="C176">
        <v>2023</v>
      </c>
      <c r="D176">
        <v>2</v>
      </c>
      <c r="E176">
        <v>6</v>
      </c>
      <c r="F176" t="s">
        <v>226</v>
      </c>
      <c r="G176" t="s">
        <v>227</v>
      </c>
      <c r="H176" t="s">
        <v>217</v>
      </c>
    </row>
    <row r="177" spans="1:8">
      <c r="A177">
        <v>20230625</v>
      </c>
      <c r="B177" s="1">
        <v>45102</v>
      </c>
      <c r="C177">
        <v>2023</v>
      </c>
      <c r="D177">
        <v>2</v>
      </c>
      <c r="E177">
        <v>6</v>
      </c>
      <c r="F177" t="s">
        <v>226</v>
      </c>
      <c r="G177" t="s">
        <v>227</v>
      </c>
      <c r="H177" t="s">
        <v>217</v>
      </c>
    </row>
    <row r="178" spans="1:8">
      <c r="A178">
        <v>20230626</v>
      </c>
      <c r="B178" s="1">
        <v>45103</v>
      </c>
      <c r="C178">
        <v>2023</v>
      </c>
      <c r="D178">
        <v>2</v>
      </c>
      <c r="E178">
        <v>6</v>
      </c>
      <c r="F178" t="s">
        <v>226</v>
      </c>
      <c r="G178" t="s">
        <v>227</v>
      </c>
      <c r="H178" t="s">
        <v>217</v>
      </c>
    </row>
    <row r="179" spans="1:8">
      <c r="A179">
        <v>20230627</v>
      </c>
      <c r="B179" s="1">
        <v>45104</v>
      </c>
      <c r="C179">
        <v>2023</v>
      </c>
      <c r="D179">
        <v>2</v>
      </c>
      <c r="E179">
        <v>6</v>
      </c>
      <c r="F179" t="s">
        <v>226</v>
      </c>
      <c r="G179" t="s">
        <v>227</v>
      </c>
      <c r="H179" t="s">
        <v>217</v>
      </c>
    </row>
    <row r="180" spans="1:8">
      <c r="A180">
        <v>20230628</v>
      </c>
      <c r="B180" s="1">
        <v>45105</v>
      </c>
      <c r="C180">
        <v>2023</v>
      </c>
      <c r="D180">
        <v>2</v>
      </c>
      <c r="E180">
        <v>6</v>
      </c>
      <c r="F180" t="s">
        <v>226</v>
      </c>
      <c r="G180" t="s">
        <v>227</v>
      </c>
      <c r="H180" t="s">
        <v>217</v>
      </c>
    </row>
    <row r="181" spans="1:8">
      <c r="A181">
        <v>20230629</v>
      </c>
      <c r="B181" s="1">
        <v>45106</v>
      </c>
      <c r="C181">
        <v>2023</v>
      </c>
      <c r="D181">
        <v>2</v>
      </c>
      <c r="E181">
        <v>6</v>
      </c>
      <c r="F181" t="s">
        <v>226</v>
      </c>
      <c r="G181" t="s">
        <v>227</v>
      </c>
      <c r="H181" t="s">
        <v>217</v>
      </c>
    </row>
    <row r="182" spans="1:8">
      <c r="A182">
        <v>20230630</v>
      </c>
      <c r="B182" s="1">
        <v>45107</v>
      </c>
      <c r="C182">
        <v>2023</v>
      </c>
      <c r="D182">
        <v>2</v>
      </c>
      <c r="E182">
        <v>6</v>
      </c>
      <c r="F182" t="s">
        <v>226</v>
      </c>
      <c r="G182" t="s">
        <v>227</v>
      </c>
      <c r="H182" t="s">
        <v>217</v>
      </c>
    </row>
    <row r="183" spans="1:8">
      <c r="A183">
        <v>20230701</v>
      </c>
      <c r="B183" s="1">
        <v>45108</v>
      </c>
      <c r="C183">
        <v>2023</v>
      </c>
      <c r="D183">
        <v>3</v>
      </c>
      <c r="E183">
        <v>7</v>
      </c>
      <c r="F183" t="s">
        <v>228</v>
      </c>
      <c r="G183" t="s">
        <v>229</v>
      </c>
      <c r="H183" t="s">
        <v>217</v>
      </c>
    </row>
    <row r="184" spans="1:8">
      <c r="A184">
        <v>20230702</v>
      </c>
      <c r="B184" s="1">
        <v>45109</v>
      </c>
      <c r="C184">
        <v>2023</v>
      </c>
      <c r="D184">
        <v>3</v>
      </c>
      <c r="E184">
        <v>7</v>
      </c>
      <c r="F184" t="s">
        <v>228</v>
      </c>
      <c r="G184" t="s">
        <v>229</v>
      </c>
      <c r="H184" t="s">
        <v>217</v>
      </c>
    </row>
    <row r="185" spans="1:8">
      <c r="A185">
        <v>20230703</v>
      </c>
      <c r="B185" s="1">
        <v>45110</v>
      </c>
      <c r="C185">
        <v>2023</v>
      </c>
      <c r="D185">
        <v>3</v>
      </c>
      <c r="E185">
        <v>7</v>
      </c>
      <c r="F185" t="s">
        <v>228</v>
      </c>
      <c r="G185" t="s">
        <v>229</v>
      </c>
      <c r="H185" t="s">
        <v>217</v>
      </c>
    </row>
    <row r="186" spans="1:8">
      <c r="A186">
        <v>20230704</v>
      </c>
      <c r="B186" s="1">
        <v>45111</v>
      </c>
      <c r="C186">
        <v>2023</v>
      </c>
      <c r="D186">
        <v>3</v>
      </c>
      <c r="E186">
        <v>7</v>
      </c>
      <c r="F186" t="s">
        <v>228</v>
      </c>
      <c r="G186" t="s">
        <v>229</v>
      </c>
      <c r="H186" t="s">
        <v>217</v>
      </c>
    </row>
    <row r="187" spans="1:8">
      <c r="A187">
        <v>20230705</v>
      </c>
      <c r="B187" s="1">
        <v>45112</v>
      </c>
      <c r="C187">
        <v>2023</v>
      </c>
      <c r="D187">
        <v>3</v>
      </c>
      <c r="E187">
        <v>7</v>
      </c>
      <c r="F187" t="s">
        <v>228</v>
      </c>
      <c r="G187" t="s">
        <v>229</v>
      </c>
      <c r="H187" t="s">
        <v>217</v>
      </c>
    </row>
    <row r="188" spans="1:8">
      <c r="A188">
        <v>20230706</v>
      </c>
      <c r="B188" s="1">
        <v>45113</v>
      </c>
      <c r="C188">
        <v>2023</v>
      </c>
      <c r="D188">
        <v>3</v>
      </c>
      <c r="E188">
        <v>7</v>
      </c>
      <c r="F188" t="s">
        <v>228</v>
      </c>
      <c r="G188" t="s">
        <v>229</v>
      </c>
      <c r="H188" t="s">
        <v>217</v>
      </c>
    </row>
    <row r="189" spans="1:8">
      <c r="A189">
        <v>20230707</v>
      </c>
      <c r="B189" s="1">
        <v>45114</v>
      </c>
      <c r="C189">
        <v>2023</v>
      </c>
      <c r="D189">
        <v>3</v>
      </c>
      <c r="E189">
        <v>7</v>
      </c>
      <c r="F189" t="s">
        <v>228</v>
      </c>
      <c r="G189" t="s">
        <v>229</v>
      </c>
      <c r="H189" t="s">
        <v>217</v>
      </c>
    </row>
    <row r="190" spans="1:8">
      <c r="A190">
        <v>20230708</v>
      </c>
      <c r="B190" s="1">
        <v>45115</v>
      </c>
      <c r="C190">
        <v>2023</v>
      </c>
      <c r="D190">
        <v>3</v>
      </c>
      <c r="E190">
        <v>7</v>
      </c>
      <c r="F190" t="s">
        <v>228</v>
      </c>
      <c r="G190" t="s">
        <v>229</v>
      </c>
      <c r="H190" t="s">
        <v>217</v>
      </c>
    </row>
    <row r="191" spans="1:8">
      <c r="A191">
        <v>20230709</v>
      </c>
      <c r="B191" s="1">
        <v>45116</v>
      </c>
      <c r="C191">
        <v>2023</v>
      </c>
      <c r="D191">
        <v>3</v>
      </c>
      <c r="E191">
        <v>7</v>
      </c>
      <c r="F191" t="s">
        <v>228</v>
      </c>
      <c r="G191" t="s">
        <v>229</v>
      </c>
      <c r="H191" t="s">
        <v>217</v>
      </c>
    </row>
    <row r="192" spans="1:8">
      <c r="A192">
        <v>20230710</v>
      </c>
      <c r="B192" s="1">
        <v>45117</v>
      </c>
      <c r="C192">
        <v>2023</v>
      </c>
      <c r="D192">
        <v>3</v>
      </c>
      <c r="E192">
        <v>7</v>
      </c>
      <c r="F192" t="s">
        <v>228</v>
      </c>
      <c r="G192" t="s">
        <v>229</v>
      </c>
      <c r="H192" t="s">
        <v>217</v>
      </c>
    </row>
    <row r="193" spans="1:8">
      <c r="A193">
        <v>20230711</v>
      </c>
      <c r="B193" s="1">
        <v>45118</v>
      </c>
      <c r="C193">
        <v>2023</v>
      </c>
      <c r="D193">
        <v>3</v>
      </c>
      <c r="E193">
        <v>7</v>
      </c>
      <c r="F193" t="s">
        <v>228</v>
      </c>
      <c r="G193" t="s">
        <v>229</v>
      </c>
      <c r="H193" t="s">
        <v>217</v>
      </c>
    </row>
    <row r="194" spans="1:8">
      <c r="A194">
        <v>20230712</v>
      </c>
      <c r="B194" s="1">
        <v>45119</v>
      </c>
      <c r="C194">
        <v>2023</v>
      </c>
      <c r="D194">
        <v>3</v>
      </c>
      <c r="E194">
        <v>7</v>
      </c>
      <c r="F194" t="s">
        <v>228</v>
      </c>
      <c r="G194" t="s">
        <v>229</v>
      </c>
      <c r="H194" t="s">
        <v>217</v>
      </c>
    </row>
    <row r="195" spans="1:8">
      <c r="A195">
        <v>20230713</v>
      </c>
      <c r="B195" s="1">
        <v>45120</v>
      </c>
      <c r="C195">
        <v>2023</v>
      </c>
      <c r="D195">
        <v>3</v>
      </c>
      <c r="E195">
        <v>7</v>
      </c>
      <c r="F195" t="s">
        <v>228</v>
      </c>
      <c r="G195" t="s">
        <v>229</v>
      </c>
      <c r="H195" t="s">
        <v>217</v>
      </c>
    </row>
    <row r="196" spans="1:8">
      <c r="A196">
        <v>20230714</v>
      </c>
      <c r="B196" s="1">
        <v>45121</v>
      </c>
      <c r="C196">
        <v>2023</v>
      </c>
      <c r="D196">
        <v>3</v>
      </c>
      <c r="E196">
        <v>7</v>
      </c>
      <c r="F196" t="s">
        <v>228</v>
      </c>
      <c r="G196" t="s">
        <v>229</v>
      </c>
      <c r="H196" t="s">
        <v>217</v>
      </c>
    </row>
    <row r="197" spans="1:8">
      <c r="A197">
        <v>20230715</v>
      </c>
      <c r="B197" s="1">
        <v>45122</v>
      </c>
      <c r="C197">
        <v>2023</v>
      </c>
      <c r="D197">
        <v>3</v>
      </c>
      <c r="E197">
        <v>7</v>
      </c>
      <c r="F197" t="s">
        <v>228</v>
      </c>
      <c r="G197" t="s">
        <v>229</v>
      </c>
      <c r="H197" t="s">
        <v>217</v>
      </c>
    </row>
    <row r="198" spans="1:8">
      <c r="A198">
        <v>20230716</v>
      </c>
      <c r="B198" s="1">
        <v>45123</v>
      </c>
      <c r="C198">
        <v>2023</v>
      </c>
      <c r="D198">
        <v>3</v>
      </c>
      <c r="E198">
        <v>7</v>
      </c>
      <c r="F198" t="s">
        <v>228</v>
      </c>
      <c r="G198" t="s">
        <v>229</v>
      </c>
      <c r="H198" t="s">
        <v>217</v>
      </c>
    </row>
    <row r="199" spans="1:8">
      <c r="A199">
        <v>20230717</v>
      </c>
      <c r="B199" s="1">
        <v>45124</v>
      </c>
      <c r="C199">
        <v>2023</v>
      </c>
      <c r="D199">
        <v>3</v>
      </c>
      <c r="E199">
        <v>7</v>
      </c>
      <c r="F199" t="s">
        <v>228</v>
      </c>
      <c r="G199" t="s">
        <v>229</v>
      </c>
      <c r="H199" t="s">
        <v>217</v>
      </c>
    </row>
    <row r="200" spans="1:8">
      <c r="A200">
        <v>20230718</v>
      </c>
      <c r="B200" s="1">
        <v>45125</v>
      </c>
      <c r="C200">
        <v>2023</v>
      </c>
      <c r="D200">
        <v>3</v>
      </c>
      <c r="E200">
        <v>7</v>
      </c>
      <c r="F200" t="s">
        <v>228</v>
      </c>
      <c r="G200" t="s">
        <v>229</v>
      </c>
      <c r="H200" t="s">
        <v>217</v>
      </c>
    </row>
    <row r="201" spans="1:8">
      <c r="A201">
        <v>20230719</v>
      </c>
      <c r="B201" s="1">
        <v>45126</v>
      </c>
      <c r="C201">
        <v>2023</v>
      </c>
      <c r="D201">
        <v>3</v>
      </c>
      <c r="E201">
        <v>7</v>
      </c>
      <c r="F201" t="s">
        <v>228</v>
      </c>
      <c r="G201" t="s">
        <v>229</v>
      </c>
      <c r="H201" t="s">
        <v>217</v>
      </c>
    </row>
    <row r="202" spans="1:8">
      <c r="A202">
        <v>20230720</v>
      </c>
      <c r="B202" s="1">
        <v>45127</v>
      </c>
      <c r="C202">
        <v>2023</v>
      </c>
      <c r="D202">
        <v>3</v>
      </c>
      <c r="E202">
        <v>7</v>
      </c>
      <c r="F202" t="s">
        <v>228</v>
      </c>
      <c r="G202" t="s">
        <v>229</v>
      </c>
      <c r="H202" t="s">
        <v>217</v>
      </c>
    </row>
    <row r="203" spans="1:8">
      <c r="A203">
        <v>20230721</v>
      </c>
      <c r="B203" s="1">
        <v>45128</v>
      </c>
      <c r="C203">
        <v>2023</v>
      </c>
      <c r="D203">
        <v>3</v>
      </c>
      <c r="E203">
        <v>7</v>
      </c>
      <c r="F203" t="s">
        <v>228</v>
      </c>
      <c r="G203" t="s">
        <v>229</v>
      </c>
      <c r="H203" t="s">
        <v>217</v>
      </c>
    </row>
    <row r="204" spans="1:8">
      <c r="A204">
        <v>20230722</v>
      </c>
      <c r="B204" s="1">
        <v>45129</v>
      </c>
      <c r="C204">
        <v>2023</v>
      </c>
      <c r="D204">
        <v>3</v>
      </c>
      <c r="E204">
        <v>7</v>
      </c>
      <c r="F204" t="s">
        <v>228</v>
      </c>
      <c r="G204" t="s">
        <v>229</v>
      </c>
      <c r="H204" t="s">
        <v>217</v>
      </c>
    </row>
    <row r="205" spans="1:8">
      <c r="A205">
        <v>20230723</v>
      </c>
      <c r="B205" s="1">
        <v>45130</v>
      </c>
      <c r="C205">
        <v>2023</v>
      </c>
      <c r="D205">
        <v>3</v>
      </c>
      <c r="E205">
        <v>7</v>
      </c>
      <c r="F205" t="s">
        <v>228</v>
      </c>
      <c r="G205" t="s">
        <v>229</v>
      </c>
      <c r="H205" t="s">
        <v>217</v>
      </c>
    </row>
    <row r="206" spans="1:8">
      <c r="A206">
        <v>20230724</v>
      </c>
      <c r="B206" s="1">
        <v>45131</v>
      </c>
      <c r="C206">
        <v>2023</v>
      </c>
      <c r="D206">
        <v>3</v>
      </c>
      <c r="E206">
        <v>7</v>
      </c>
      <c r="F206" t="s">
        <v>228</v>
      </c>
      <c r="G206" t="s">
        <v>229</v>
      </c>
      <c r="H206" t="s">
        <v>217</v>
      </c>
    </row>
    <row r="207" spans="1:8">
      <c r="A207">
        <v>20230725</v>
      </c>
      <c r="B207" s="1">
        <v>45132</v>
      </c>
      <c r="C207">
        <v>2023</v>
      </c>
      <c r="D207">
        <v>3</v>
      </c>
      <c r="E207">
        <v>7</v>
      </c>
      <c r="F207" t="s">
        <v>228</v>
      </c>
      <c r="G207" t="s">
        <v>229</v>
      </c>
      <c r="H207" t="s">
        <v>217</v>
      </c>
    </row>
    <row r="208" spans="1:8">
      <c r="A208">
        <v>20230726</v>
      </c>
      <c r="B208" s="1">
        <v>45133</v>
      </c>
      <c r="C208">
        <v>2023</v>
      </c>
      <c r="D208">
        <v>3</v>
      </c>
      <c r="E208">
        <v>7</v>
      </c>
      <c r="F208" t="s">
        <v>228</v>
      </c>
      <c r="G208" t="s">
        <v>229</v>
      </c>
      <c r="H208" t="s">
        <v>217</v>
      </c>
    </row>
    <row r="209" spans="1:8">
      <c r="A209">
        <v>20230727</v>
      </c>
      <c r="B209" s="1">
        <v>45134</v>
      </c>
      <c r="C209">
        <v>2023</v>
      </c>
      <c r="D209">
        <v>3</v>
      </c>
      <c r="E209">
        <v>7</v>
      </c>
      <c r="F209" t="s">
        <v>228</v>
      </c>
      <c r="G209" t="s">
        <v>229</v>
      </c>
      <c r="H209" t="s">
        <v>217</v>
      </c>
    </row>
    <row r="210" spans="1:8">
      <c r="A210">
        <v>20230728</v>
      </c>
      <c r="B210" s="1">
        <v>45135</v>
      </c>
      <c r="C210">
        <v>2023</v>
      </c>
      <c r="D210">
        <v>3</v>
      </c>
      <c r="E210">
        <v>7</v>
      </c>
      <c r="F210" t="s">
        <v>228</v>
      </c>
      <c r="G210" t="s">
        <v>229</v>
      </c>
      <c r="H210" t="s">
        <v>217</v>
      </c>
    </row>
    <row r="211" spans="1:8">
      <c r="A211">
        <v>20230729</v>
      </c>
      <c r="B211" s="1">
        <v>45136</v>
      </c>
      <c r="C211">
        <v>2023</v>
      </c>
      <c r="D211">
        <v>3</v>
      </c>
      <c r="E211">
        <v>7</v>
      </c>
      <c r="F211" t="s">
        <v>228</v>
      </c>
      <c r="G211" t="s">
        <v>229</v>
      </c>
      <c r="H211" t="s">
        <v>217</v>
      </c>
    </row>
    <row r="212" spans="1:8">
      <c r="A212">
        <v>20230730</v>
      </c>
      <c r="B212" s="1">
        <v>45137</v>
      </c>
      <c r="C212">
        <v>2023</v>
      </c>
      <c r="D212">
        <v>3</v>
      </c>
      <c r="E212">
        <v>7</v>
      </c>
      <c r="F212" t="s">
        <v>228</v>
      </c>
      <c r="G212" t="s">
        <v>229</v>
      </c>
      <c r="H212" t="s">
        <v>217</v>
      </c>
    </row>
    <row r="213" spans="1:8">
      <c r="A213">
        <v>20230731</v>
      </c>
      <c r="B213" s="1">
        <v>45138</v>
      </c>
      <c r="C213">
        <v>2023</v>
      </c>
      <c r="D213">
        <v>3</v>
      </c>
      <c r="E213">
        <v>7</v>
      </c>
      <c r="F213" t="s">
        <v>228</v>
      </c>
      <c r="G213" t="s">
        <v>229</v>
      </c>
      <c r="H213" t="s">
        <v>217</v>
      </c>
    </row>
    <row r="214" spans="1:8">
      <c r="A214">
        <v>20230801</v>
      </c>
      <c r="B214" s="1">
        <v>45139</v>
      </c>
      <c r="C214">
        <v>2023</v>
      </c>
      <c r="D214">
        <v>3</v>
      </c>
      <c r="E214">
        <v>8</v>
      </c>
      <c r="F214" t="s">
        <v>230</v>
      </c>
      <c r="G214" t="s">
        <v>231</v>
      </c>
      <c r="H214" t="s">
        <v>217</v>
      </c>
    </row>
    <row r="215" spans="1:8">
      <c r="A215">
        <v>20230802</v>
      </c>
      <c r="B215" s="1">
        <v>45140</v>
      </c>
      <c r="C215">
        <v>2023</v>
      </c>
      <c r="D215">
        <v>3</v>
      </c>
      <c r="E215">
        <v>8</v>
      </c>
      <c r="F215" t="s">
        <v>230</v>
      </c>
      <c r="G215" t="s">
        <v>231</v>
      </c>
      <c r="H215" t="s">
        <v>217</v>
      </c>
    </row>
    <row r="216" spans="1:8">
      <c r="A216">
        <v>20230803</v>
      </c>
      <c r="B216" s="1">
        <v>45141</v>
      </c>
      <c r="C216">
        <v>2023</v>
      </c>
      <c r="D216">
        <v>3</v>
      </c>
      <c r="E216">
        <v>8</v>
      </c>
      <c r="F216" t="s">
        <v>230</v>
      </c>
      <c r="G216" t="s">
        <v>231</v>
      </c>
      <c r="H216" t="s">
        <v>217</v>
      </c>
    </row>
    <row r="217" spans="1:8">
      <c r="A217">
        <v>20230804</v>
      </c>
      <c r="B217" s="1">
        <v>45142</v>
      </c>
      <c r="C217">
        <v>2023</v>
      </c>
      <c r="D217">
        <v>3</v>
      </c>
      <c r="E217">
        <v>8</v>
      </c>
      <c r="F217" t="s">
        <v>230</v>
      </c>
      <c r="G217" t="s">
        <v>231</v>
      </c>
      <c r="H217" t="s">
        <v>217</v>
      </c>
    </row>
    <row r="218" spans="1:8">
      <c r="A218">
        <v>20230805</v>
      </c>
      <c r="B218" s="1">
        <v>45143</v>
      </c>
      <c r="C218">
        <v>2023</v>
      </c>
      <c r="D218">
        <v>3</v>
      </c>
      <c r="E218">
        <v>8</v>
      </c>
      <c r="F218" t="s">
        <v>230</v>
      </c>
      <c r="G218" t="s">
        <v>231</v>
      </c>
      <c r="H218" t="s">
        <v>217</v>
      </c>
    </row>
    <row r="219" spans="1:8">
      <c r="A219">
        <v>20230806</v>
      </c>
      <c r="B219" s="1">
        <v>45144</v>
      </c>
      <c r="C219">
        <v>2023</v>
      </c>
      <c r="D219">
        <v>3</v>
      </c>
      <c r="E219">
        <v>8</v>
      </c>
      <c r="F219" t="s">
        <v>230</v>
      </c>
      <c r="G219" t="s">
        <v>231</v>
      </c>
      <c r="H219" t="s">
        <v>217</v>
      </c>
    </row>
    <row r="220" spans="1:8">
      <c r="A220">
        <v>20230807</v>
      </c>
      <c r="B220" s="1">
        <v>45145</v>
      </c>
      <c r="C220">
        <v>2023</v>
      </c>
      <c r="D220">
        <v>3</v>
      </c>
      <c r="E220">
        <v>8</v>
      </c>
      <c r="F220" t="s">
        <v>230</v>
      </c>
      <c r="G220" t="s">
        <v>231</v>
      </c>
      <c r="H220" t="s">
        <v>217</v>
      </c>
    </row>
    <row r="221" spans="1:8">
      <c r="A221">
        <v>20230808</v>
      </c>
      <c r="B221" s="1">
        <v>45146</v>
      </c>
      <c r="C221">
        <v>2023</v>
      </c>
      <c r="D221">
        <v>3</v>
      </c>
      <c r="E221">
        <v>8</v>
      </c>
      <c r="F221" t="s">
        <v>230</v>
      </c>
      <c r="G221" t="s">
        <v>231</v>
      </c>
      <c r="H221" t="s">
        <v>217</v>
      </c>
    </row>
    <row r="222" spans="1:8">
      <c r="A222">
        <v>20230809</v>
      </c>
      <c r="B222" s="1">
        <v>45147</v>
      </c>
      <c r="C222">
        <v>2023</v>
      </c>
      <c r="D222">
        <v>3</v>
      </c>
      <c r="E222">
        <v>8</v>
      </c>
      <c r="F222" t="s">
        <v>230</v>
      </c>
      <c r="G222" t="s">
        <v>231</v>
      </c>
      <c r="H222" t="s">
        <v>217</v>
      </c>
    </row>
    <row r="223" spans="1:8">
      <c r="A223">
        <v>20230810</v>
      </c>
      <c r="B223" s="1">
        <v>45148</v>
      </c>
      <c r="C223">
        <v>2023</v>
      </c>
      <c r="D223">
        <v>3</v>
      </c>
      <c r="E223">
        <v>8</v>
      </c>
      <c r="F223" t="s">
        <v>230</v>
      </c>
      <c r="G223" t="s">
        <v>231</v>
      </c>
      <c r="H223" t="s">
        <v>217</v>
      </c>
    </row>
    <row r="224" spans="1:8">
      <c r="A224">
        <v>20230811</v>
      </c>
      <c r="B224" s="1">
        <v>45149</v>
      </c>
      <c r="C224">
        <v>2023</v>
      </c>
      <c r="D224">
        <v>3</v>
      </c>
      <c r="E224">
        <v>8</v>
      </c>
      <c r="F224" t="s">
        <v>230</v>
      </c>
      <c r="G224" t="s">
        <v>231</v>
      </c>
      <c r="H224" t="s">
        <v>217</v>
      </c>
    </row>
    <row r="225" spans="1:8">
      <c r="A225">
        <v>20230812</v>
      </c>
      <c r="B225" s="1">
        <v>45150</v>
      </c>
      <c r="C225">
        <v>2023</v>
      </c>
      <c r="D225">
        <v>3</v>
      </c>
      <c r="E225">
        <v>8</v>
      </c>
      <c r="F225" t="s">
        <v>230</v>
      </c>
      <c r="G225" t="s">
        <v>231</v>
      </c>
      <c r="H225" t="s">
        <v>217</v>
      </c>
    </row>
    <row r="226" spans="1:8">
      <c r="A226">
        <v>20230813</v>
      </c>
      <c r="B226" s="1">
        <v>45151</v>
      </c>
      <c r="C226">
        <v>2023</v>
      </c>
      <c r="D226">
        <v>3</v>
      </c>
      <c r="E226">
        <v>8</v>
      </c>
      <c r="F226" t="s">
        <v>230</v>
      </c>
      <c r="G226" t="s">
        <v>231</v>
      </c>
      <c r="H226" t="s">
        <v>217</v>
      </c>
    </row>
    <row r="227" spans="1:8">
      <c r="A227">
        <v>20230814</v>
      </c>
      <c r="B227" s="1">
        <v>45152</v>
      </c>
      <c r="C227">
        <v>2023</v>
      </c>
      <c r="D227">
        <v>3</v>
      </c>
      <c r="E227">
        <v>8</v>
      </c>
      <c r="F227" t="s">
        <v>230</v>
      </c>
      <c r="G227" t="s">
        <v>231</v>
      </c>
      <c r="H227" t="s">
        <v>217</v>
      </c>
    </row>
    <row r="228" spans="1:8">
      <c r="A228">
        <v>20230815</v>
      </c>
      <c r="B228" s="1">
        <v>45153</v>
      </c>
      <c r="C228">
        <v>2023</v>
      </c>
      <c r="D228">
        <v>3</v>
      </c>
      <c r="E228">
        <v>8</v>
      </c>
      <c r="F228" t="s">
        <v>230</v>
      </c>
      <c r="G228" t="s">
        <v>231</v>
      </c>
      <c r="H228" t="s">
        <v>217</v>
      </c>
    </row>
    <row r="229" spans="1:8">
      <c r="A229">
        <v>20230816</v>
      </c>
      <c r="B229" s="1">
        <v>45154</v>
      </c>
      <c r="C229">
        <v>2023</v>
      </c>
      <c r="D229">
        <v>3</v>
      </c>
      <c r="E229">
        <v>8</v>
      </c>
      <c r="F229" t="s">
        <v>230</v>
      </c>
      <c r="G229" t="s">
        <v>231</v>
      </c>
      <c r="H229" t="s">
        <v>217</v>
      </c>
    </row>
    <row r="230" spans="1:8">
      <c r="A230">
        <v>20230817</v>
      </c>
      <c r="B230" s="1">
        <v>45155</v>
      </c>
      <c r="C230">
        <v>2023</v>
      </c>
      <c r="D230">
        <v>3</v>
      </c>
      <c r="E230">
        <v>8</v>
      </c>
      <c r="F230" t="s">
        <v>230</v>
      </c>
      <c r="G230" t="s">
        <v>231</v>
      </c>
      <c r="H230" t="s">
        <v>217</v>
      </c>
    </row>
    <row r="231" spans="1:8">
      <c r="A231">
        <v>20230818</v>
      </c>
      <c r="B231" s="1">
        <v>45156</v>
      </c>
      <c r="C231">
        <v>2023</v>
      </c>
      <c r="D231">
        <v>3</v>
      </c>
      <c r="E231">
        <v>8</v>
      </c>
      <c r="F231" t="s">
        <v>230</v>
      </c>
      <c r="G231" t="s">
        <v>231</v>
      </c>
      <c r="H231" t="s">
        <v>217</v>
      </c>
    </row>
    <row r="232" spans="1:8">
      <c r="A232">
        <v>20230819</v>
      </c>
      <c r="B232" s="1">
        <v>45157</v>
      </c>
      <c r="C232">
        <v>2023</v>
      </c>
      <c r="D232">
        <v>3</v>
      </c>
      <c r="E232">
        <v>8</v>
      </c>
      <c r="F232" t="s">
        <v>230</v>
      </c>
      <c r="G232" t="s">
        <v>231</v>
      </c>
      <c r="H232" t="s">
        <v>217</v>
      </c>
    </row>
    <row r="233" spans="1:8">
      <c r="A233">
        <v>20230820</v>
      </c>
      <c r="B233" s="1">
        <v>45158</v>
      </c>
      <c r="C233">
        <v>2023</v>
      </c>
      <c r="D233">
        <v>3</v>
      </c>
      <c r="E233">
        <v>8</v>
      </c>
      <c r="F233" t="s">
        <v>230</v>
      </c>
      <c r="G233" t="s">
        <v>231</v>
      </c>
      <c r="H233" t="s">
        <v>217</v>
      </c>
    </row>
    <row r="234" spans="1:8">
      <c r="A234">
        <v>20230821</v>
      </c>
      <c r="B234" s="1">
        <v>45159</v>
      </c>
      <c r="C234">
        <v>2023</v>
      </c>
      <c r="D234">
        <v>3</v>
      </c>
      <c r="E234">
        <v>8</v>
      </c>
      <c r="F234" t="s">
        <v>230</v>
      </c>
      <c r="G234" t="s">
        <v>231</v>
      </c>
      <c r="H234" t="s">
        <v>217</v>
      </c>
    </row>
    <row r="235" spans="1:8">
      <c r="A235">
        <v>20230822</v>
      </c>
      <c r="B235" s="1">
        <v>45160</v>
      </c>
      <c r="C235">
        <v>2023</v>
      </c>
      <c r="D235">
        <v>3</v>
      </c>
      <c r="E235">
        <v>8</v>
      </c>
      <c r="F235" t="s">
        <v>230</v>
      </c>
      <c r="G235" t="s">
        <v>231</v>
      </c>
      <c r="H235" t="s">
        <v>217</v>
      </c>
    </row>
    <row r="236" spans="1:8">
      <c r="A236">
        <v>20230823</v>
      </c>
      <c r="B236" s="1">
        <v>45161</v>
      </c>
      <c r="C236">
        <v>2023</v>
      </c>
      <c r="D236">
        <v>3</v>
      </c>
      <c r="E236">
        <v>8</v>
      </c>
      <c r="F236" t="s">
        <v>230</v>
      </c>
      <c r="G236" t="s">
        <v>231</v>
      </c>
      <c r="H236" t="s">
        <v>217</v>
      </c>
    </row>
    <row r="237" spans="1:8">
      <c r="A237">
        <v>20230824</v>
      </c>
      <c r="B237" s="1">
        <v>45162</v>
      </c>
      <c r="C237">
        <v>2023</v>
      </c>
      <c r="D237">
        <v>3</v>
      </c>
      <c r="E237">
        <v>8</v>
      </c>
      <c r="F237" t="s">
        <v>230</v>
      </c>
      <c r="G237" t="s">
        <v>231</v>
      </c>
      <c r="H237" t="s">
        <v>217</v>
      </c>
    </row>
    <row r="238" spans="1:8">
      <c r="A238">
        <v>20230825</v>
      </c>
      <c r="B238" s="1">
        <v>45163</v>
      </c>
      <c r="C238">
        <v>2023</v>
      </c>
      <c r="D238">
        <v>3</v>
      </c>
      <c r="E238">
        <v>8</v>
      </c>
      <c r="F238" t="s">
        <v>230</v>
      </c>
      <c r="G238" t="s">
        <v>231</v>
      </c>
      <c r="H238" t="s">
        <v>217</v>
      </c>
    </row>
    <row r="239" spans="1:8">
      <c r="A239">
        <v>20230826</v>
      </c>
      <c r="B239" s="1">
        <v>45164</v>
      </c>
      <c r="C239">
        <v>2023</v>
      </c>
      <c r="D239">
        <v>3</v>
      </c>
      <c r="E239">
        <v>8</v>
      </c>
      <c r="F239" t="s">
        <v>230</v>
      </c>
      <c r="G239" t="s">
        <v>231</v>
      </c>
      <c r="H239" t="s">
        <v>217</v>
      </c>
    </row>
    <row r="240" spans="1:8">
      <c r="A240">
        <v>20230827</v>
      </c>
      <c r="B240" s="1">
        <v>45165</v>
      </c>
      <c r="C240">
        <v>2023</v>
      </c>
      <c r="D240">
        <v>3</v>
      </c>
      <c r="E240">
        <v>8</v>
      </c>
      <c r="F240" t="s">
        <v>230</v>
      </c>
      <c r="G240" t="s">
        <v>231</v>
      </c>
      <c r="H240" t="s">
        <v>217</v>
      </c>
    </row>
    <row r="241" spans="1:8">
      <c r="A241">
        <v>20230828</v>
      </c>
      <c r="B241" s="1">
        <v>45166</v>
      </c>
      <c r="C241">
        <v>2023</v>
      </c>
      <c r="D241">
        <v>3</v>
      </c>
      <c r="E241">
        <v>8</v>
      </c>
      <c r="F241" t="s">
        <v>230</v>
      </c>
      <c r="G241" t="s">
        <v>231</v>
      </c>
      <c r="H241" t="s">
        <v>217</v>
      </c>
    </row>
    <row r="242" spans="1:8">
      <c r="A242">
        <v>20230829</v>
      </c>
      <c r="B242" s="1">
        <v>45167</v>
      </c>
      <c r="C242">
        <v>2023</v>
      </c>
      <c r="D242">
        <v>3</v>
      </c>
      <c r="E242">
        <v>8</v>
      </c>
      <c r="F242" t="s">
        <v>230</v>
      </c>
      <c r="G242" t="s">
        <v>231</v>
      </c>
      <c r="H242" t="s">
        <v>217</v>
      </c>
    </row>
    <row r="243" spans="1:8">
      <c r="A243">
        <v>20230830</v>
      </c>
      <c r="B243" s="1">
        <v>45168</v>
      </c>
      <c r="C243">
        <v>2023</v>
      </c>
      <c r="D243">
        <v>3</v>
      </c>
      <c r="E243">
        <v>8</v>
      </c>
      <c r="F243" t="s">
        <v>230</v>
      </c>
      <c r="G243" t="s">
        <v>231</v>
      </c>
      <c r="H243" t="s">
        <v>217</v>
      </c>
    </row>
    <row r="244" spans="1:8">
      <c r="A244">
        <v>20230831</v>
      </c>
      <c r="B244" s="1">
        <v>45169</v>
      </c>
      <c r="C244">
        <v>2023</v>
      </c>
      <c r="D244">
        <v>3</v>
      </c>
      <c r="E244">
        <v>8</v>
      </c>
      <c r="F244" t="s">
        <v>230</v>
      </c>
      <c r="G244" t="s">
        <v>231</v>
      </c>
      <c r="H244" t="s">
        <v>217</v>
      </c>
    </row>
    <row r="245" spans="1:8">
      <c r="A245">
        <v>20230901</v>
      </c>
      <c r="B245" s="1">
        <v>45170</v>
      </c>
      <c r="C245">
        <v>2023</v>
      </c>
      <c r="D245">
        <v>3</v>
      </c>
      <c r="E245">
        <v>9</v>
      </c>
      <c r="F245" t="s">
        <v>232</v>
      </c>
      <c r="G245" t="s">
        <v>233</v>
      </c>
      <c r="H245" t="s">
        <v>217</v>
      </c>
    </row>
    <row r="246" spans="1:8">
      <c r="A246">
        <v>20230902</v>
      </c>
      <c r="B246" s="1">
        <v>45171</v>
      </c>
      <c r="C246">
        <v>2023</v>
      </c>
      <c r="D246">
        <v>3</v>
      </c>
      <c r="E246">
        <v>9</v>
      </c>
      <c r="F246" t="s">
        <v>232</v>
      </c>
      <c r="G246" t="s">
        <v>233</v>
      </c>
      <c r="H246" t="s">
        <v>217</v>
      </c>
    </row>
    <row r="247" spans="1:8">
      <c r="A247">
        <v>20230903</v>
      </c>
      <c r="B247" s="1">
        <v>45172</v>
      </c>
      <c r="C247">
        <v>2023</v>
      </c>
      <c r="D247">
        <v>3</v>
      </c>
      <c r="E247">
        <v>9</v>
      </c>
      <c r="F247" t="s">
        <v>232</v>
      </c>
      <c r="G247" t="s">
        <v>233</v>
      </c>
      <c r="H247" t="s">
        <v>217</v>
      </c>
    </row>
    <row r="248" spans="1:8">
      <c r="A248">
        <v>20230904</v>
      </c>
      <c r="B248" s="1">
        <v>45173</v>
      </c>
      <c r="C248">
        <v>2023</v>
      </c>
      <c r="D248">
        <v>3</v>
      </c>
      <c r="E248">
        <v>9</v>
      </c>
      <c r="F248" t="s">
        <v>232</v>
      </c>
      <c r="G248" t="s">
        <v>233</v>
      </c>
      <c r="H248" t="s">
        <v>217</v>
      </c>
    </row>
    <row r="249" spans="1:8">
      <c r="A249">
        <v>20230905</v>
      </c>
      <c r="B249" s="1">
        <v>45174</v>
      </c>
      <c r="C249">
        <v>2023</v>
      </c>
      <c r="D249">
        <v>3</v>
      </c>
      <c r="E249">
        <v>9</v>
      </c>
      <c r="F249" t="s">
        <v>232</v>
      </c>
      <c r="G249" t="s">
        <v>233</v>
      </c>
      <c r="H249" t="s">
        <v>217</v>
      </c>
    </row>
    <row r="250" spans="1:8">
      <c r="A250">
        <v>20230906</v>
      </c>
      <c r="B250" s="1">
        <v>45175</v>
      </c>
      <c r="C250">
        <v>2023</v>
      </c>
      <c r="D250">
        <v>3</v>
      </c>
      <c r="E250">
        <v>9</v>
      </c>
      <c r="F250" t="s">
        <v>232</v>
      </c>
      <c r="G250" t="s">
        <v>233</v>
      </c>
      <c r="H250" t="s">
        <v>217</v>
      </c>
    </row>
    <row r="251" spans="1:8">
      <c r="A251">
        <v>20230907</v>
      </c>
      <c r="B251" s="1">
        <v>45176</v>
      </c>
      <c r="C251">
        <v>2023</v>
      </c>
      <c r="D251">
        <v>3</v>
      </c>
      <c r="E251">
        <v>9</v>
      </c>
      <c r="F251" t="s">
        <v>232</v>
      </c>
      <c r="G251" t="s">
        <v>233</v>
      </c>
      <c r="H251" t="s">
        <v>217</v>
      </c>
    </row>
    <row r="252" spans="1:8">
      <c r="A252">
        <v>20230908</v>
      </c>
      <c r="B252" s="1">
        <v>45177</v>
      </c>
      <c r="C252">
        <v>2023</v>
      </c>
      <c r="D252">
        <v>3</v>
      </c>
      <c r="E252">
        <v>9</v>
      </c>
      <c r="F252" t="s">
        <v>232</v>
      </c>
      <c r="G252" t="s">
        <v>233</v>
      </c>
      <c r="H252" t="s">
        <v>217</v>
      </c>
    </row>
    <row r="253" spans="1:8">
      <c r="A253">
        <v>20230909</v>
      </c>
      <c r="B253" s="1">
        <v>45178</v>
      </c>
      <c r="C253">
        <v>2023</v>
      </c>
      <c r="D253">
        <v>3</v>
      </c>
      <c r="E253">
        <v>9</v>
      </c>
      <c r="F253" t="s">
        <v>232</v>
      </c>
      <c r="G253" t="s">
        <v>233</v>
      </c>
      <c r="H253" t="s">
        <v>217</v>
      </c>
    </row>
    <row r="254" spans="1:8">
      <c r="A254">
        <v>20230910</v>
      </c>
      <c r="B254" s="1">
        <v>45179</v>
      </c>
      <c r="C254">
        <v>2023</v>
      </c>
      <c r="D254">
        <v>3</v>
      </c>
      <c r="E254">
        <v>9</v>
      </c>
      <c r="F254" t="s">
        <v>232</v>
      </c>
      <c r="G254" t="s">
        <v>233</v>
      </c>
      <c r="H254" t="s">
        <v>217</v>
      </c>
    </row>
    <row r="255" spans="1:8">
      <c r="A255">
        <v>20230911</v>
      </c>
      <c r="B255" s="1">
        <v>45180</v>
      </c>
      <c r="C255">
        <v>2023</v>
      </c>
      <c r="D255">
        <v>3</v>
      </c>
      <c r="E255">
        <v>9</v>
      </c>
      <c r="F255" t="s">
        <v>232</v>
      </c>
      <c r="G255" t="s">
        <v>233</v>
      </c>
      <c r="H255" t="s">
        <v>217</v>
      </c>
    </row>
    <row r="256" spans="1:8">
      <c r="A256">
        <v>20230912</v>
      </c>
      <c r="B256" s="1">
        <v>45181</v>
      </c>
      <c r="C256">
        <v>2023</v>
      </c>
      <c r="D256">
        <v>3</v>
      </c>
      <c r="E256">
        <v>9</v>
      </c>
      <c r="F256" t="s">
        <v>232</v>
      </c>
      <c r="G256" t="s">
        <v>233</v>
      </c>
      <c r="H256" t="s">
        <v>217</v>
      </c>
    </row>
    <row r="257" spans="1:8">
      <c r="A257">
        <v>20230913</v>
      </c>
      <c r="B257" s="1">
        <v>45182</v>
      </c>
      <c r="C257">
        <v>2023</v>
      </c>
      <c r="D257">
        <v>3</v>
      </c>
      <c r="E257">
        <v>9</v>
      </c>
      <c r="F257" t="s">
        <v>232</v>
      </c>
      <c r="G257" t="s">
        <v>233</v>
      </c>
      <c r="H257" t="s">
        <v>217</v>
      </c>
    </row>
    <row r="258" spans="1:8">
      <c r="A258">
        <v>20230914</v>
      </c>
      <c r="B258" s="1">
        <v>45183</v>
      </c>
      <c r="C258">
        <v>2023</v>
      </c>
      <c r="D258">
        <v>3</v>
      </c>
      <c r="E258">
        <v>9</v>
      </c>
      <c r="F258" t="s">
        <v>232</v>
      </c>
      <c r="G258" t="s">
        <v>233</v>
      </c>
      <c r="H258" t="s">
        <v>217</v>
      </c>
    </row>
    <row r="259" spans="1:8">
      <c r="A259">
        <v>20230915</v>
      </c>
      <c r="B259" s="1">
        <v>45184</v>
      </c>
      <c r="C259">
        <v>2023</v>
      </c>
      <c r="D259">
        <v>3</v>
      </c>
      <c r="E259">
        <v>9</v>
      </c>
      <c r="F259" t="s">
        <v>232</v>
      </c>
      <c r="G259" t="s">
        <v>233</v>
      </c>
      <c r="H259" t="s">
        <v>217</v>
      </c>
    </row>
    <row r="260" spans="1:8">
      <c r="A260">
        <v>20230916</v>
      </c>
      <c r="B260" s="1">
        <v>45185</v>
      </c>
      <c r="C260">
        <v>2023</v>
      </c>
      <c r="D260">
        <v>3</v>
      </c>
      <c r="E260">
        <v>9</v>
      </c>
      <c r="F260" t="s">
        <v>232</v>
      </c>
      <c r="G260" t="s">
        <v>233</v>
      </c>
      <c r="H260" t="s">
        <v>217</v>
      </c>
    </row>
    <row r="261" spans="1:8">
      <c r="A261">
        <v>20230917</v>
      </c>
      <c r="B261" s="1">
        <v>45186</v>
      </c>
      <c r="C261">
        <v>2023</v>
      </c>
      <c r="D261">
        <v>3</v>
      </c>
      <c r="E261">
        <v>9</v>
      </c>
      <c r="F261" t="s">
        <v>232</v>
      </c>
      <c r="G261" t="s">
        <v>233</v>
      </c>
      <c r="H261" t="s">
        <v>217</v>
      </c>
    </row>
    <row r="262" spans="1:8">
      <c r="A262">
        <v>20230918</v>
      </c>
      <c r="B262" s="1">
        <v>45187</v>
      </c>
      <c r="C262">
        <v>2023</v>
      </c>
      <c r="D262">
        <v>3</v>
      </c>
      <c r="E262">
        <v>9</v>
      </c>
      <c r="F262" t="s">
        <v>232</v>
      </c>
      <c r="G262" t="s">
        <v>233</v>
      </c>
      <c r="H262" t="s">
        <v>217</v>
      </c>
    </row>
    <row r="263" spans="1:8">
      <c r="A263">
        <v>20230919</v>
      </c>
      <c r="B263" s="1">
        <v>45188</v>
      </c>
      <c r="C263">
        <v>2023</v>
      </c>
      <c r="D263">
        <v>3</v>
      </c>
      <c r="E263">
        <v>9</v>
      </c>
      <c r="F263" t="s">
        <v>232</v>
      </c>
      <c r="G263" t="s">
        <v>233</v>
      </c>
      <c r="H263" t="s">
        <v>217</v>
      </c>
    </row>
    <row r="264" spans="1:8">
      <c r="A264">
        <v>20230920</v>
      </c>
      <c r="B264" s="1">
        <v>45189</v>
      </c>
      <c r="C264">
        <v>2023</v>
      </c>
      <c r="D264">
        <v>3</v>
      </c>
      <c r="E264">
        <v>9</v>
      </c>
      <c r="F264" t="s">
        <v>232</v>
      </c>
      <c r="G264" t="s">
        <v>233</v>
      </c>
      <c r="H264" t="s">
        <v>217</v>
      </c>
    </row>
    <row r="265" spans="1:8">
      <c r="A265">
        <v>20230921</v>
      </c>
      <c r="B265" s="1">
        <v>45190</v>
      </c>
      <c r="C265">
        <v>2023</v>
      </c>
      <c r="D265">
        <v>3</v>
      </c>
      <c r="E265">
        <v>9</v>
      </c>
      <c r="F265" t="s">
        <v>232</v>
      </c>
      <c r="G265" t="s">
        <v>233</v>
      </c>
      <c r="H265" t="s">
        <v>217</v>
      </c>
    </row>
    <row r="266" spans="1:8">
      <c r="A266">
        <v>20230922</v>
      </c>
      <c r="B266" s="1">
        <v>45191</v>
      </c>
      <c r="C266">
        <v>2023</v>
      </c>
      <c r="D266">
        <v>3</v>
      </c>
      <c r="E266">
        <v>9</v>
      </c>
      <c r="F266" t="s">
        <v>232</v>
      </c>
      <c r="G266" t="s">
        <v>233</v>
      </c>
      <c r="H266" t="s">
        <v>217</v>
      </c>
    </row>
    <row r="267" spans="1:8">
      <c r="A267">
        <v>20230923</v>
      </c>
      <c r="B267" s="1">
        <v>45192</v>
      </c>
      <c r="C267">
        <v>2023</v>
      </c>
      <c r="D267">
        <v>3</v>
      </c>
      <c r="E267">
        <v>9</v>
      </c>
      <c r="F267" t="s">
        <v>232</v>
      </c>
      <c r="G267" t="s">
        <v>233</v>
      </c>
      <c r="H267" t="s">
        <v>217</v>
      </c>
    </row>
    <row r="268" spans="1:8">
      <c r="A268">
        <v>20230924</v>
      </c>
      <c r="B268" s="1">
        <v>45193</v>
      </c>
      <c r="C268">
        <v>2023</v>
      </c>
      <c r="D268">
        <v>3</v>
      </c>
      <c r="E268">
        <v>9</v>
      </c>
      <c r="F268" t="s">
        <v>232</v>
      </c>
      <c r="G268" t="s">
        <v>233</v>
      </c>
      <c r="H268" t="s">
        <v>217</v>
      </c>
    </row>
    <row r="269" spans="1:8">
      <c r="A269">
        <v>20230925</v>
      </c>
      <c r="B269" s="1">
        <v>45194</v>
      </c>
      <c r="C269">
        <v>2023</v>
      </c>
      <c r="D269">
        <v>3</v>
      </c>
      <c r="E269">
        <v>9</v>
      </c>
      <c r="F269" t="s">
        <v>232</v>
      </c>
      <c r="G269" t="s">
        <v>233</v>
      </c>
      <c r="H269" t="s">
        <v>217</v>
      </c>
    </row>
    <row r="270" spans="1:8">
      <c r="A270">
        <v>20230926</v>
      </c>
      <c r="B270" s="1">
        <v>45195</v>
      </c>
      <c r="C270">
        <v>2023</v>
      </c>
      <c r="D270">
        <v>3</v>
      </c>
      <c r="E270">
        <v>9</v>
      </c>
      <c r="F270" t="s">
        <v>232</v>
      </c>
      <c r="G270" t="s">
        <v>233</v>
      </c>
      <c r="H270" t="s">
        <v>217</v>
      </c>
    </row>
    <row r="271" spans="1:8">
      <c r="A271">
        <v>20230927</v>
      </c>
      <c r="B271" s="1">
        <v>45196</v>
      </c>
      <c r="C271">
        <v>2023</v>
      </c>
      <c r="D271">
        <v>3</v>
      </c>
      <c r="E271">
        <v>9</v>
      </c>
      <c r="F271" t="s">
        <v>232</v>
      </c>
      <c r="G271" t="s">
        <v>233</v>
      </c>
      <c r="H271" t="s">
        <v>217</v>
      </c>
    </row>
    <row r="272" spans="1:8">
      <c r="A272">
        <v>20230928</v>
      </c>
      <c r="B272" s="1">
        <v>45197</v>
      </c>
      <c r="C272">
        <v>2023</v>
      </c>
      <c r="D272">
        <v>3</v>
      </c>
      <c r="E272">
        <v>9</v>
      </c>
      <c r="F272" t="s">
        <v>232</v>
      </c>
      <c r="G272" t="s">
        <v>233</v>
      </c>
      <c r="H272" t="s">
        <v>217</v>
      </c>
    </row>
    <row r="273" spans="1:8">
      <c r="A273">
        <v>20230929</v>
      </c>
      <c r="B273" s="1">
        <v>45198</v>
      </c>
      <c r="C273">
        <v>2023</v>
      </c>
      <c r="D273">
        <v>3</v>
      </c>
      <c r="E273">
        <v>9</v>
      </c>
      <c r="F273" t="s">
        <v>232</v>
      </c>
      <c r="G273" t="s">
        <v>233</v>
      </c>
      <c r="H273" t="s">
        <v>217</v>
      </c>
    </row>
    <row r="274" spans="1:8">
      <c r="A274">
        <v>20230930</v>
      </c>
      <c r="B274" s="1">
        <v>45199</v>
      </c>
      <c r="C274">
        <v>2023</v>
      </c>
      <c r="D274">
        <v>3</v>
      </c>
      <c r="E274">
        <v>9</v>
      </c>
      <c r="F274" t="s">
        <v>232</v>
      </c>
      <c r="G274" t="s">
        <v>233</v>
      </c>
      <c r="H274" t="s">
        <v>217</v>
      </c>
    </row>
    <row r="275" spans="1:8">
      <c r="A275">
        <v>20231001</v>
      </c>
      <c r="B275" s="1">
        <v>45200</v>
      </c>
      <c r="C275">
        <v>2023</v>
      </c>
      <c r="D275">
        <v>4</v>
      </c>
      <c r="E275">
        <v>10</v>
      </c>
      <c r="F275" t="s">
        <v>234</v>
      </c>
      <c r="G275" t="s">
        <v>235</v>
      </c>
      <c r="H275" t="s">
        <v>217</v>
      </c>
    </row>
    <row r="276" spans="1:8">
      <c r="A276">
        <v>20231002</v>
      </c>
      <c r="B276" s="1">
        <v>45201</v>
      </c>
      <c r="C276">
        <v>2023</v>
      </c>
      <c r="D276">
        <v>4</v>
      </c>
      <c r="E276">
        <v>10</v>
      </c>
      <c r="F276" t="s">
        <v>234</v>
      </c>
      <c r="G276" t="s">
        <v>235</v>
      </c>
      <c r="H276" t="s">
        <v>217</v>
      </c>
    </row>
    <row r="277" spans="1:8">
      <c r="A277">
        <v>20231003</v>
      </c>
      <c r="B277" s="1">
        <v>45202</v>
      </c>
      <c r="C277">
        <v>2023</v>
      </c>
      <c r="D277">
        <v>4</v>
      </c>
      <c r="E277">
        <v>10</v>
      </c>
      <c r="F277" t="s">
        <v>234</v>
      </c>
      <c r="G277" t="s">
        <v>235</v>
      </c>
      <c r="H277" t="s">
        <v>217</v>
      </c>
    </row>
    <row r="278" spans="1:8">
      <c r="A278">
        <v>20231004</v>
      </c>
      <c r="B278" s="1">
        <v>45203</v>
      </c>
      <c r="C278">
        <v>2023</v>
      </c>
      <c r="D278">
        <v>4</v>
      </c>
      <c r="E278">
        <v>10</v>
      </c>
      <c r="F278" t="s">
        <v>234</v>
      </c>
      <c r="G278" t="s">
        <v>235</v>
      </c>
      <c r="H278" t="s">
        <v>217</v>
      </c>
    </row>
    <row r="279" spans="1:8">
      <c r="A279">
        <v>20231005</v>
      </c>
      <c r="B279" s="1">
        <v>45204</v>
      </c>
      <c r="C279">
        <v>2023</v>
      </c>
      <c r="D279">
        <v>4</v>
      </c>
      <c r="E279">
        <v>10</v>
      </c>
      <c r="F279" t="s">
        <v>234</v>
      </c>
      <c r="G279" t="s">
        <v>235</v>
      </c>
      <c r="H279" t="s">
        <v>217</v>
      </c>
    </row>
    <row r="280" spans="1:8">
      <c r="A280">
        <v>20231006</v>
      </c>
      <c r="B280" s="1">
        <v>45205</v>
      </c>
      <c r="C280">
        <v>2023</v>
      </c>
      <c r="D280">
        <v>4</v>
      </c>
      <c r="E280">
        <v>10</v>
      </c>
      <c r="F280" t="s">
        <v>234</v>
      </c>
      <c r="G280" t="s">
        <v>235</v>
      </c>
      <c r="H280" t="s">
        <v>217</v>
      </c>
    </row>
    <row r="281" spans="1:8">
      <c r="A281">
        <v>20231007</v>
      </c>
      <c r="B281" s="1">
        <v>45206</v>
      </c>
      <c r="C281">
        <v>2023</v>
      </c>
      <c r="D281">
        <v>4</v>
      </c>
      <c r="E281">
        <v>10</v>
      </c>
      <c r="F281" t="s">
        <v>234</v>
      </c>
      <c r="G281" t="s">
        <v>235</v>
      </c>
      <c r="H281" t="s">
        <v>217</v>
      </c>
    </row>
    <row r="282" spans="1:8">
      <c r="A282">
        <v>20231008</v>
      </c>
      <c r="B282" s="1">
        <v>45207</v>
      </c>
      <c r="C282">
        <v>2023</v>
      </c>
      <c r="D282">
        <v>4</v>
      </c>
      <c r="E282">
        <v>10</v>
      </c>
      <c r="F282" t="s">
        <v>234</v>
      </c>
      <c r="G282" t="s">
        <v>235</v>
      </c>
      <c r="H282" t="s">
        <v>217</v>
      </c>
    </row>
    <row r="283" spans="1:8">
      <c r="A283">
        <v>20231009</v>
      </c>
      <c r="B283" s="1">
        <v>45208</v>
      </c>
      <c r="C283">
        <v>2023</v>
      </c>
      <c r="D283">
        <v>4</v>
      </c>
      <c r="E283">
        <v>10</v>
      </c>
      <c r="F283" t="s">
        <v>234</v>
      </c>
      <c r="G283" t="s">
        <v>235</v>
      </c>
      <c r="H283" t="s">
        <v>217</v>
      </c>
    </row>
    <row r="284" spans="1:8">
      <c r="A284">
        <v>20231010</v>
      </c>
      <c r="B284" s="1">
        <v>45209</v>
      </c>
      <c r="C284">
        <v>2023</v>
      </c>
      <c r="D284">
        <v>4</v>
      </c>
      <c r="E284">
        <v>10</v>
      </c>
      <c r="F284" t="s">
        <v>234</v>
      </c>
      <c r="G284" t="s">
        <v>235</v>
      </c>
      <c r="H284" t="s">
        <v>217</v>
      </c>
    </row>
    <row r="285" spans="1:8">
      <c r="A285">
        <v>20231011</v>
      </c>
      <c r="B285" s="1">
        <v>45210</v>
      </c>
      <c r="C285">
        <v>2023</v>
      </c>
      <c r="D285">
        <v>4</v>
      </c>
      <c r="E285">
        <v>10</v>
      </c>
      <c r="F285" t="s">
        <v>234</v>
      </c>
      <c r="G285" t="s">
        <v>235</v>
      </c>
      <c r="H285" t="s">
        <v>217</v>
      </c>
    </row>
    <row r="286" spans="1:8">
      <c r="A286">
        <v>20231012</v>
      </c>
      <c r="B286" s="1">
        <v>45211</v>
      </c>
      <c r="C286">
        <v>2023</v>
      </c>
      <c r="D286">
        <v>4</v>
      </c>
      <c r="E286">
        <v>10</v>
      </c>
      <c r="F286" t="s">
        <v>234</v>
      </c>
      <c r="G286" t="s">
        <v>235</v>
      </c>
      <c r="H286" t="s">
        <v>217</v>
      </c>
    </row>
    <row r="287" spans="1:8">
      <c r="A287">
        <v>20231013</v>
      </c>
      <c r="B287" s="1">
        <v>45212</v>
      </c>
      <c r="C287">
        <v>2023</v>
      </c>
      <c r="D287">
        <v>4</v>
      </c>
      <c r="E287">
        <v>10</v>
      </c>
      <c r="F287" t="s">
        <v>234</v>
      </c>
      <c r="G287" t="s">
        <v>235</v>
      </c>
      <c r="H287" t="s">
        <v>217</v>
      </c>
    </row>
    <row r="288" spans="1:8">
      <c r="A288">
        <v>20231014</v>
      </c>
      <c r="B288" s="1">
        <v>45213</v>
      </c>
      <c r="C288">
        <v>2023</v>
      </c>
      <c r="D288">
        <v>4</v>
      </c>
      <c r="E288">
        <v>10</v>
      </c>
      <c r="F288" t="s">
        <v>234</v>
      </c>
      <c r="G288" t="s">
        <v>235</v>
      </c>
      <c r="H288" t="s">
        <v>217</v>
      </c>
    </row>
    <row r="289" spans="1:8">
      <c r="A289">
        <v>20231015</v>
      </c>
      <c r="B289" s="1">
        <v>45214</v>
      </c>
      <c r="C289">
        <v>2023</v>
      </c>
      <c r="D289">
        <v>4</v>
      </c>
      <c r="E289">
        <v>10</v>
      </c>
      <c r="F289" t="s">
        <v>234</v>
      </c>
      <c r="G289" t="s">
        <v>235</v>
      </c>
      <c r="H289" t="s">
        <v>217</v>
      </c>
    </row>
    <row r="290" spans="1:8">
      <c r="A290">
        <v>20231016</v>
      </c>
      <c r="B290" s="1">
        <v>45215</v>
      </c>
      <c r="C290">
        <v>2023</v>
      </c>
      <c r="D290">
        <v>4</v>
      </c>
      <c r="E290">
        <v>10</v>
      </c>
      <c r="F290" t="s">
        <v>234</v>
      </c>
      <c r="G290" t="s">
        <v>235</v>
      </c>
      <c r="H290" t="s">
        <v>217</v>
      </c>
    </row>
    <row r="291" spans="1:8">
      <c r="A291">
        <v>20231017</v>
      </c>
      <c r="B291" s="1">
        <v>45216</v>
      </c>
      <c r="C291">
        <v>2023</v>
      </c>
      <c r="D291">
        <v>4</v>
      </c>
      <c r="E291">
        <v>10</v>
      </c>
      <c r="F291" t="s">
        <v>234</v>
      </c>
      <c r="G291" t="s">
        <v>235</v>
      </c>
      <c r="H291" t="s">
        <v>217</v>
      </c>
    </row>
    <row r="292" spans="1:8">
      <c r="A292">
        <v>20231018</v>
      </c>
      <c r="B292" s="1">
        <v>45217</v>
      </c>
      <c r="C292">
        <v>2023</v>
      </c>
      <c r="D292">
        <v>4</v>
      </c>
      <c r="E292">
        <v>10</v>
      </c>
      <c r="F292" t="s">
        <v>234</v>
      </c>
      <c r="G292" t="s">
        <v>235</v>
      </c>
      <c r="H292" t="s">
        <v>217</v>
      </c>
    </row>
    <row r="293" spans="1:8">
      <c r="A293">
        <v>20231019</v>
      </c>
      <c r="B293" s="1">
        <v>45218</v>
      </c>
      <c r="C293">
        <v>2023</v>
      </c>
      <c r="D293">
        <v>4</v>
      </c>
      <c r="E293">
        <v>10</v>
      </c>
      <c r="F293" t="s">
        <v>234</v>
      </c>
      <c r="G293" t="s">
        <v>235</v>
      </c>
      <c r="H293" t="s">
        <v>217</v>
      </c>
    </row>
    <row r="294" spans="1:8">
      <c r="A294">
        <v>20231020</v>
      </c>
      <c r="B294" s="1">
        <v>45219</v>
      </c>
      <c r="C294">
        <v>2023</v>
      </c>
      <c r="D294">
        <v>4</v>
      </c>
      <c r="E294">
        <v>10</v>
      </c>
      <c r="F294" t="s">
        <v>234</v>
      </c>
      <c r="G294" t="s">
        <v>235</v>
      </c>
      <c r="H294" t="s">
        <v>217</v>
      </c>
    </row>
    <row r="295" spans="1:8">
      <c r="A295">
        <v>20231021</v>
      </c>
      <c r="B295" s="1">
        <v>45220</v>
      </c>
      <c r="C295">
        <v>2023</v>
      </c>
      <c r="D295">
        <v>4</v>
      </c>
      <c r="E295">
        <v>10</v>
      </c>
      <c r="F295" t="s">
        <v>234</v>
      </c>
      <c r="G295" t="s">
        <v>235</v>
      </c>
      <c r="H295" t="s">
        <v>217</v>
      </c>
    </row>
    <row r="296" spans="1:8">
      <c r="A296">
        <v>20231022</v>
      </c>
      <c r="B296" s="1">
        <v>45221</v>
      </c>
      <c r="C296">
        <v>2023</v>
      </c>
      <c r="D296">
        <v>4</v>
      </c>
      <c r="E296">
        <v>10</v>
      </c>
      <c r="F296" t="s">
        <v>234</v>
      </c>
      <c r="G296" t="s">
        <v>235</v>
      </c>
      <c r="H296" t="s">
        <v>217</v>
      </c>
    </row>
    <row r="297" spans="1:8">
      <c r="A297">
        <v>20231023</v>
      </c>
      <c r="B297" s="1">
        <v>45222</v>
      </c>
      <c r="C297">
        <v>2023</v>
      </c>
      <c r="D297">
        <v>4</v>
      </c>
      <c r="E297">
        <v>10</v>
      </c>
      <c r="F297" t="s">
        <v>234</v>
      </c>
      <c r="G297" t="s">
        <v>235</v>
      </c>
      <c r="H297" t="s">
        <v>217</v>
      </c>
    </row>
    <row r="298" spans="1:8">
      <c r="A298">
        <v>20231024</v>
      </c>
      <c r="B298" s="1">
        <v>45223</v>
      </c>
      <c r="C298">
        <v>2023</v>
      </c>
      <c r="D298">
        <v>4</v>
      </c>
      <c r="E298">
        <v>10</v>
      </c>
      <c r="F298" t="s">
        <v>234</v>
      </c>
      <c r="G298" t="s">
        <v>235</v>
      </c>
      <c r="H298" t="s">
        <v>217</v>
      </c>
    </row>
    <row r="299" spans="1:8">
      <c r="A299">
        <v>20231025</v>
      </c>
      <c r="B299" s="1">
        <v>45224</v>
      </c>
      <c r="C299">
        <v>2023</v>
      </c>
      <c r="D299">
        <v>4</v>
      </c>
      <c r="E299">
        <v>10</v>
      </c>
      <c r="F299" t="s">
        <v>234</v>
      </c>
      <c r="G299" t="s">
        <v>235</v>
      </c>
      <c r="H299" t="s">
        <v>217</v>
      </c>
    </row>
    <row r="300" spans="1:8">
      <c r="A300">
        <v>20231026</v>
      </c>
      <c r="B300" s="1">
        <v>45225</v>
      </c>
      <c r="C300">
        <v>2023</v>
      </c>
      <c r="D300">
        <v>4</v>
      </c>
      <c r="E300">
        <v>10</v>
      </c>
      <c r="F300" t="s">
        <v>234</v>
      </c>
      <c r="G300" t="s">
        <v>235</v>
      </c>
      <c r="H300" t="s">
        <v>217</v>
      </c>
    </row>
    <row r="301" spans="1:8">
      <c r="A301">
        <v>20231027</v>
      </c>
      <c r="B301" s="1">
        <v>45226</v>
      </c>
      <c r="C301">
        <v>2023</v>
      </c>
      <c r="D301">
        <v>4</v>
      </c>
      <c r="E301">
        <v>10</v>
      </c>
      <c r="F301" t="s">
        <v>234</v>
      </c>
      <c r="G301" t="s">
        <v>235</v>
      </c>
      <c r="H301" t="s">
        <v>217</v>
      </c>
    </row>
    <row r="302" spans="1:8">
      <c r="A302">
        <v>20231028</v>
      </c>
      <c r="B302" s="1">
        <v>45227</v>
      </c>
      <c r="C302">
        <v>2023</v>
      </c>
      <c r="D302">
        <v>4</v>
      </c>
      <c r="E302">
        <v>10</v>
      </c>
      <c r="F302" t="s">
        <v>234</v>
      </c>
      <c r="G302" t="s">
        <v>235</v>
      </c>
      <c r="H302" t="s">
        <v>217</v>
      </c>
    </row>
    <row r="303" spans="1:8">
      <c r="A303">
        <v>20231029</v>
      </c>
      <c r="B303" s="1">
        <v>45228</v>
      </c>
      <c r="C303">
        <v>2023</v>
      </c>
      <c r="D303">
        <v>4</v>
      </c>
      <c r="E303">
        <v>10</v>
      </c>
      <c r="F303" t="s">
        <v>234</v>
      </c>
      <c r="G303" t="s">
        <v>235</v>
      </c>
      <c r="H303" t="s">
        <v>217</v>
      </c>
    </row>
    <row r="304" spans="1:8">
      <c r="A304">
        <v>20231030</v>
      </c>
      <c r="B304" s="1">
        <v>45229</v>
      </c>
      <c r="C304">
        <v>2023</v>
      </c>
      <c r="D304">
        <v>4</v>
      </c>
      <c r="E304">
        <v>10</v>
      </c>
      <c r="F304" t="s">
        <v>234</v>
      </c>
      <c r="G304" t="s">
        <v>235</v>
      </c>
      <c r="H304" t="s">
        <v>217</v>
      </c>
    </row>
    <row r="305" spans="1:8">
      <c r="A305">
        <v>20231031</v>
      </c>
      <c r="B305" s="1">
        <v>45230</v>
      </c>
      <c r="C305">
        <v>2023</v>
      </c>
      <c r="D305">
        <v>4</v>
      </c>
      <c r="E305">
        <v>10</v>
      </c>
      <c r="F305" t="s">
        <v>234</v>
      </c>
      <c r="G305" t="s">
        <v>235</v>
      </c>
      <c r="H305" t="s">
        <v>217</v>
      </c>
    </row>
    <row r="306" spans="1:8">
      <c r="A306">
        <v>20231101</v>
      </c>
      <c r="B306" s="1">
        <v>45231</v>
      </c>
      <c r="C306">
        <v>2023</v>
      </c>
      <c r="D306">
        <v>4</v>
      </c>
      <c r="E306">
        <v>11</v>
      </c>
      <c r="F306" t="s">
        <v>236</v>
      </c>
      <c r="G306" t="s">
        <v>237</v>
      </c>
      <c r="H306" t="s">
        <v>217</v>
      </c>
    </row>
    <row r="307" spans="1:8">
      <c r="A307">
        <v>20231102</v>
      </c>
      <c r="B307" s="1">
        <v>45232</v>
      </c>
      <c r="C307">
        <v>2023</v>
      </c>
      <c r="D307">
        <v>4</v>
      </c>
      <c r="E307">
        <v>11</v>
      </c>
      <c r="F307" t="s">
        <v>236</v>
      </c>
      <c r="G307" t="s">
        <v>237</v>
      </c>
      <c r="H307" t="s">
        <v>217</v>
      </c>
    </row>
    <row r="308" spans="1:8">
      <c r="A308">
        <v>20231103</v>
      </c>
      <c r="B308" s="1">
        <v>45233</v>
      </c>
      <c r="C308">
        <v>2023</v>
      </c>
      <c r="D308">
        <v>4</v>
      </c>
      <c r="E308">
        <v>11</v>
      </c>
      <c r="F308" t="s">
        <v>236</v>
      </c>
      <c r="G308" t="s">
        <v>237</v>
      </c>
      <c r="H308" t="s">
        <v>217</v>
      </c>
    </row>
    <row r="309" spans="1:8">
      <c r="A309">
        <v>20231104</v>
      </c>
      <c r="B309" s="1">
        <v>45234</v>
      </c>
      <c r="C309">
        <v>2023</v>
      </c>
      <c r="D309">
        <v>4</v>
      </c>
      <c r="E309">
        <v>11</v>
      </c>
      <c r="F309" t="s">
        <v>236</v>
      </c>
      <c r="G309" t="s">
        <v>237</v>
      </c>
      <c r="H309" t="s">
        <v>217</v>
      </c>
    </row>
    <row r="310" spans="1:8">
      <c r="A310">
        <v>20231105</v>
      </c>
      <c r="B310" s="1">
        <v>45235</v>
      </c>
      <c r="C310">
        <v>2023</v>
      </c>
      <c r="D310">
        <v>4</v>
      </c>
      <c r="E310">
        <v>11</v>
      </c>
      <c r="F310" t="s">
        <v>236</v>
      </c>
      <c r="G310" t="s">
        <v>237</v>
      </c>
      <c r="H310" t="s">
        <v>217</v>
      </c>
    </row>
    <row r="311" spans="1:8">
      <c r="A311">
        <v>20231106</v>
      </c>
      <c r="B311" s="1">
        <v>45236</v>
      </c>
      <c r="C311">
        <v>2023</v>
      </c>
      <c r="D311">
        <v>4</v>
      </c>
      <c r="E311">
        <v>11</v>
      </c>
      <c r="F311" t="s">
        <v>236</v>
      </c>
      <c r="G311" t="s">
        <v>237</v>
      </c>
      <c r="H311" t="s">
        <v>217</v>
      </c>
    </row>
    <row r="312" spans="1:8">
      <c r="A312">
        <v>20231107</v>
      </c>
      <c r="B312" s="1">
        <v>45237</v>
      </c>
      <c r="C312">
        <v>2023</v>
      </c>
      <c r="D312">
        <v>4</v>
      </c>
      <c r="E312">
        <v>11</v>
      </c>
      <c r="F312" t="s">
        <v>236</v>
      </c>
      <c r="G312" t="s">
        <v>237</v>
      </c>
      <c r="H312" t="s">
        <v>217</v>
      </c>
    </row>
    <row r="313" spans="1:8">
      <c r="A313">
        <v>20231108</v>
      </c>
      <c r="B313" s="1">
        <v>45238</v>
      </c>
      <c r="C313">
        <v>2023</v>
      </c>
      <c r="D313">
        <v>4</v>
      </c>
      <c r="E313">
        <v>11</v>
      </c>
      <c r="F313" t="s">
        <v>236</v>
      </c>
      <c r="G313" t="s">
        <v>237</v>
      </c>
      <c r="H313" t="s">
        <v>217</v>
      </c>
    </row>
    <row r="314" spans="1:8">
      <c r="A314">
        <v>20231109</v>
      </c>
      <c r="B314" s="1">
        <v>45239</v>
      </c>
      <c r="C314">
        <v>2023</v>
      </c>
      <c r="D314">
        <v>4</v>
      </c>
      <c r="E314">
        <v>11</v>
      </c>
      <c r="F314" t="s">
        <v>236</v>
      </c>
      <c r="G314" t="s">
        <v>237</v>
      </c>
      <c r="H314" t="s">
        <v>217</v>
      </c>
    </row>
    <row r="315" spans="1:8">
      <c r="A315">
        <v>20231110</v>
      </c>
      <c r="B315" s="1">
        <v>45240</v>
      </c>
      <c r="C315">
        <v>2023</v>
      </c>
      <c r="D315">
        <v>4</v>
      </c>
      <c r="E315">
        <v>11</v>
      </c>
      <c r="F315" t="s">
        <v>236</v>
      </c>
      <c r="G315" t="s">
        <v>237</v>
      </c>
      <c r="H315" t="s">
        <v>217</v>
      </c>
    </row>
    <row r="316" spans="1:8">
      <c r="A316">
        <v>20231111</v>
      </c>
      <c r="B316" s="1">
        <v>45241</v>
      </c>
      <c r="C316">
        <v>2023</v>
      </c>
      <c r="D316">
        <v>4</v>
      </c>
      <c r="E316">
        <v>11</v>
      </c>
      <c r="F316" t="s">
        <v>236</v>
      </c>
      <c r="G316" t="s">
        <v>237</v>
      </c>
      <c r="H316" t="s">
        <v>217</v>
      </c>
    </row>
    <row r="317" spans="1:8">
      <c r="A317">
        <v>20231112</v>
      </c>
      <c r="B317" s="1">
        <v>45242</v>
      </c>
      <c r="C317">
        <v>2023</v>
      </c>
      <c r="D317">
        <v>4</v>
      </c>
      <c r="E317">
        <v>11</v>
      </c>
      <c r="F317" t="s">
        <v>236</v>
      </c>
      <c r="G317" t="s">
        <v>237</v>
      </c>
      <c r="H317" t="s">
        <v>217</v>
      </c>
    </row>
    <row r="318" spans="1:8">
      <c r="A318">
        <v>20231113</v>
      </c>
      <c r="B318" s="1">
        <v>45243</v>
      </c>
      <c r="C318">
        <v>2023</v>
      </c>
      <c r="D318">
        <v>4</v>
      </c>
      <c r="E318">
        <v>11</v>
      </c>
      <c r="F318" t="s">
        <v>236</v>
      </c>
      <c r="G318" t="s">
        <v>237</v>
      </c>
      <c r="H318" t="s">
        <v>217</v>
      </c>
    </row>
    <row r="319" spans="1:8">
      <c r="A319">
        <v>20231114</v>
      </c>
      <c r="B319" s="1">
        <v>45244</v>
      </c>
      <c r="C319">
        <v>2023</v>
      </c>
      <c r="D319">
        <v>4</v>
      </c>
      <c r="E319">
        <v>11</v>
      </c>
      <c r="F319" t="s">
        <v>236</v>
      </c>
      <c r="G319" t="s">
        <v>237</v>
      </c>
      <c r="H319" t="s">
        <v>217</v>
      </c>
    </row>
    <row r="320" spans="1:8">
      <c r="A320">
        <v>20231115</v>
      </c>
      <c r="B320" s="1">
        <v>45245</v>
      </c>
      <c r="C320">
        <v>2023</v>
      </c>
      <c r="D320">
        <v>4</v>
      </c>
      <c r="E320">
        <v>11</v>
      </c>
      <c r="F320" t="s">
        <v>236</v>
      </c>
      <c r="G320" t="s">
        <v>237</v>
      </c>
      <c r="H320" t="s">
        <v>217</v>
      </c>
    </row>
    <row r="321" spans="1:8">
      <c r="A321">
        <v>20231116</v>
      </c>
      <c r="B321" s="1">
        <v>45246</v>
      </c>
      <c r="C321">
        <v>2023</v>
      </c>
      <c r="D321">
        <v>4</v>
      </c>
      <c r="E321">
        <v>11</v>
      </c>
      <c r="F321" t="s">
        <v>236</v>
      </c>
      <c r="G321" t="s">
        <v>237</v>
      </c>
      <c r="H321" t="s">
        <v>217</v>
      </c>
    </row>
    <row r="322" spans="1:8">
      <c r="A322">
        <v>20231117</v>
      </c>
      <c r="B322" s="1">
        <v>45247</v>
      </c>
      <c r="C322">
        <v>2023</v>
      </c>
      <c r="D322">
        <v>4</v>
      </c>
      <c r="E322">
        <v>11</v>
      </c>
      <c r="F322" t="s">
        <v>236</v>
      </c>
      <c r="G322" t="s">
        <v>237</v>
      </c>
      <c r="H322" t="s">
        <v>217</v>
      </c>
    </row>
    <row r="323" spans="1:8">
      <c r="A323">
        <v>20231118</v>
      </c>
      <c r="B323" s="1">
        <v>45248</v>
      </c>
      <c r="C323">
        <v>2023</v>
      </c>
      <c r="D323">
        <v>4</v>
      </c>
      <c r="E323">
        <v>11</v>
      </c>
      <c r="F323" t="s">
        <v>236</v>
      </c>
      <c r="G323" t="s">
        <v>237</v>
      </c>
      <c r="H323" t="s">
        <v>217</v>
      </c>
    </row>
    <row r="324" spans="1:8">
      <c r="A324">
        <v>20231119</v>
      </c>
      <c r="B324" s="1">
        <v>45249</v>
      </c>
      <c r="C324">
        <v>2023</v>
      </c>
      <c r="D324">
        <v>4</v>
      </c>
      <c r="E324">
        <v>11</v>
      </c>
      <c r="F324" t="s">
        <v>236</v>
      </c>
      <c r="G324" t="s">
        <v>237</v>
      </c>
      <c r="H324" t="s">
        <v>217</v>
      </c>
    </row>
    <row r="325" spans="1:8">
      <c r="A325">
        <v>20231120</v>
      </c>
      <c r="B325" s="1">
        <v>45250</v>
      </c>
      <c r="C325">
        <v>2023</v>
      </c>
      <c r="D325">
        <v>4</v>
      </c>
      <c r="E325">
        <v>11</v>
      </c>
      <c r="F325" t="s">
        <v>236</v>
      </c>
      <c r="G325" t="s">
        <v>237</v>
      </c>
      <c r="H325" t="s">
        <v>217</v>
      </c>
    </row>
    <row r="326" spans="1:8">
      <c r="A326">
        <v>20231121</v>
      </c>
      <c r="B326" s="1">
        <v>45251</v>
      </c>
      <c r="C326">
        <v>2023</v>
      </c>
      <c r="D326">
        <v>4</v>
      </c>
      <c r="E326">
        <v>11</v>
      </c>
      <c r="F326" t="s">
        <v>236</v>
      </c>
      <c r="G326" t="s">
        <v>237</v>
      </c>
      <c r="H326" t="s">
        <v>217</v>
      </c>
    </row>
    <row r="327" spans="1:8">
      <c r="A327">
        <v>20231122</v>
      </c>
      <c r="B327" s="1">
        <v>45252</v>
      </c>
      <c r="C327">
        <v>2023</v>
      </c>
      <c r="D327">
        <v>4</v>
      </c>
      <c r="E327">
        <v>11</v>
      </c>
      <c r="F327" t="s">
        <v>236</v>
      </c>
      <c r="G327" t="s">
        <v>237</v>
      </c>
      <c r="H327" t="s">
        <v>217</v>
      </c>
    </row>
    <row r="328" spans="1:8">
      <c r="A328">
        <v>20231123</v>
      </c>
      <c r="B328" s="1">
        <v>45253</v>
      </c>
      <c r="C328">
        <v>2023</v>
      </c>
      <c r="D328">
        <v>4</v>
      </c>
      <c r="E328">
        <v>11</v>
      </c>
      <c r="F328" t="s">
        <v>236</v>
      </c>
      <c r="G328" t="s">
        <v>237</v>
      </c>
      <c r="H328" t="s">
        <v>217</v>
      </c>
    </row>
    <row r="329" spans="1:8">
      <c r="A329">
        <v>20231124</v>
      </c>
      <c r="B329" s="1">
        <v>45254</v>
      </c>
      <c r="C329">
        <v>2023</v>
      </c>
      <c r="D329">
        <v>4</v>
      </c>
      <c r="E329">
        <v>11</v>
      </c>
      <c r="F329" t="s">
        <v>236</v>
      </c>
      <c r="G329" t="s">
        <v>237</v>
      </c>
      <c r="H329" t="s">
        <v>217</v>
      </c>
    </row>
    <row r="330" spans="1:8">
      <c r="A330">
        <v>20231125</v>
      </c>
      <c r="B330" s="1">
        <v>45255</v>
      </c>
      <c r="C330">
        <v>2023</v>
      </c>
      <c r="D330">
        <v>4</v>
      </c>
      <c r="E330">
        <v>11</v>
      </c>
      <c r="F330" t="s">
        <v>236</v>
      </c>
      <c r="G330" t="s">
        <v>237</v>
      </c>
      <c r="H330" t="s">
        <v>217</v>
      </c>
    </row>
    <row r="331" spans="1:8">
      <c r="A331">
        <v>20231126</v>
      </c>
      <c r="B331" s="1">
        <v>45256</v>
      </c>
      <c r="C331">
        <v>2023</v>
      </c>
      <c r="D331">
        <v>4</v>
      </c>
      <c r="E331">
        <v>11</v>
      </c>
      <c r="F331" t="s">
        <v>236</v>
      </c>
      <c r="G331" t="s">
        <v>237</v>
      </c>
      <c r="H331" t="s">
        <v>217</v>
      </c>
    </row>
    <row r="332" spans="1:8">
      <c r="A332">
        <v>20231127</v>
      </c>
      <c r="B332" s="1">
        <v>45257</v>
      </c>
      <c r="C332">
        <v>2023</v>
      </c>
      <c r="D332">
        <v>4</v>
      </c>
      <c r="E332">
        <v>11</v>
      </c>
      <c r="F332" t="s">
        <v>236</v>
      </c>
      <c r="G332" t="s">
        <v>237</v>
      </c>
      <c r="H332" t="s">
        <v>217</v>
      </c>
    </row>
    <row r="333" spans="1:8">
      <c r="A333">
        <v>20231128</v>
      </c>
      <c r="B333" s="1">
        <v>45258</v>
      </c>
      <c r="C333">
        <v>2023</v>
      </c>
      <c r="D333">
        <v>4</v>
      </c>
      <c r="E333">
        <v>11</v>
      </c>
      <c r="F333" t="s">
        <v>236</v>
      </c>
      <c r="G333" t="s">
        <v>237</v>
      </c>
      <c r="H333" t="s">
        <v>217</v>
      </c>
    </row>
    <row r="334" spans="1:8">
      <c r="A334">
        <v>20231129</v>
      </c>
      <c r="B334" s="1">
        <v>45259</v>
      </c>
      <c r="C334">
        <v>2023</v>
      </c>
      <c r="D334">
        <v>4</v>
      </c>
      <c r="E334">
        <v>11</v>
      </c>
      <c r="F334" t="s">
        <v>236</v>
      </c>
      <c r="G334" t="s">
        <v>237</v>
      </c>
      <c r="H334" t="s">
        <v>217</v>
      </c>
    </row>
    <row r="335" spans="1:8">
      <c r="A335">
        <v>20231130</v>
      </c>
      <c r="B335" s="1">
        <v>45260</v>
      </c>
      <c r="C335">
        <v>2023</v>
      </c>
      <c r="D335">
        <v>4</v>
      </c>
      <c r="E335">
        <v>11</v>
      </c>
      <c r="F335" t="s">
        <v>236</v>
      </c>
      <c r="G335" t="s">
        <v>237</v>
      </c>
      <c r="H335" t="s">
        <v>217</v>
      </c>
    </row>
    <row r="336" spans="1:8">
      <c r="A336">
        <v>20231201</v>
      </c>
      <c r="B336" s="1">
        <v>45261</v>
      </c>
      <c r="C336">
        <v>2023</v>
      </c>
      <c r="D336">
        <v>4</v>
      </c>
      <c r="E336">
        <v>12</v>
      </c>
      <c r="F336" t="s">
        <v>238</v>
      </c>
      <c r="G336" t="s">
        <v>239</v>
      </c>
      <c r="H336" t="s">
        <v>217</v>
      </c>
    </row>
    <row r="337" spans="1:8">
      <c r="A337">
        <v>20231202</v>
      </c>
      <c r="B337" s="1">
        <v>45262</v>
      </c>
      <c r="C337">
        <v>2023</v>
      </c>
      <c r="D337">
        <v>4</v>
      </c>
      <c r="E337">
        <v>12</v>
      </c>
      <c r="F337" t="s">
        <v>238</v>
      </c>
      <c r="G337" t="s">
        <v>239</v>
      </c>
      <c r="H337" t="s">
        <v>217</v>
      </c>
    </row>
    <row r="338" spans="1:8">
      <c r="A338">
        <v>20231203</v>
      </c>
      <c r="B338" s="1">
        <v>45263</v>
      </c>
      <c r="C338">
        <v>2023</v>
      </c>
      <c r="D338">
        <v>4</v>
      </c>
      <c r="E338">
        <v>12</v>
      </c>
      <c r="F338" t="s">
        <v>238</v>
      </c>
      <c r="G338" t="s">
        <v>239</v>
      </c>
      <c r="H338" t="s">
        <v>217</v>
      </c>
    </row>
    <row r="339" spans="1:8">
      <c r="A339">
        <v>20231204</v>
      </c>
      <c r="B339" s="1">
        <v>45264</v>
      </c>
      <c r="C339">
        <v>2023</v>
      </c>
      <c r="D339">
        <v>4</v>
      </c>
      <c r="E339">
        <v>12</v>
      </c>
      <c r="F339" t="s">
        <v>238</v>
      </c>
      <c r="G339" t="s">
        <v>239</v>
      </c>
      <c r="H339" t="s">
        <v>217</v>
      </c>
    </row>
    <row r="340" spans="1:8">
      <c r="A340">
        <v>20231205</v>
      </c>
      <c r="B340" s="1">
        <v>45265</v>
      </c>
      <c r="C340">
        <v>2023</v>
      </c>
      <c r="D340">
        <v>4</v>
      </c>
      <c r="E340">
        <v>12</v>
      </c>
      <c r="F340" t="s">
        <v>238</v>
      </c>
      <c r="G340" t="s">
        <v>239</v>
      </c>
      <c r="H340" t="s">
        <v>217</v>
      </c>
    </row>
    <row r="341" spans="1:8">
      <c r="A341">
        <v>20231206</v>
      </c>
      <c r="B341" s="1">
        <v>45266</v>
      </c>
      <c r="C341">
        <v>2023</v>
      </c>
      <c r="D341">
        <v>4</v>
      </c>
      <c r="E341">
        <v>12</v>
      </c>
      <c r="F341" t="s">
        <v>238</v>
      </c>
      <c r="G341" t="s">
        <v>239</v>
      </c>
      <c r="H341" t="s">
        <v>217</v>
      </c>
    </row>
    <row r="342" spans="1:8">
      <c r="A342">
        <v>20231207</v>
      </c>
      <c r="B342" s="1">
        <v>45267</v>
      </c>
      <c r="C342">
        <v>2023</v>
      </c>
      <c r="D342">
        <v>4</v>
      </c>
      <c r="E342">
        <v>12</v>
      </c>
      <c r="F342" t="s">
        <v>238</v>
      </c>
      <c r="G342" t="s">
        <v>239</v>
      </c>
      <c r="H342" t="s">
        <v>217</v>
      </c>
    </row>
    <row r="343" spans="1:8">
      <c r="A343">
        <v>20231208</v>
      </c>
      <c r="B343" s="1">
        <v>45268</v>
      </c>
      <c r="C343">
        <v>2023</v>
      </c>
      <c r="D343">
        <v>4</v>
      </c>
      <c r="E343">
        <v>12</v>
      </c>
      <c r="F343" t="s">
        <v>238</v>
      </c>
      <c r="G343" t="s">
        <v>239</v>
      </c>
      <c r="H343" t="s">
        <v>217</v>
      </c>
    </row>
    <row r="344" spans="1:8">
      <c r="A344">
        <v>20231209</v>
      </c>
      <c r="B344" s="1">
        <v>45269</v>
      </c>
      <c r="C344">
        <v>2023</v>
      </c>
      <c r="D344">
        <v>4</v>
      </c>
      <c r="E344">
        <v>12</v>
      </c>
      <c r="F344" t="s">
        <v>238</v>
      </c>
      <c r="G344" t="s">
        <v>239</v>
      </c>
      <c r="H344" t="s">
        <v>217</v>
      </c>
    </row>
    <row r="345" spans="1:8">
      <c r="A345">
        <v>20231210</v>
      </c>
      <c r="B345" s="1">
        <v>45270</v>
      </c>
      <c r="C345">
        <v>2023</v>
      </c>
      <c r="D345">
        <v>4</v>
      </c>
      <c r="E345">
        <v>12</v>
      </c>
      <c r="F345" t="s">
        <v>238</v>
      </c>
      <c r="G345" t="s">
        <v>239</v>
      </c>
      <c r="H345" t="s">
        <v>217</v>
      </c>
    </row>
    <row r="346" spans="1:8">
      <c r="A346">
        <v>20231211</v>
      </c>
      <c r="B346" s="1">
        <v>45271</v>
      </c>
      <c r="C346">
        <v>2023</v>
      </c>
      <c r="D346">
        <v>4</v>
      </c>
      <c r="E346">
        <v>12</v>
      </c>
      <c r="F346" t="s">
        <v>238</v>
      </c>
      <c r="G346" t="s">
        <v>239</v>
      </c>
      <c r="H346" t="s">
        <v>217</v>
      </c>
    </row>
    <row r="347" spans="1:8">
      <c r="A347">
        <v>20231212</v>
      </c>
      <c r="B347" s="1">
        <v>45272</v>
      </c>
      <c r="C347">
        <v>2023</v>
      </c>
      <c r="D347">
        <v>4</v>
      </c>
      <c r="E347">
        <v>12</v>
      </c>
      <c r="F347" t="s">
        <v>238</v>
      </c>
      <c r="G347" t="s">
        <v>239</v>
      </c>
      <c r="H347" t="s">
        <v>217</v>
      </c>
    </row>
    <row r="348" spans="1:8">
      <c r="A348">
        <v>20231213</v>
      </c>
      <c r="B348" s="1">
        <v>45273</v>
      </c>
      <c r="C348">
        <v>2023</v>
      </c>
      <c r="D348">
        <v>4</v>
      </c>
      <c r="E348">
        <v>12</v>
      </c>
      <c r="F348" t="s">
        <v>238</v>
      </c>
      <c r="G348" t="s">
        <v>239</v>
      </c>
      <c r="H348" t="s">
        <v>217</v>
      </c>
    </row>
    <row r="349" spans="1:8">
      <c r="A349">
        <v>20231214</v>
      </c>
      <c r="B349" s="1">
        <v>45274</v>
      </c>
      <c r="C349">
        <v>2023</v>
      </c>
      <c r="D349">
        <v>4</v>
      </c>
      <c r="E349">
        <v>12</v>
      </c>
      <c r="F349" t="s">
        <v>238</v>
      </c>
      <c r="G349" t="s">
        <v>239</v>
      </c>
      <c r="H349" t="s">
        <v>217</v>
      </c>
    </row>
    <row r="350" spans="1:8">
      <c r="A350">
        <v>20231215</v>
      </c>
      <c r="B350" s="1">
        <v>45275</v>
      </c>
      <c r="C350">
        <v>2023</v>
      </c>
      <c r="D350">
        <v>4</v>
      </c>
      <c r="E350">
        <v>12</v>
      </c>
      <c r="F350" t="s">
        <v>238</v>
      </c>
      <c r="G350" t="s">
        <v>239</v>
      </c>
      <c r="H350" t="s">
        <v>217</v>
      </c>
    </row>
    <row r="351" spans="1:8">
      <c r="A351">
        <v>20231216</v>
      </c>
      <c r="B351" s="1">
        <v>45276</v>
      </c>
      <c r="C351">
        <v>2023</v>
      </c>
      <c r="D351">
        <v>4</v>
      </c>
      <c r="E351">
        <v>12</v>
      </c>
      <c r="F351" t="s">
        <v>238</v>
      </c>
      <c r="G351" t="s">
        <v>239</v>
      </c>
      <c r="H351" t="s">
        <v>217</v>
      </c>
    </row>
    <row r="352" spans="1:8">
      <c r="A352">
        <v>20231217</v>
      </c>
      <c r="B352" s="1">
        <v>45277</v>
      </c>
      <c r="C352">
        <v>2023</v>
      </c>
      <c r="D352">
        <v>4</v>
      </c>
      <c r="E352">
        <v>12</v>
      </c>
      <c r="F352" t="s">
        <v>238</v>
      </c>
      <c r="G352" t="s">
        <v>239</v>
      </c>
      <c r="H352" t="s">
        <v>217</v>
      </c>
    </row>
    <row r="353" spans="1:8">
      <c r="A353">
        <v>20231218</v>
      </c>
      <c r="B353" s="1">
        <v>45278</v>
      </c>
      <c r="C353">
        <v>2023</v>
      </c>
      <c r="D353">
        <v>4</v>
      </c>
      <c r="E353">
        <v>12</v>
      </c>
      <c r="F353" t="s">
        <v>238</v>
      </c>
      <c r="G353" t="s">
        <v>239</v>
      </c>
      <c r="H353" t="s">
        <v>217</v>
      </c>
    </row>
    <row r="354" spans="1:8">
      <c r="A354">
        <v>20231219</v>
      </c>
      <c r="B354" s="1">
        <v>45279</v>
      </c>
      <c r="C354">
        <v>2023</v>
      </c>
      <c r="D354">
        <v>4</v>
      </c>
      <c r="E354">
        <v>12</v>
      </c>
      <c r="F354" t="s">
        <v>238</v>
      </c>
      <c r="G354" t="s">
        <v>239</v>
      </c>
      <c r="H354" t="s">
        <v>217</v>
      </c>
    </row>
    <row r="355" spans="1:8">
      <c r="A355">
        <v>20231220</v>
      </c>
      <c r="B355" s="1">
        <v>45280</v>
      </c>
      <c r="C355">
        <v>2023</v>
      </c>
      <c r="D355">
        <v>4</v>
      </c>
      <c r="E355">
        <v>12</v>
      </c>
      <c r="F355" t="s">
        <v>238</v>
      </c>
      <c r="G355" t="s">
        <v>239</v>
      </c>
      <c r="H355" t="s">
        <v>217</v>
      </c>
    </row>
    <row r="356" spans="1:8">
      <c r="A356">
        <v>20231221</v>
      </c>
      <c r="B356" s="1">
        <v>45281</v>
      </c>
      <c r="C356">
        <v>2023</v>
      </c>
      <c r="D356">
        <v>4</v>
      </c>
      <c r="E356">
        <v>12</v>
      </c>
      <c r="F356" t="s">
        <v>238</v>
      </c>
      <c r="G356" t="s">
        <v>239</v>
      </c>
      <c r="H356" t="s">
        <v>217</v>
      </c>
    </row>
    <row r="357" spans="1:8">
      <c r="A357">
        <v>20231222</v>
      </c>
      <c r="B357" s="1">
        <v>45282</v>
      </c>
      <c r="C357">
        <v>2023</v>
      </c>
      <c r="D357">
        <v>4</v>
      </c>
      <c r="E357">
        <v>12</v>
      </c>
      <c r="F357" t="s">
        <v>238</v>
      </c>
      <c r="G357" t="s">
        <v>239</v>
      </c>
      <c r="H357" t="s">
        <v>217</v>
      </c>
    </row>
    <row r="358" spans="1:8">
      <c r="A358">
        <v>20231223</v>
      </c>
      <c r="B358" s="1">
        <v>45283</v>
      </c>
      <c r="C358">
        <v>2023</v>
      </c>
      <c r="D358">
        <v>4</v>
      </c>
      <c r="E358">
        <v>12</v>
      </c>
      <c r="F358" t="s">
        <v>238</v>
      </c>
      <c r="G358" t="s">
        <v>239</v>
      </c>
      <c r="H358" t="s">
        <v>217</v>
      </c>
    </row>
    <row r="359" spans="1:8">
      <c r="A359">
        <v>20231224</v>
      </c>
      <c r="B359" s="1">
        <v>45284</v>
      </c>
      <c r="C359">
        <v>2023</v>
      </c>
      <c r="D359">
        <v>4</v>
      </c>
      <c r="E359">
        <v>12</v>
      </c>
      <c r="F359" t="s">
        <v>238</v>
      </c>
      <c r="G359" t="s">
        <v>239</v>
      </c>
      <c r="H359" t="s">
        <v>217</v>
      </c>
    </row>
    <row r="360" spans="1:8">
      <c r="A360">
        <v>20231225</v>
      </c>
      <c r="B360" s="1">
        <v>45285</v>
      </c>
      <c r="C360">
        <v>2023</v>
      </c>
      <c r="D360">
        <v>4</v>
      </c>
      <c r="E360">
        <v>12</v>
      </c>
      <c r="F360" t="s">
        <v>238</v>
      </c>
      <c r="G360" t="s">
        <v>239</v>
      </c>
      <c r="H360" t="s">
        <v>217</v>
      </c>
    </row>
    <row r="361" spans="1:8">
      <c r="A361">
        <v>20231226</v>
      </c>
      <c r="B361" s="1">
        <v>45286</v>
      </c>
      <c r="C361">
        <v>2023</v>
      </c>
      <c r="D361">
        <v>4</v>
      </c>
      <c r="E361">
        <v>12</v>
      </c>
      <c r="F361" t="s">
        <v>238</v>
      </c>
      <c r="G361" t="s">
        <v>239</v>
      </c>
      <c r="H361" t="s">
        <v>217</v>
      </c>
    </row>
    <row r="362" spans="1:8">
      <c r="A362">
        <v>20231227</v>
      </c>
      <c r="B362" s="1">
        <v>45287</v>
      </c>
      <c r="C362">
        <v>2023</v>
      </c>
      <c r="D362">
        <v>4</v>
      </c>
      <c r="E362">
        <v>12</v>
      </c>
      <c r="F362" t="s">
        <v>238</v>
      </c>
      <c r="G362" t="s">
        <v>239</v>
      </c>
      <c r="H362" t="s">
        <v>217</v>
      </c>
    </row>
    <row r="363" spans="1:8">
      <c r="A363">
        <v>20231228</v>
      </c>
      <c r="B363" s="1">
        <v>45288</v>
      </c>
      <c r="C363">
        <v>2023</v>
      </c>
      <c r="D363">
        <v>4</v>
      </c>
      <c r="E363">
        <v>12</v>
      </c>
      <c r="F363" t="s">
        <v>238</v>
      </c>
      <c r="G363" t="s">
        <v>239</v>
      </c>
      <c r="H363" t="s">
        <v>217</v>
      </c>
    </row>
    <row r="364" spans="1:8">
      <c r="A364">
        <v>20231229</v>
      </c>
      <c r="B364" s="1">
        <v>45289</v>
      </c>
      <c r="C364">
        <v>2023</v>
      </c>
      <c r="D364">
        <v>4</v>
      </c>
      <c r="E364">
        <v>12</v>
      </c>
      <c r="F364" t="s">
        <v>238</v>
      </c>
      <c r="G364" t="s">
        <v>239</v>
      </c>
      <c r="H364" t="s">
        <v>217</v>
      </c>
    </row>
    <row r="365" spans="1:8">
      <c r="A365">
        <v>20231230</v>
      </c>
      <c r="B365" s="1">
        <v>45290</v>
      </c>
      <c r="C365">
        <v>2023</v>
      </c>
      <c r="D365">
        <v>4</v>
      </c>
      <c r="E365">
        <v>12</v>
      </c>
      <c r="F365" t="s">
        <v>238</v>
      </c>
      <c r="G365" t="s">
        <v>239</v>
      </c>
      <c r="H365" t="s">
        <v>217</v>
      </c>
    </row>
    <row r="366" spans="1:8">
      <c r="A366">
        <v>20231231</v>
      </c>
      <c r="B366" s="1">
        <v>45291</v>
      </c>
      <c r="C366">
        <v>2023</v>
      </c>
      <c r="D366">
        <v>4</v>
      </c>
      <c r="E366">
        <v>12</v>
      </c>
      <c r="F366" t="s">
        <v>238</v>
      </c>
      <c r="G366" t="s">
        <v>239</v>
      </c>
      <c r="H366" t="s">
        <v>217</v>
      </c>
    </row>
    <row r="367" spans="1:8">
      <c r="A367">
        <v>20240101</v>
      </c>
      <c r="B367" s="1">
        <v>45292</v>
      </c>
      <c r="C367">
        <v>2024</v>
      </c>
      <c r="D367">
        <v>1</v>
      </c>
      <c r="E367">
        <v>1</v>
      </c>
      <c r="F367" t="s">
        <v>215</v>
      </c>
      <c r="G367" t="s">
        <v>240</v>
      </c>
      <c r="H367" t="s">
        <v>241</v>
      </c>
    </row>
    <row r="368" spans="1:8">
      <c r="A368">
        <v>20240102</v>
      </c>
      <c r="B368" s="1">
        <v>45293</v>
      </c>
      <c r="C368">
        <v>2024</v>
      </c>
      <c r="D368">
        <v>1</v>
      </c>
      <c r="E368">
        <v>1</v>
      </c>
      <c r="F368" t="s">
        <v>215</v>
      </c>
      <c r="G368" t="s">
        <v>240</v>
      </c>
      <c r="H368" t="s">
        <v>241</v>
      </c>
    </row>
    <row r="369" spans="1:8">
      <c r="A369">
        <v>20240103</v>
      </c>
      <c r="B369" s="1">
        <v>45294</v>
      </c>
      <c r="C369">
        <v>2024</v>
      </c>
      <c r="D369">
        <v>1</v>
      </c>
      <c r="E369">
        <v>1</v>
      </c>
      <c r="F369" t="s">
        <v>215</v>
      </c>
      <c r="G369" t="s">
        <v>240</v>
      </c>
      <c r="H369" t="s">
        <v>241</v>
      </c>
    </row>
    <row r="370" spans="1:8">
      <c r="A370">
        <v>20240104</v>
      </c>
      <c r="B370" s="1">
        <v>45295</v>
      </c>
      <c r="C370">
        <v>2024</v>
      </c>
      <c r="D370">
        <v>1</v>
      </c>
      <c r="E370">
        <v>1</v>
      </c>
      <c r="F370" t="s">
        <v>215</v>
      </c>
      <c r="G370" t="s">
        <v>240</v>
      </c>
      <c r="H370" t="s">
        <v>241</v>
      </c>
    </row>
    <row r="371" spans="1:8">
      <c r="A371">
        <v>20240105</v>
      </c>
      <c r="B371" s="1">
        <v>45296</v>
      </c>
      <c r="C371">
        <v>2024</v>
      </c>
      <c r="D371">
        <v>1</v>
      </c>
      <c r="E371">
        <v>1</v>
      </c>
      <c r="F371" t="s">
        <v>215</v>
      </c>
      <c r="G371" t="s">
        <v>240</v>
      </c>
      <c r="H371" t="s">
        <v>241</v>
      </c>
    </row>
    <row r="372" spans="1:8">
      <c r="A372">
        <v>20240106</v>
      </c>
      <c r="B372" s="1">
        <v>45297</v>
      </c>
      <c r="C372">
        <v>2024</v>
      </c>
      <c r="D372">
        <v>1</v>
      </c>
      <c r="E372">
        <v>1</v>
      </c>
      <c r="F372" t="s">
        <v>215</v>
      </c>
      <c r="G372" t="s">
        <v>240</v>
      </c>
      <c r="H372" t="s">
        <v>241</v>
      </c>
    </row>
    <row r="373" spans="1:8">
      <c r="A373">
        <v>20240107</v>
      </c>
      <c r="B373" s="1">
        <v>45298</v>
      </c>
      <c r="C373">
        <v>2024</v>
      </c>
      <c r="D373">
        <v>1</v>
      </c>
      <c r="E373">
        <v>1</v>
      </c>
      <c r="F373" t="s">
        <v>215</v>
      </c>
      <c r="G373" t="s">
        <v>240</v>
      </c>
      <c r="H373" t="s">
        <v>241</v>
      </c>
    </row>
    <row r="374" spans="1:8">
      <c r="A374">
        <v>20240108</v>
      </c>
      <c r="B374" s="1">
        <v>45299</v>
      </c>
      <c r="C374">
        <v>2024</v>
      </c>
      <c r="D374">
        <v>1</v>
      </c>
      <c r="E374">
        <v>1</v>
      </c>
      <c r="F374" t="s">
        <v>215</v>
      </c>
      <c r="G374" t="s">
        <v>240</v>
      </c>
      <c r="H374" t="s">
        <v>241</v>
      </c>
    </row>
    <row r="375" spans="1:8">
      <c r="A375">
        <v>20240109</v>
      </c>
      <c r="B375" s="1">
        <v>45300</v>
      </c>
      <c r="C375">
        <v>2024</v>
      </c>
      <c r="D375">
        <v>1</v>
      </c>
      <c r="E375">
        <v>1</v>
      </c>
      <c r="F375" t="s">
        <v>215</v>
      </c>
      <c r="G375" t="s">
        <v>240</v>
      </c>
      <c r="H375" t="s">
        <v>241</v>
      </c>
    </row>
    <row r="376" spans="1:8">
      <c r="A376">
        <v>20240110</v>
      </c>
      <c r="B376" s="1">
        <v>45301</v>
      </c>
      <c r="C376">
        <v>2024</v>
      </c>
      <c r="D376">
        <v>1</v>
      </c>
      <c r="E376">
        <v>1</v>
      </c>
      <c r="F376" t="s">
        <v>215</v>
      </c>
      <c r="G376" t="s">
        <v>240</v>
      </c>
      <c r="H376" t="s">
        <v>241</v>
      </c>
    </row>
    <row r="377" spans="1:8">
      <c r="A377">
        <v>20240111</v>
      </c>
      <c r="B377" s="1">
        <v>45302</v>
      </c>
      <c r="C377">
        <v>2024</v>
      </c>
      <c r="D377">
        <v>1</v>
      </c>
      <c r="E377">
        <v>1</v>
      </c>
      <c r="F377" t="s">
        <v>215</v>
      </c>
      <c r="G377" t="s">
        <v>240</v>
      </c>
      <c r="H377" t="s">
        <v>241</v>
      </c>
    </row>
    <row r="378" spans="1:8">
      <c r="A378">
        <v>20240112</v>
      </c>
      <c r="B378" s="1">
        <v>45303</v>
      </c>
      <c r="C378">
        <v>2024</v>
      </c>
      <c r="D378">
        <v>1</v>
      </c>
      <c r="E378">
        <v>1</v>
      </c>
      <c r="F378" t="s">
        <v>215</v>
      </c>
      <c r="G378" t="s">
        <v>240</v>
      </c>
      <c r="H378" t="s">
        <v>241</v>
      </c>
    </row>
    <row r="379" spans="1:8">
      <c r="A379">
        <v>20240113</v>
      </c>
      <c r="B379" s="1">
        <v>45304</v>
      </c>
      <c r="C379">
        <v>2024</v>
      </c>
      <c r="D379">
        <v>1</v>
      </c>
      <c r="E379">
        <v>1</v>
      </c>
      <c r="F379" t="s">
        <v>215</v>
      </c>
      <c r="G379" t="s">
        <v>240</v>
      </c>
      <c r="H379" t="s">
        <v>241</v>
      </c>
    </row>
    <row r="380" spans="1:8">
      <c r="A380">
        <v>20240114</v>
      </c>
      <c r="B380" s="1">
        <v>45305</v>
      </c>
      <c r="C380">
        <v>2024</v>
      </c>
      <c r="D380">
        <v>1</v>
      </c>
      <c r="E380">
        <v>1</v>
      </c>
      <c r="F380" t="s">
        <v>215</v>
      </c>
      <c r="G380" t="s">
        <v>240</v>
      </c>
      <c r="H380" t="s">
        <v>241</v>
      </c>
    </row>
    <row r="381" spans="1:8">
      <c r="A381">
        <v>20240115</v>
      </c>
      <c r="B381" s="1">
        <v>45306</v>
      </c>
      <c r="C381">
        <v>2024</v>
      </c>
      <c r="D381">
        <v>1</v>
      </c>
      <c r="E381">
        <v>1</v>
      </c>
      <c r="F381" t="s">
        <v>215</v>
      </c>
      <c r="G381" t="s">
        <v>240</v>
      </c>
      <c r="H381" t="s">
        <v>241</v>
      </c>
    </row>
    <row r="382" spans="1:8">
      <c r="A382">
        <v>20240116</v>
      </c>
      <c r="B382" s="1">
        <v>45307</v>
      </c>
      <c r="C382">
        <v>2024</v>
      </c>
      <c r="D382">
        <v>1</v>
      </c>
      <c r="E382">
        <v>1</v>
      </c>
      <c r="F382" t="s">
        <v>215</v>
      </c>
      <c r="G382" t="s">
        <v>240</v>
      </c>
      <c r="H382" t="s">
        <v>241</v>
      </c>
    </row>
    <row r="383" spans="1:8">
      <c r="A383">
        <v>20240117</v>
      </c>
      <c r="B383" s="1">
        <v>45308</v>
      </c>
      <c r="C383">
        <v>2024</v>
      </c>
      <c r="D383">
        <v>1</v>
      </c>
      <c r="E383">
        <v>1</v>
      </c>
      <c r="F383" t="s">
        <v>215</v>
      </c>
      <c r="G383" t="s">
        <v>240</v>
      </c>
      <c r="H383" t="s">
        <v>241</v>
      </c>
    </row>
    <row r="384" spans="1:8">
      <c r="A384">
        <v>20240118</v>
      </c>
      <c r="B384" s="1">
        <v>45309</v>
      </c>
      <c r="C384">
        <v>2024</v>
      </c>
      <c r="D384">
        <v>1</v>
      </c>
      <c r="E384">
        <v>1</v>
      </c>
      <c r="F384" t="s">
        <v>215</v>
      </c>
      <c r="G384" t="s">
        <v>240</v>
      </c>
      <c r="H384" t="s">
        <v>241</v>
      </c>
    </row>
    <row r="385" spans="1:8">
      <c r="A385">
        <v>20240119</v>
      </c>
      <c r="B385" s="1">
        <v>45310</v>
      </c>
      <c r="C385">
        <v>2024</v>
      </c>
      <c r="D385">
        <v>1</v>
      </c>
      <c r="E385">
        <v>1</v>
      </c>
      <c r="F385" t="s">
        <v>215</v>
      </c>
      <c r="G385" t="s">
        <v>240</v>
      </c>
      <c r="H385" t="s">
        <v>241</v>
      </c>
    </row>
    <row r="386" spans="1:8">
      <c r="A386">
        <v>20240120</v>
      </c>
      <c r="B386" s="1">
        <v>45311</v>
      </c>
      <c r="C386">
        <v>2024</v>
      </c>
      <c r="D386">
        <v>1</v>
      </c>
      <c r="E386">
        <v>1</v>
      </c>
      <c r="F386" t="s">
        <v>215</v>
      </c>
      <c r="G386" t="s">
        <v>240</v>
      </c>
      <c r="H386" t="s">
        <v>241</v>
      </c>
    </row>
    <row r="387" spans="1:8">
      <c r="A387">
        <v>20240121</v>
      </c>
      <c r="B387" s="1">
        <v>45312</v>
      </c>
      <c r="C387">
        <v>2024</v>
      </c>
      <c r="D387">
        <v>1</v>
      </c>
      <c r="E387">
        <v>1</v>
      </c>
      <c r="F387" t="s">
        <v>215</v>
      </c>
      <c r="G387" t="s">
        <v>240</v>
      </c>
      <c r="H387" t="s">
        <v>241</v>
      </c>
    </row>
    <row r="388" spans="1:8">
      <c r="A388">
        <v>20240122</v>
      </c>
      <c r="B388" s="1">
        <v>45313</v>
      </c>
      <c r="C388">
        <v>2024</v>
      </c>
      <c r="D388">
        <v>1</v>
      </c>
      <c r="E388">
        <v>1</v>
      </c>
      <c r="F388" t="s">
        <v>215</v>
      </c>
      <c r="G388" t="s">
        <v>240</v>
      </c>
      <c r="H388" t="s">
        <v>241</v>
      </c>
    </row>
    <row r="389" spans="1:8">
      <c r="A389">
        <v>20240123</v>
      </c>
      <c r="B389" s="1">
        <v>45314</v>
      </c>
      <c r="C389">
        <v>2024</v>
      </c>
      <c r="D389">
        <v>1</v>
      </c>
      <c r="E389">
        <v>1</v>
      </c>
      <c r="F389" t="s">
        <v>215</v>
      </c>
      <c r="G389" t="s">
        <v>240</v>
      </c>
      <c r="H389" t="s">
        <v>241</v>
      </c>
    </row>
    <row r="390" spans="1:8">
      <c r="A390">
        <v>20240124</v>
      </c>
      <c r="B390" s="1">
        <v>45315</v>
      </c>
      <c r="C390">
        <v>2024</v>
      </c>
      <c r="D390">
        <v>1</v>
      </c>
      <c r="E390">
        <v>1</v>
      </c>
      <c r="F390" t="s">
        <v>215</v>
      </c>
      <c r="G390" t="s">
        <v>240</v>
      </c>
      <c r="H390" t="s">
        <v>241</v>
      </c>
    </row>
    <row r="391" spans="1:8">
      <c r="A391">
        <v>20240125</v>
      </c>
      <c r="B391" s="1">
        <v>45316</v>
      </c>
      <c r="C391">
        <v>2024</v>
      </c>
      <c r="D391">
        <v>1</v>
      </c>
      <c r="E391">
        <v>1</v>
      </c>
      <c r="F391" t="s">
        <v>215</v>
      </c>
      <c r="G391" t="s">
        <v>240</v>
      </c>
      <c r="H391" t="s">
        <v>241</v>
      </c>
    </row>
    <row r="392" spans="1:8">
      <c r="A392">
        <v>20240126</v>
      </c>
      <c r="B392" s="1">
        <v>45317</v>
      </c>
      <c r="C392">
        <v>2024</v>
      </c>
      <c r="D392">
        <v>1</v>
      </c>
      <c r="E392">
        <v>1</v>
      </c>
      <c r="F392" t="s">
        <v>215</v>
      </c>
      <c r="G392" t="s">
        <v>240</v>
      </c>
      <c r="H392" t="s">
        <v>241</v>
      </c>
    </row>
    <row r="393" spans="1:8">
      <c r="A393">
        <v>20240127</v>
      </c>
      <c r="B393" s="1">
        <v>45318</v>
      </c>
      <c r="C393">
        <v>2024</v>
      </c>
      <c r="D393">
        <v>1</v>
      </c>
      <c r="E393">
        <v>1</v>
      </c>
      <c r="F393" t="s">
        <v>215</v>
      </c>
      <c r="G393" t="s">
        <v>240</v>
      </c>
      <c r="H393" t="s">
        <v>241</v>
      </c>
    </row>
    <row r="394" spans="1:8">
      <c r="A394">
        <v>20240128</v>
      </c>
      <c r="B394" s="1">
        <v>45319</v>
      </c>
      <c r="C394">
        <v>2024</v>
      </c>
      <c r="D394">
        <v>1</v>
      </c>
      <c r="E394">
        <v>1</v>
      </c>
      <c r="F394" t="s">
        <v>215</v>
      </c>
      <c r="G394" t="s">
        <v>240</v>
      </c>
      <c r="H394" t="s">
        <v>241</v>
      </c>
    </row>
    <row r="395" spans="1:8">
      <c r="A395">
        <v>20240129</v>
      </c>
      <c r="B395" s="1">
        <v>45320</v>
      </c>
      <c r="C395">
        <v>2024</v>
      </c>
      <c r="D395">
        <v>1</v>
      </c>
      <c r="E395">
        <v>1</v>
      </c>
      <c r="F395" t="s">
        <v>215</v>
      </c>
      <c r="G395" t="s">
        <v>240</v>
      </c>
      <c r="H395" t="s">
        <v>241</v>
      </c>
    </row>
    <row r="396" spans="1:8">
      <c r="A396">
        <v>20240130</v>
      </c>
      <c r="B396" s="1">
        <v>45321</v>
      </c>
      <c r="C396">
        <v>2024</v>
      </c>
      <c r="D396">
        <v>1</v>
      </c>
      <c r="E396">
        <v>1</v>
      </c>
      <c r="F396" t="s">
        <v>215</v>
      </c>
      <c r="G396" t="s">
        <v>240</v>
      </c>
      <c r="H396" t="s">
        <v>241</v>
      </c>
    </row>
    <row r="397" spans="1:8">
      <c r="A397">
        <v>20240131</v>
      </c>
      <c r="B397" s="1">
        <v>45322</v>
      </c>
      <c r="C397">
        <v>2024</v>
      </c>
      <c r="D397">
        <v>1</v>
      </c>
      <c r="E397">
        <v>1</v>
      </c>
      <c r="F397" t="s">
        <v>215</v>
      </c>
      <c r="G397" t="s">
        <v>240</v>
      </c>
      <c r="H397" t="s">
        <v>241</v>
      </c>
    </row>
    <row r="398" spans="1:8">
      <c r="A398">
        <v>20240201</v>
      </c>
      <c r="B398" s="1">
        <v>45323</v>
      </c>
      <c r="C398">
        <v>2024</v>
      </c>
      <c r="D398">
        <v>1</v>
      </c>
      <c r="E398">
        <v>2</v>
      </c>
      <c r="F398" t="s">
        <v>218</v>
      </c>
      <c r="G398" t="s">
        <v>242</v>
      </c>
      <c r="H398" t="s">
        <v>241</v>
      </c>
    </row>
    <row r="399" spans="1:8">
      <c r="A399">
        <v>20240202</v>
      </c>
      <c r="B399" s="1">
        <v>45324</v>
      </c>
      <c r="C399">
        <v>2024</v>
      </c>
      <c r="D399">
        <v>1</v>
      </c>
      <c r="E399">
        <v>2</v>
      </c>
      <c r="F399" t="s">
        <v>218</v>
      </c>
      <c r="G399" t="s">
        <v>242</v>
      </c>
      <c r="H399" t="s">
        <v>241</v>
      </c>
    </row>
    <row r="400" spans="1:8">
      <c r="A400">
        <v>20240203</v>
      </c>
      <c r="B400" s="1">
        <v>45325</v>
      </c>
      <c r="C400">
        <v>2024</v>
      </c>
      <c r="D400">
        <v>1</v>
      </c>
      <c r="E400">
        <v>2</v>
      </c>
      <c r="F400" t="s">
        <v>218</v>
      </c>
      <c r="G400" t="s">
        <v>242</v>
      </c>
      <c r="H400" t="s">
        <v>241</v>
      </c>
    </row>
    <row r="401" spans="1:8">
      <c r="A401">
        <v>20240204</v>
      </c>
      <c r="B401" s="1">
        <v>45326</v>
      </c>
      <c r="C401">
        <v>2024</v>
      </c>
      <c r="D401">
        <v>1</v>
      </c>
      <c r="E401">
        <v>2</v>
      </c>
      <c r="F401" t="s">
        <v>218</v>
      </c>
      <c r="G401" t="s">
        <v>242</v>
      </c>
      <c r="H401" t="s">
        <v>241</v>
      </c>
    </row>
    <row r="402" spans="1:8">
      <c r="A402">
        <v>20240205</v>
      </c>
      <c r="B402" s="1">
        <v>45327</v>
      </c>
      <c r="C402">
        <v>2024</v>
      </c>
      <c r="D402">
        <v>1</v>
      </c>
      <c r="E402">
        <v>2</v>
      </c>
      <c r="F402" t="s">
        <v>218</v>
      </c>
      <c r="G402" t="s">
        <v>242</v>
      </c>
      <c r="H402" t="s">
        <v>241</v>
      </c>
    </row>
    <row r="403" spans="1:8">
      <c r="A403">
        <v>20240206</v>
      </c>
      <c r="B403" s="1">
        <v>45328</v>
      </c>
      <c r="C403">
        <v>2024</v>
      </c>
      <c r="D403">
        <v>1</v>
      </c>
      <c r="E403">
        <v>2</v>
      </c>
      <c r="F403" t="s">
        <v>218</v>
      </c>
      <c r="G403" t="s">
        <v>242</v>
      </c>
      <c r="H403" t="s">
        <v>241</v>
      </c>
    </row>
    <row r="404" spans="1:8">
      <c r="A404">
        <v>20240207</v>
      </c>
      <c r="B404" s="1">
        <v>45329</v>
      </c>
      <c r="C404">
        <v>2024</v>
      </c>
      <c r="D404">
        <v>1</v>
      </c>
      <c r="E404">
        <v>2</v>
      </c>
      <c r="F404" t="s">
        <v>218</v>
      </c>
      <c r="G404" t="s">
        <v>242</v>
      </c>
      <c r="H404" t="s">
        <v>241</v>
      </c>
    </row>
    <row r="405" spans="1:8">
      <c r="A405">
        <v>20240208</v>
      </c>
      <c r="B405" s="1">
        <v>45330</v>
      </c>
      <c r="C405">
        <v>2024</v>
      </c>
      <c r="D405">
        <v>1</v>
      </c>
      <c r="E405">
        <v>2</v>
      </c>
      <c r="F405" t="s">
        <v>218</v>
      </c>
      <c r="G405" t="s">
        <v>242</v>
      </c>
      <c r="H405" t="s">
        <v>241</v>
      </c>
    </row>
    <row r="406" spans="1:8">
      <c r="A406">
        <v>20240209</v>
      </c>
      <c r="B406" s="1">
        <v>45331</v>
      </c>
      <c r="C406">
        <v>2024</v>
      </c>
      <c r="D406">
        <v>1</v>
      </c>
      <c r="E406">
        <v>2</v>
      </c>
      <c r="F406" t="s">
        <v>218</v>
      </c>
      <c r="G406" t="s">
        <v>242</v>
      </c>
      <c r="H406" t="s">
        <v>241</v>
      </c>
    </row>
    <row r="407" spans="1:8">
      <c r="A407">
        <v>20240210</v>
      </c>
      <c r="B407" s="1">
        <v>45332</v>
      </c>
      <c r="C407">
        <v>2024</v>
      </c>
      <c r="D407">
        <v>1</v>
      </c>
      <c r="E407">
        <v>2</v>
      </c>
      <c r="F407" t="s">
        <v>218</v>
      </c>
      <c r="G407" t="s">
        <v>242</v>
      </c>
      <c r="H407" t="s">
        <v>241</v>
      </c>
    </row>
    <row r="408" spans="1:8">
      <c r="A408">
        <v>20240211</v>
      </c>
      <c r="B408" s="1">
        <v>45333</v>
      </c>
      <c r="C408">
        <v>2024</v>
      </c>
      <c r="D408">
        <v>1</v>
      </c>
      <c r="E408">
        <v>2</v>
      </c>
      <c r="F408" t="s">
        <v>218</v>
      </c>
      <c r="G408" t="s">
        <v>242</v>
      </c>
      <c r="H408" t="s">
        <v>241</v>
      </c>
    </row>
    <row r="409" spans="1:8">
      <c r="A409">
        <v>20240212</v>
      </c>
      <c r="B409" s="1">
        <v>45334</v>
      </c>
      <c r="C409">
        <v>2024</v>
      </c>
      <c r="D409">
        <v>1</v>
      </c>
      <c r="E409">
        <v>2</v>
      </c>
      <c r="F409" t="s">
        <v>218</v>
      </c>
      <c r="G409" t="s">
        <v>242</v>
      </c>
      <c r="H409" t="s">
        <v>241</v>
      </c>
    </row>
    <row r="410" spans="1:8">
      <c r="A410">
        <v>20240213</v>
      </c>
      <c r="B410" s="1">
        <v>45335</v>
      </c>
      <c r="C410">
        <v>2024</v>
      </c>
      <c r="D410">
        <v>1</v>
      </c>
      <c r="E410">
        <v>2</v>
      </c>
      <c r="F410" t="s">
        <v>218</v>
      </c>
      <c r="G410" t="s">
        <v>242</v>
      </c>
      <c r="H410" t="s">
        <v>241</v>
      </c>
    </row>
    <row r="411" spans="1:8">
      <c r="A411">
        <v>20240214</v>
      </c>
      <c r="B411" s="1">
        <v>45336</v>
      </c>
      <c r="C411">
        <v>2024</v>
      </c>
      <c r="D411">
        <v>1</v>
      </c>
      <c r="E411">
        <v>2</v>
      </c>
      <c r="F411" t="s">
        <v>218</v>
      </c>
      <c r="G411" t="s">
        <v>242</v>
      </c>
      <c r="H411" t="s">
        <v>241</v>
      </c>
    </row>
    <row r="412" spans="1:8">
      <c r="A412">
        <v>20240215</v>
      </c>
      <c r="B412" s="1">
        <v>45337</v>
      </c>
      <c r="C412">
        <v>2024</v>
      </c>
      <c r="D412">
        <v>1</v>
      </c>
      <c r="E412">
        <v>2</v>
      </c>
      <c r="F412" t="s">
        <v>218</v>
      </c>
      <c r="G412" t="s">
        <v>242</v>
      </c>
      <c r="H412" t="s">
        <v>241</v>
      </c>
    </row>
    <row r="413" spans="1:8">
      <c r="A413">
        <v>20240216</v>
      </c>
      <c r="B413" s="1">
        <v>45338</v>
      </c>
      <c r="C413">
        <v>2024</v>
      </c>
      <c r="D413">
        <v>1</v>
      </c>
      <c r="E413">
        <v>2</v>
      </c>
      <c r="F413" t="s">
        <v>218</v>
      </c>
      <c r="G413" t="s">
        <v>242</v>
      </c>
      <c r="H413" t="s">
        <v>241</v>
      </c>
    </row>
    <row r="414" spans="1:8">
      <c r="A414">
        <v>20240217</v>
      </c>
      <c r="B414" s="1">
        <v>45339</v>
      </c>
      <c r="C414">
        <v>2024</v>
      </c>
      <c r="D414">
        <v>1</v>
      </c>
      <c r="E414">
        <v>2</v>
      </c>
      <c r="F414" t="s">
        <v>218</v>
      </c>
      <c r="G414" t="s">
        <v>242</v>
      </c>
      <c r="H414" t="s">
        <v>241</v>
      </c>
    </row>
    <row r="415" spans="1:8">
      <c r="A415">
        <v>20240218</v>
      </c>
      <c r="B415" s="1">
        <v>45340</v>
      </c>
      <c r="C415">
        <v>2024</v>
      </c>
      <c r="D415">
        <v>1</v>
      </c>
      <c r="E415">
        <v>2</v>
      </c>
      <c r="F415" t="s">
        <v>218</v>
      </c>
      <c r="G415" t="s">
        <v>242</v>
      </c>
      <c r="H415" t="s">
        <v>241</v>
      </c>
    </row>
    <row r="416" spans="1:8">
      <c r="A416">
        <v>20240219</v>
      </c>
      <c r="B416" s="1">
        <v>45341</v>
      </c>
      <c r="C416">
        <v>2024</v>
      </c>
      <c r="D416">
        <v>1</v>
      </c>
      <c r="E416">
        <v>2</v>
      </c>
      <c r="F416" t="s">
        <v>218</v>
      </c>
      <c r="G416" t="s">
        <v>242</v>
      </c>
      <c r="H416" t="s">
        <v>241</v>
      </c>
    </row>
    <row r="417" spans="1:8">
      <c r="A417">
        <v>20240220</v>
      </c>
      <c r="B417" s="1">
        <v>45342</v>
      </c>
      <c r="C417">
        <v>2024</v>
      </c>
      <c r="D417">
        <v>1</v>
      </c>
      <c r="E417">
        <v>2</v>
      </c>
      <c r="F417" t="s">
        <v>218</v>
      </c>
      <c r="G417" t="s">
        <v>242</v>
      </c>
      <c r="H417" t="s">
        <v>241</v>
      </c>
    </row>
    <row r="418" spans="1:8">
      <c r="A418">
        <v>20240221</v>
      </c>
      <c r="B418" s="1">
        <v>45343</v>
      </c>
      <c r="C418">
        <v>2024</v>
      </c>
      <c r="D418">
        <v>1</v>
      </c>
      <c r="E418">
        <v>2</v>
      </c>
      <c r="F418" t="s">
        <v>218</v>
      </c>
      <c r="G418" t="s">
        <v>242</v>
      </c>
      <c r="H418" t="s">
        <v>241</v>
      </c>
    </row>
    <row r="419" spans="1:8">
      <c r="A419">
        <v>20240222</v>
      </c>
      <c r="B419" s="1">
        <v>45344</v>
      </c>
      <c r="C419">
        <v>2024</v>
      </c>
      <c r="D419">
        <v>1</v>
      </c>
      <c r="E419">
        <v>2</v>
      </c>
      <c r="F419" t="s">
        <v>218</v>
      </c>
      <c r="G419" t="s">
        <v>242</v>
      </c>
      <c r="H419" t="s">
        <v>241</v>
      </c>
    </row>
    <row r="420" spans="1:8">
      <c r="A420">
        <v>20240223</v>
      </c>
      <c r="B420" s="1">
        <v>45345</v>
      </c>
      <c r="C420">
        <v>2024</v>
      </c>
      <c r="D420">
        <v>1</v>
      </c>
      <c r="E420">
        <v>2</v>
      </c>
      <c r="F420" t="s">
        <v>218</v>
      </c>
      <c r="G420" t="s">
        <v>242</v>
      </c>
      <c r="H420" t="s">
        <v>241</v>
      </c>
    </row>
    <row r="421" spans="1:8">
      <c r="A421">
        <v>20240224</v>
      </c>
      <c r="B421" s="1">
        <v>45346</v>
      </c>
      <c r="C421">
        <v>2024</v>
      </c>
      <c r="D421">
        <v>1</v>
      </c>
      <c r="E421">
        <v>2</v>
      </c>
      <c r="F421" t="s">
        <v>218</v>
      </c>
      <c r="G421" t="s">
        <v>242</v>
      </c>
      <c r="H421" t="s">
        <v>241</v>
      </c>
    </row>
    <row r="422" spans="1:8">
      <c r="A422">
        <v>20240225</v>
      </c>
      <c r="B422" s="1">
        <v>45347</v>
      </c>
      <c r="C422">
        <v>2024</v>
      </c>
      <c r="D422">
        <v>1</v>
      </c>
      <c r="E422">
        <v>2</v>
      </c>
      <c r="F422" t="s">
        <v>218</v>
      </c>
      <c r="G422" t="s">
        <v>242</v>
      </c>
      <c r="H422" t="s">
        <v>241</v>
      </c>
    </row>
    <row r="423" spans="1:8">
      <c r="A423">
        <v>20240226</v>
      </c>
      <c r="B423" s="1">
        <v>45348</v>
      </c>
      <c r="C423">
        <v>2024</v>
      </c>
      <c r="D423">
        <v>1</v>
      </c>
      <c r="E423">
        <v>2</v>
      </c>
      <c r="F423" t="s">
        <v>218</v>
      </c>
      <c r="G423" t="s">
        <v>242</v>
      </c>
      <c r="H423" t="s">
        <v>241</v>
      </c>
    </row>
    <row r="424" spans="1:8">
      <c r="A424">
        <v>20240227</v>
      </c>
      <c r="B424" s="1">
        <v>45349</v>
      </c>
      <c r="C424">
        <v>2024</v>
      </c>
      <c r="D424">
        <v>1</v>
      </c>
      <c r="E424">
        <v>2</v>
      </c>
      <c r="F424" t="s">
        <v>218</v>
      </c>
      <c r="G424" t="s">
        <v>242</v>
      </c>
      <c r="H424" t="s">
        <v>241</v>
      </c>
    </row>
    <row r="425" spans="1:8">
      <c r="A425">
        <v>20240228</v>
      </c>
      <c r="B425" s="1">
        <v>45350</v>
      </c>
      <c r="C425">
        <v>2024</v>
      </c>
      <c r="D425">
        <v>1</v>
      </c>
      <c r="E425">
        <v>2</v>
      </c>
      <c r="F425" t="s">
        <v>218</v>
      </c>
      <c r="G425" t="s">
        <v>242</v>
      </c>
      <c r="H425" t="s">
        <v>241</v>
      </c>
    </row>
    <row r="426" spans="1:8">
      <c r="A426">
        <v>20240229</v>
      </c>
      <c r="B426" s="1">
        <v>45351</v>
      </c>
      <c r="C426">
        <v>2024</v>
      </c>
      <c r="D426">
        <v>1</v>
      </c>
      <c r="E426">
        <v>2</v>
      </c>
      <c r="F426" t="s">
        <v>218</v>
      </c>
      <c r="G426" t="s">
        <v>242</v>
      </c>
      <c r="H426" t="s">
        <v>241</v>
      </c>
    </row>
    <row r="427" spans="1:8">
      <c r="A427">
        <v>20240301</v>
      </c>
      <c r="B427" s="1">
        <v>45352</v>
      </c>
      <c r="C427">
        <v>2024</v>
      </c>
      <c r="D427">
        <v>1</v>
      </c>
      <c r="E427">
        <v>3</v>
      </c>
      <c r="F427" t="s">
        <v>220</v>
      </c>
      <c r="G427" t="s">
        <v>243</v>
      </c>
      <c r="H427" t="s">
        <v>241</v>
      </c>
    </row>
    <row r="428" spans="1:8">
      <c r="A428">
        <v>20240302</v>
      </c>
      <c r="B428" s="1">
        <v>45353</v>
      </c>
      <c r="C428">
        <v>2024</v>
      </c>
      <c r="D428">
        <v>1</v>
      </c>
      <c r="E428">
        <v>3</v>
      </c>
      <c r="F428" t="s">
        <v>220</v>
      </c>
      <c r="G428" t="s">
        <v>243</v>
      </c>
      <c r="H428" t="s">
        <v>241</v>
      </c>
    </row>
    <row r="429" spans="1:8">
      <c r="A429">
        <v>20240303</v>
      </c>
      <c r="B429" s="1">
        <v>45354</v>
      </c>
      <c r="C429">
        <v>2024</v>
      </c>
      <c r="D429">
        <v>1</v>
      </c>
      <c r="E429">
        <v>3</v>
      </c>
      <c r="F429" t="s">
        <v>220</v>
      </c>
      <c r="G429" t="s">
        <v>243</v>
      </c>
      <c r="H429" t="s">
        <v>241</v>
      </c>
    </row>
    <row r="430" spans="1:8">
      <c r="A430">
        <v>20240304</v>
      </c>
      <c r="B430" s="1">
        <v>45355</v>
      </c>
      <c r="C430">
        <v>2024</v>
      </c>
      <c r="D430">
        <v>1</v>
      </c>
      <c r="E430">
        <v>3</v>
      </c>
      <c r="F430" t="s">
        <v>220</v>
      </c>
      <c r="G430" t="s">
        <v>243</v>
      </c>
      <c r="H430" t="s">
        <v>241</v>
      </c>
    </row>
    <row r="431" spans="1:8">
      <c r="A431">
        <v>20240305</v>
      </c>
      <c r="B431" s="1">
        <v>45356</v>
      </c>
      <c r="C431">
        <v>2024</v>
      </c>
      <c r="D431">
        <v>1</v>
      </c>
      <c r="E431">
        <v>3</v>
      </c>
      <c r="F431" t="s">
        <v>220</v>
      </c>
      <c r="G431" t="s">
        <v>243</v>
      </c>
      <c r="H431" t="s">
        <v>241</v>
      </c>
    </row>
    <row r="432" spans="1:8">
      <c r="A432">
        <v>20240306</v>
      </c>
      <c r="B432" s="1">
        <v>45357</v>
      </c>
      <c r="C432">
        <v>2024</v>
      </c>
      <c r="D432">
        <v>1</v>
      </c>
      <c r="E432">
        <v>3</v>
      </c>
      <c r="F432" t="s">
        <v>220</v>
      </c>
      <c r="G432" t="s">
        <v>243</v>
      </c>
      <c r="H432" t="s">
        <v>241</v>
      </c>
    </row>
    <row r="433" spans="1:8">
      <c r="A433">
        <v>20240307</v>
      </c>
      <c r="B433" s="1">
        <v>45358</v>
      </c>
      <c r="C433">
        <v>2024</v>
      </c>
      <c r="D433">
        <v>1</v>
      </c>
      <c r="E433">
        <v>3</v>
      </c>
      <c r="F433" t="s">
        <v>220</v>
      </c>
      <c r="G433" t="s">
        <v>243</v>
      </c>
      <c r="H433" t="s">
        <v>241</v>
      </c>
    </row>
    <row r="434" spans="1:8">
      <c r="A434">
        <v>20240308</v>
      </c>
      <c r="B434" s="1">
        <v>45359</v>
      </c>
      <c r="C434">
        <v>2024</v>
      </c>
      <c r="D434">
        <v>1</v>
      </c>
      <c r="E434">
        <v>3</v>
      </c>
      <c r="F434" t="s">
        <v>220</v>
      </c>
      <c r="G434" t="s">
        <v>243</v>
      </c>
      <c r="H434" t="s">
        <v>241</v>
      </c>
    </row>
    <row r="435" spans="1:8">
      <c r="A435">
        <v>20240309</v>
      </c>
      <c r="B435" s="1">
        <v>45360</v>
      </c>
      <c r="C435">
        <v>2024</v>
      </c>
      <c r="D435">
        <v>1</v>
      </c>
      <c r="E435">
        <v>3</v>
      </c>
      <c r="F435" t="s">
        <v>220</v>
      </c>
      <c r="G435" t="s">
        <v>243</v>
      </c>
      <c r="H435" t="s">
        <v>241</v>
      </c>
    </row>
    <row r="436" spans="1:8">
      <c r="A436">
        <v>20240310</v>
      </c>
      <c r="B436" s="1">
        <v>45361</v>
      </c>
      <c r="C436">
        <v>2024</v>
      </c>
      <c r="D436">
        <v>1</v>
      </c>
      <c r="E436">
        <v>3</v>
      </c>
      <c r="F436" t="s">
        <v>220</v>
      </c>
      <c r="G436" t="s">
        <v>243</v>
      </c>
      <c r="H436" t="s">
        <v>241</v>
      </c>
    </row>
    <row r="437" spans="1:8">
      <c r="A437">
        <v>20240311</v>
      </c>
      <c r="B437" s="1">
        <v>45362</v>
      </c>
      <c r="C437">
        <v>2024</v>
      </c>
      <c r="D437">
        <v>1</v>
      </c>
      <c r="E437">
        <v>3</v>
      </c>
      <c r="F437" t="s">
        <v>220</v>
      </c>
      <c r="G437" t="s">
        <v>243</v>
      </c>
      <c r="H437" t="s">
        <v>241</v>
      </c>
    </row>
    <row r="438" spans="1:8">
      <c r="A438">
        <v>20240312</v>
      </c>
      <c r="B438" s="1">
        <v>45363</v>
      </c>
      <c r="C438">
        <v>2024</v>
      </c>
      <c r="D438">
        <v>1</v>
      </c>
      <c r="E438">
        <v>3</v>
      </c>
      <c r="F438" t="s">
        <v>220</v>
      </c>
      <c r="G438" t="s">
        <v>243</v>
      </c>
      <c r="H438" t="s">
        <v>241</v>
      </c>
    </row>
    <row r="439" spans="1:8">
      <c r="A439">
        <v>20240313</v>
      </c>
      <c r="B439" s="1">
        <v>45364</v>
      </c>
      <c r="C439">
        <v>2024</v>
      </c>
      <c r="D439">
        <v>1</v>
      </c>
      <c r="E439">
        <v>3</v>
      </c>
      <c r="F439" t="s">
        <v>220</v>
      </c>
      <c r="G439" t="s">
        <v>243</v>
      </c>
      <c r="H439" t="s">
        <v>241</v>
      </c>
    </row>
    <row r="440" spans="1:8">
      <c r="A440">
        <v>20240314</v>
      </c>
      <c r="B440" s="1">
        <v>45365</v>
      </c>
      <c r="C440">
        <v>2024</v>
      </c>
      <c r="D440">
        <v>1</v>
      </c>
      <c r="E440">
        <v>3</v>
      </c>
      <c r="F440" t="s">
        <v>220</v>
      </c>
      <c r="G440" t="s">
        <v>243</v>
      </c>
      <c r="H440" t="s">
        <v>241</v>
      </c>
    </row>
    <row r="441" spans="1:8">
      <c r="A441">
        <v>20240315</v>
      </c>
      <c r="B441" s="1">
        <v>45366</v>
      </c>
      <c r="C441">
        <v>2024</v>
      </c>
      <c r="D441">
        <v>1</v>
      </c>
      <c r="E441">
        <v>3</v>
      </c>
      <c r="F441" t="s">
        <v>220</v>
      </c>
      <c r="G441" t="s">
        <v>243</v>
      </c>
      <c r="H441" t="s">
        <v>241</v>
      </c>
    </row>
    <row r="442" spans="1:8">
      <c r="A442">
        <v>20240316</v>
      </c>
      <c r="B442" s="1">
        <v>45367</v>
      </c>
      <c r="C442">
        <v>2024</v>
      </c>
      <c r="D442">
        <v>1</v>
      </c>
      <c r="E442">
        <v>3</v>
      </c>
      <c r="F442" t="s">
        <v>220</v>
      </c>
      <c r="G442" t="s">
        <v>243</v>
      </c>
      <c r="H442" t="s">
        <v>241</v>
      </c>
    </row>
    <row r="443" spans="1:8">
      <c r="A443">
        <v>20240317</v>
      </c>
      <c r="B443" s="1">
        <v>45368</v>
      </c>
      <c r="C443">
        <v>2024</v>
      </c>
      <c r="D443">
        <v>1</v>
      </c>
      <c r="E443">
        <v>3</v>
      </c>
      <c r="F443" t="s">
        <v>220</v>
      </c>
      <c r="G443" t="s">
        <v>243</v>
      </c>
      <c r="H443" t="s">
        <v>241</v>
      </c>
    </row>
    <row r="444" spans="1:8">
      <c r="A444">
        <v>20240318</v>
      </c>
      <c r="B444" s="1">
        <v>45369</v>
      </c>
      <c r="C444">
        <v>2024</v>
      </c>
      <c r="D444">
        <v>1</v>
      </c>
      <c r="E444">
        <v>3</v>
      </c>
      <c r="F444" t="s">
        <v>220</v>
      </c>
      <c r="G444" t="s">
        <v>243</v>
      </c>
      <c r="H444" t="s">
        <v>241</v>
      </c>
    </row>
    <row r="445" spans="1:8">
      <c r="A445">
        <v>20240319</v>
      </c>
      <c r="B445" s="1">
        <v>45370</v>
      </c>
      <c r="C445">
        <v>2024</v>
      </c>
      <c r="D445">
        <v>1</v>
      </c>
      <c r="E445">
        <v>3</v>
      </c>
      <c r="F445" t="s">
        <v>220</v>
      </c>
      <c r="G445" t="s">
        <v>243</v>
      </c>
      <c r="H445" t="s">
        <v>241</v>
      </c>
    </row>
    <row r="446" spans="1:8">
      <c r="A446">
        <v>20240320</v>
      </c>
      <c r="B446" s="1">
        <v>45371</v>
      </c>
      <c r="C446">
        <v>2024</v>
      </c>
      <c r="D446">
        <v>1</v>
      </c>
      <c r="E446">
        <v>3</v>
      </c>
      <c r="F446" t="s">
        <v>220</v>
      </c>
      <c r="G446" t="s">
        <v>243</v>
      </c>
      <c r="H446" t="s">
        <v>241</v>
      </c>
    </row>
    <row r="447" spans="1:8">
      <c r="A447">
        <v>20240321</v>
      </c>
      <c r="B447" s="1">
        <v>45372</v>
      </c>
      <c r="C447">
        <v>2024</v>
      </c>
      <c r="D447">
        <v>1</v>
      </c>
      <c r="E447">
        <v>3</v>
      </c>
      <c r="F447" t="s">
        <v>220</v>
      </c>
      <c r="G447" t="s">
        <v>243</v>
      </c>
      <c r="H447" t="s">
        <v>241</v>
      </c>
    </row>
    <row r="448" spans="1:8">
      <c r="A448">
        <v>20240322</v>
      </c>
      <c r="B448" s="1">
        <v>45373</v>
      </c>
      <c r="C448">
        <v>2024</v>
      </c>
      <c r="D448">
        <v>1</v>
      </c>
      <c r="E448">
        <v>3</v>
      </c>
      <c r="F448" t="s">
        <v>220</v>
      </c>
      <c r="G448" t="s">
        <v>243</v>
      </c>
      <c r="H448" t="s">
        <v>241</v>
      </c>
    </row>
    <row r="449" spans="1:8">
      <c r="A449">
        <v>20240323</v>
      </c>
      <c r="B449" s="1">
        <v>45374</v>
      </c>
      <c r="C449">
        <v>2024</v>
      </c>
      <c r="D449">
        <v>1</v>
      </c>
      <c r="E449">
        <v>3</v>
      </c>
      <c r="F449" t="s">
        <v>220</v>
      </c>
      <c r="G449" t="s">
        <v>243</v>
      </c>
      <c r="H449" t="s">
        <v>241</v>
      </c>
    </row>
    <row r="450" spans="1:8">
      <c r="A450">
        <v>20240324</v>
      </c>
      <c r="B450" s="1">
        <v>45375</v>
      </c>
      <c r="C450">
        <v>2024</v>
      </c>
      <c r="D450">
        <v>1</v>
      </c>
      <c r="E450">
        <v>3</v>
      </c>
      <c r="F450" t="s">
        <v>220</v>
      </c>
      <c r="G450" t="s">
        <v>243</v>
      </c>
      <c r="H450" t="s">
        <v>241</v>
      </c>
    </row>
    <row r="451" spans="1:8">
      <c r="A451">
        <v>20240325</v>
      </c>
      <c r="B451" s="1">
        <v>45376</v>
      </c>
      <c r="C451">
        <v>2024</v>
      </c>
      <c r="D451">
        <v>1</v>
      </c>
      <c r="E451">
        <v>3</v>
      </c>
      <c r="F451" t="s">
        <v>220</v>
      </c>
      <c r="G451" t="s">
        <v>243</v>
      </c>
      <c r="H451" t="s">
        <v>241</v>
      </c>
    </row>
    <row r="452" spans="1:8">
      <c r="A452">
        <v>20240326</v>
      </c>
      <c r="B452" s="1">
        <v>45377</v>
      </c>
      <c r="C452">
        <v>2024</v>
      </c>
      <c r="D452">
        <v>1</v>
      </c>
      <c r="E452">
        <v>3</v>
      </c>
      <c r="F452" t="s">
        <v>220</v>
      </c>
      <c r="G452" t="s">
        <v>243</v>
      </c>
      <c r="H452" t="s">
        <v>241</v>
      </c>
    </row>
    <row r="453" spans="1:8">
      <c r="A453">
        <v>20240327</v>
      </c>
      <c r="B453" s="1">
        <v>45378</v>
      </c>
      <c r="C453">
        <v>2024</v>
      </c>
      <c r="D453">
        <v>1</v>
      </c>
      <c r="E453">
        <v>3</v>
      </c>
      <c r="F453" t="s">
        <v>220</v>
      </c>
      <c r="G453" t="s">
        <v>243</v>
      </c>
      <c r="H453" t="s">
        <v>241</v>
      </c>
    </row>
    <row r="454" spans="1:8">
      <c r="A454">
        <v>20240328</v>
      </c>
      <c r="B454" s="1">
        <v>45379</v>
      </c>
      <c r="C454">
        <v>2024</v>
      </c>
      <c r="D454">
        <v>1</v>
      </c>
      <c r="E454">
        <v>3</v>
      </c>
      <c r="F454" t="s">
        <v>220</v>
      </c>
      <c r="G454" t="s">
        <v>243</v>
      </c>
      <c r="H454" t="s">
        <v>241</v>
      </c>
    </row>
    <row r="455" spans="1:8">
      <c r="A455">
        <v>20240329</v>
      </c>
      <c r="B455" s="1">
        <v>45380</v>
      </c>
      <c r="C455">
        <v>2024</v>
      </c>
      <c r="D455">
        <v>1</v>
      </c>
      <c r="E455">
        <v>3</v>
      </c>
      <c r="F455" t="s">
        <v>220</v>
      </c>
      <c r="G455" t="s">
        <v>243</v>
      </c>
      <c r="H455" t="s">
        <v>241</v>
      </c>
    </row>
    <row r="456" spans="1:8">
      <c r="A456">
        <v>20240330</v>
      </c>
      <c r="B456" s="1">
        <v>45381</v>
      </c>
      <c r="C456">
        <v>2024</v>
      </c>
      <c r="D456">
        <v>1</v>
      </c>
      <c r="E456">
        <v>3</v>
      </c>
      <c r="F456" t="s">
        <v>220</v>
      </c>
      <c r="G456" t="s">
        <v>243</v>
      </c>
      <c r="H456" t="s">
        <v>241</v>
      </c>
    </row>
    <row r="457" spans="1:8">
      <c r="A457">
        <v>20240331</v>
      </c>
      <c r="B457" s="1">
        <v>45382</v>
      </c>
      <c r="C457">
        <v>2024</v>
      </c>
      <c r="D457">
        <v>1</v>
      </c>
      <c r="E457">
        <v>3</v>
      </c>
      <c r="F457" t="s">
        <v>220</v>
      </c>
      <c r="G457" t="s">
        <v>243</v>
      </c>
      <c r="H457" t="s">
        <v>241</v>
      </c>
    </row>
    <row r="458" spans="1:8">
      <c r="A458">
        <v>20240401</v>
      </c>
      <c r="B458" s="1">
        <v>45383</v>
      </c>
      <c r="C458">
        <v>2024</v>
      </c>
      <c r="D458">
        <v>2</v>
      </c>
      <c r="E458">
        <v>4</v>
      </c>
      <c r="F458" t="s">
        <v>222</v>
      </c>
      <c r="G458" t="s">
        <v>244</v>
      </c>
      <c r="H458" t="s">
        <v>241</v>
      </c>
    </row>
    <row r="459" spans="1:8">
      <c r="A459">
        <v>20240402</v>
      </c>
      <c r="B459" s="1">
        <v>45384</v>
      </c>
      <c r="C459">
        <v>2024</v>
      </c>
      <c r="D459">
        <v>2</v>
      </c>
      <c r="E459">
        <v>4</v>
      </c>
      <c r="F459" t="s">
        <v>222</v>
      </c>
      <c r="G459" t="s">
        <v>244</v>
      </c>
      <c r="H459" t="s">
        <v>241</v>
      </c>
    </row>
    <row r="460" spans="1:8">
      <c r="A460">
        <v>20240403</v>
      </c>
      <c r="B460" s="1">
        <v>45385</v>
      </c>
      <c r="C460">
        <v>2024</v>
      </c>
      <c r="D460">
        <v>2</v>
      </c>
      <c r="E460">
        <v>4</v>
      </c>
      <c r="F460" t="s">
        <v>222</v>
      </c>
      <c r="G460" t="s">
        <v>244</v>
      </c>
      <c r="H460" t="s">
        <v>241</v>
      </c>
    </row>
    <row r="461" spans="1:8">
      <c r="A461">
        <v>20240404</v>
      </c>
      <c r="B461" s="1">
        <v>45386</v>
      </c>
      <c r="C461">
        <v>2024</v>
      </c>
      <c r="D461">
        <v>2</v>
      </c>
      <c r="E461">
        <v>4</v>
      </c>
      <c r="F461" t="s">
        <v>222</v>
      </c>
      <c r="G461" t="s">
        <v>244</v>
      </c>
      <c r="H461" t="s">
        <v>241</v>
      </c>
    </row>
    <row r="462" spans="1:8">
      <c r="A462">
        <v>20240405</v>
      </c>
      <c r="B462" s="1">
        <v>45387</v>
      </c>
      <c r="C462">
        <v>2024</v>
      </c>
      <c r="D462">
        <v>2</v>
      </c>
      <c r="E462">
        <v>4</v>
      </c>
      <c r="F462" t="s">
        <v>222</v>
      </c>
      <c r="G462" t="s">
        <v>244</v>
      </c>
      <c r="H462" t="s">
        <v>241</v>
      </c>
    </row>
    <row r="463" spans="1:8">
      <c r="A463">
        <v>20240406</v>
      </c>
      <c r="B463" s="1">
        <v>45388</v>
      </c>
      <c r="C463">
        <v>2024</v>
      </c>
      <c r="D463">
        <v>2</v>
      </c>
      <c r="E463">
        <v>4</v>
      </c>
      <c r="F463" t="s">
        <v>222</v>
      </c>
      <c r="G463" t="s">
        <v>244</v>
      </c>
      <c r="H463" t="s">
        <v>241</v>
      </c>
    </row>
    <row r="464" spans="1:8">
      <c r="A464">
        <v>20240407</v>
      </c>
      <c r="B464" s="1">
        <v>45389</v>
      </c>
      <c r="C464">
        <v>2024</v>
      </c>
      <c r="D464">
        <v>2</v>
      </c>
      <c r="E464">
        <v>4</v>
      </c>
      <c r="F464" t="s">
        <v>222</v>
      </c>
      <c r="G464" t="s">
        <v>244</v>
      </c>
      <c r="H464" t="s">
        <v>241</v>
      </c>
    </row>
    <row r="465" spans="1:8">
      <c r="A465">
        <v>20240408</v>
      </c>
      <c r="B465" s="1">
        <v>45390</v>
      </c>
      <c r="C465">
        <v>2024</v>
      </c>
      <c r="D465">
        <v>2</v>
      </c>
      <c r="E465">
        <v>4</v>
      </c>
      <c r="F465" t="s">
        <v>222</v>
      </c>
      <c r="G465" t="s">
        <v>244</v>
      </c>
      <c r="H465" t="s">
        <v>241</v>
      </c>
    </row>
    <row r="466" spans="1:8">
      <c r="A466">
        <v>20240409</v>
      </c>
      <c r="B466" s="1">
        <v>45391</v>
      </c>
      <c r="C466">
        <v>2024</v>
      </c>
      <c r="D466">
        <v>2</v>
      </c>
      <c r="E466">
        <v>4</v>
      </c>
      <c r="F466" t="s">
        <v>222</v>
      </c>
      <c r="G466" t="s">
        <v>244</v>
      </c>
      <c r="H466" t="s">
        <v>241</v>
      </c>
    </row>
    <row r="467" spans="1:8">
      <c r="A467">
        <v>20240410</v>
      </c>
      <c r="B467" s="1">
        <v>45392</v>
      </c>
      <c r="C467">
        <v>2024</v>
      </c>
      <c r="D467">
        <v>2</v>
      </c>
      <c r="E467">
        <v>4</v>
      </c>
      <c r="F467" t="s">
        <v>222</v>
      </c>
      <c r="G467" t="s">
        <v>244</v>
      </c>
      <c r="H467" t="s">
        <v>241</v>
      </c>
    </row>
    <row r="468" spans="1:8">
      <c r="A468">
        <v>20240411</v>
      </c>
      <c r="B468" s="1">
        <v>45393</v>
      </c>
      <c r="C468">
        <v>2024</v>
      </c>
      <c r="D468">
        <v>2</v>
      </c>
      <c r="E468">
        <v>4</v>
      </c>
      <c r="F468" t="s">
        <v>222</v>
      </c>
      <c r="G468" t="s">
        <v>244</v>
      </c>
      <c r="H468" t="s">
        <v>241</v>
      </c>
    </row>
    <row r="469" spans="1:8">
      <c r="A469">
        <v>20240412</v>
      </c>
      <c r="B469" s="1">
        <v>45394</v>
      </c>
      <c r="C469">
        <v>2024</v>
      </c>
      <c r="D469">
        <v>2</v>
      </c>
      <c r="E469">
        <v>4</v>
      </c>
      <c r="F469" t="s">
        <v>222</v>
      </c>
      <c r="G469" t="s">
        <v>244</v>
      </c>
      <c r="H469" t="s">
        <v>241</v>
      </c>
    </row>
    <row r="470" spans="1:8">
      <c r="A470">
        <v>20240413</v>
      </c>
      <c r="B470" s="1">
        <v>45395</v>
      </c>
      <c r="C470">
        <v>2024</v>
      </c>
      <c r="D470">
        <v>2</v>
      </c>
      <c r="E470">
        <v>4</v>
      </c>
      <c r="F470" t="s">
        <v>222</v>
      </c>
      <c r="G470" t="s">
        <v>244</v>
      </c>
      <c r="H470" t="s">
        <v>241</v>
      </c>
    </row>
    <row r="471" spans="1:8">
      <c r="A471">
        <v>20240414</v>
      </c>
      <c r="B471" s="1">
        <v>45396</v>
      </c>
      <c r="C471">
        <v>2024</v>
      </c>
      <c r="D471">
        <v>2</v>
      </c>
      <c r="E471">
        <v>4</v>
      </c>
      <c r="F471" t="s">
        <v>222</v>
      </c>
      <c r="G471" t="s">
        <v>244</v>
      </c>
      <c r="H471" t="s">
        <v>241</v>
      </c>
    </row>
    <row r="472" spans="1:8">
      <c r="A472">
        <v>20240415</v>
      </c>
      <c r="B472" s="1">
        <v>45397</v>
      </c>
      <c r="C472">
        <v>2024</v>
      </c>
      <c r="D472">
        <v>2</v>
      </c>
      <c r="E472">
        <v>4</v>
      </c>
      <c r="F472" t="s">
        <v>222</v>
      </c>
      <c r="G472" t="s">
        <v>244</v>
      </c>
      <c r="H472" t="s">
        <v>241</v>
      </c>
    </row>
    <row r="473" spans="1:8">
      <c r="A473">
        <v>20240416</v>
      </c>
      <c r="B473" s="1">
        <v>45398</v>
      </c>
      <c r="C473">
        <v>2024</v>
      </c>
      <c r="D473">
        <v>2</v>
      </c>
      <c r="E473">
        <v>4</v>
      </c>
      <c r="F473" t="s">
        <v>222</v>
      </c>
      <c r="G473" t="s">
        <v>244</v>
      </c>
      <c r="H473" t="s">
        <v>241</v>
      </c>
    </row>
    <row r="474" spans="1:8">
      <c r="A474">
        <v>20240417</v>
      </c>
      <c r="B474" s="1">
        <v>45399</v>
      </c>
      <c r="C474">
        <v>2024</v>
      </c>
      <c r="D474">
        <v>2</v>
      </c>
      <c r="E474">
        <v>4</v>
      </c>
      <c r="F474" t="s">
        <v>222</v>
      </c>
      <c r="G474" t="s">
        <v>244</v>
      </c>
      <c r="H474" t="s">
        <v>241</v>
      </c>
    </row>
    <row r="475" spans="1:8">
      <c r="A475">
        <v>20240418</v>
      </c>
      <c r="B475" s="1">
        <v>45400</v>
      </c>
      <c r="C475">
        <v>2024</v>
      </c>
      <c r="D475">
        <v>2</v>
      </c>
      <c r="E475">
        <v>4</v>
      </c>
      <c r="F475" t="s">
        <v>222</v>
      </c>
      <c r="G475" t="s">
        <v>244</v>
      </c>
      <c r="H475" t="s">
        <v>241</v>
      </c>
    </row>
    <row r="476" spans="1:8">
      <c r="A476">
        <v>20240419</v>
      </c>
      <c r="B476" s="1">
        <v>45401</v>
      </c>
      <c r="C476">
        <v>2024</v>
      </c>
      <c r="D476">
        <v>2</v>
      </c>
      <c r="E476">
        <v>4</v>
      </c>
      <c r="F476" t="s">
        <v>222</v>
      </c>
      <c r="G476" t="s">
        <v>244</v>
      </c>
      <c r="H476" t="s">
        <v>241</v>
      </c>
    </row>
    <row r="477" spans="1:8">
      <c r="A477">
        <v>20240420</v>
      </c>
      <c r="B477" s="1">
        <v>45402</v>
      </c>
      <c r="C477">
        <v>2024</v>
      </c>
      <c r="D477">
        <v>2</v>
      </c>
      <c r="E477">
        <v>4</v>
      </c>
      <c r="F477" t="s">
        <v>222</v>
      </c>
      <c r="G477" t="s">
        <v>244</v>
      </c>
      <c r="H477" t="s">
        <v>241</v>
      </c>
    </row>
    <row r="478" spans="1:8">
      <c r="A478">
        <v>20240421</v>
      </c>
      <c r="B478" s="1">
        <v>45403</v>
      </c>
      <c r="C478">
        <v>2024</v>
      </c>
      <c r="D478">
        <v>2</v>
      </c>
      <c r="E478">
        <v>4</v>
      </c>
      <c r="F478" t="s">
        <v>222</v>
      </c>
      <c r="G478" t="s">
        <v>244</v>
      </c>
      <c r="H478" t="s">
        <v>241</v>
      </c>
    </row>
    <row r="479" spans="1:8">
      <c r="A479">
        <v>20240422</v>
      </c>
      <c r="B479" s="1">
        <v>45404</v>
      </c>
      <c r="C479">
        <v>2024</v>
      </c>
      <c r="D479">
        <v>2</v>
      </c>
      <c r="E479">
        <v>4</v>
      </c>
      <c r="F479" t="s">
        <v>222</v>
      </c>
      <c r="G479" t="s">
        <v>244</v>
      </c>
      <c r="H479" t="s">
        <v>241</v>
      </c>
    </row>
    <row r="480" spans="1:8">
      <c r="A480">
        <v>20240423</v>
      </c>
      <c r="B480" s="1">
        <v>45405</v>
      </c>
      <c r="C480">
        <v>2024</v>
      </c>
      <c r="D480">
        <v>2</v>
      </c>
      <c r="E480">
        <v>4</v>
      </c>
      <c r="F480" t="s">
        <v>222</v>
      </c>
      <c r="G480" t="s">
        <v>244</v>
      </c>
      <c r="H480" t="s">
        <v>241</v>
      </c>
    </row>
    <row r="481" spans="1:8">
      <c r="A481">
        <v>20240424</v>
      </c>
      <c r="B481" s="1">
        <v>45406</v>
      </c>
      <c r="C481">
        <v>2024</v>
      </c>
      <c r="D481">
        <v>2</v>
      </c>
      <c r="E481">
        <v>4</v>
      </c>
      <c r="F481" t="s">
        <v>222</v>
      </c>
      <c r="G481" t="s">
        <v>244</v>
      </c>
      <c r="H481" t="s">
        <v>241</v>
      </c>
    </row>
    <row r="482" spans="1:8">
      <c r="A482">
        <v>20240425</v>
      </c>
      <c r="B482" s="1">
        <v>45407</v>
      </c>
      <c r="C482">
        <v>2024</v>
      </c>
      <c r="D482">
        <v>2</v>
      </c>
      <c r="E482">
        <v>4</v>
      </c>
      <c r="F482" t="s">
        <v>222</v>
      </c>
      <c r="G482" t="s">
        <v>244</v>
      </c>
      <c r="H482" t="s">
        <v>241</v>
      </c>
    </row>
    <row r="483" spans="1:8">
      <c r="A483">
        <v>20240426</v>
      </c>
      <c r="B483" s="1">
        <v>45408</v>
      </c>
      <c r="C483">
        <v>2024</v>
      </c>
      <c r="D483">
        <v>2</v>
      </c>
      <c r="E483">
        <v>4</v>
      </c>
      <c r="F483" t="s">
        <v>222</v>
      </c>
      <c r="G483" t="s">
        <v>244</v>
      </c>
      <c r="H483" t="s">
        <v>241</v>
      </c>
    </row>
    <row r="484" spans="1:8">
      <c r="A484">
        <v>20240427</v>
      </c>
      <c r="B484" s="1">
        <v>45409</v>
      </c>
      <c r="C484">
        <v>2024</v>
      </c>
      <c r="D484">
        <v>2</v>
      </c>
      <c r="E484">
        <v>4</v>
      </c>
      <c r="F484" t="s">
        <v>222</v>
      </c>
      <c r="G484" t="s">
        <v>244</v>
      </c>
      <c r="H484" t="s">
        <v>241</v>
      </c>
    </row>
    <row r="485" spans="1:8">
      <c r="A485">
        <v>20240428</v>
      </c>
      <c r="B485" s="1">
        <v>45410</v>
      </c>
      <c r="C485">
        <v>2024</v>
      </c>
      <c r="D485">
        <v>2</v>
      </c>
      <c r="E485">
        <v>4</v>
      </c>
      <c r="F485" t="s">
        <v>222</v>
      </c>
      <c r="G485" t="s">
        <v>244</v>
      </c>
      <c r="H485" t="s">
        <v>241</v>
      </c>
    </row>
    <row r="486" spans="1:8">
      <c r="A486">
        <v>20240429</v>
      </c>
      <c r="B486" s="1">
        <v>45411</v>
      </c>
      <c r="C486">
        <v>2024</v>
      </c>
      <c r="D486">
        <v>2</v>
      </c>
      <c r="E486">
        <v>4</v>
      </c>
      <c r="F486" t="s">
        <v>222</v>
      </c>
      <c r="G486" t="s">
        <v>244</v>
      </c>
      <c r="H486" t="s">
        <v>241</v>
      </c>
    </row>
    <row r="487" spans="1:8">
      <c r="A487">
        <v>20240430</v>
      </c>
      <c r="B487" s="1">
        <v>45412</v>
      </c>
      <c r="C487">
        <v>2024</v>
      </c>
      <c r="D487">
        <v>2</v>
      </c>
      <c r="E487">
        <v>4</v>
      </c>
      <c r="F487" t="s">
        <v>222</v>
      </c>
      <c r="G487" t="s">
        <v>244</v>
      </c>
      <c r="H487" t="s">
        <v>241</v>
      </c>
    </row>
    <row r="488" spans="1:8">
      <c r="A488">
        <v>20240501</v>
      </c>
      <c r="B488" s="1">
        <v>45413</v>
      </c>
      <c r="C488">
        <v>2024</v>
      </c>
      <c r="D488">
        <v>2</v>
      </c>
      <c r="E488">
        <v>5</v>
      </c>
      <c r="F488" t="s">
        <v>224</v>
      </c>
      <c r="G488" t="s">
        <v>245</v>
      </c>
      <c r="H488" t="s">
        <v>241</v>
      </c>
    </row>
    <row r="489" spans="1:8">
      <c r="A489">
        <v>20240502</v>
      </c>
      <c r="B489" s="1">
        <v>45414</v>
      </c>
      <c r="C489">
        <v>2024</v>
      </c>
      <c r="D489">
        <v>2</v>
      </c>
      <c r="E489">
        <v>5</v>
      </c>
      <c r="F489" t="s">
        <v>224</v>
      </c>
      <c r="G489" t="s">
        <v>245</v>
      </c>
      <c r="H489" t="s">
        <v>241</v>
      </c>
    </row>
    <row r="490" spans="1:8">
      <c r="A490">
        <v>20240503</v>
      </c>
      <c r="B490" s="1">
        <v>45415</v>
      </c>
      <c r="C490">
        <v>2024</v>
      </c>
      <c r="D490">
        <v>2</v>
      </c>
      <c r="E490">
        <v>5</v>
      </c>
      <c r="F490" t="s">
        <v>224</v>
      </c>
      <c r="G490" t="s">
        <v>245</v>
      </c>
      <c r="H490" t="s">
        <v>241</v>
      </c>
    </row>
    <row r="491" spans="1:8">
      <c r="A491">
        <v>20240504</v>
      </c>
      <c r="B491" s="1">
        <v>45416</v>
      </c>
      <c r="C491">
        <v>2024</v>
      </c>
      <c r="D491">
        <v>2</v>
      </c>
      <c r="E491">
        <v>5</v>
      </c>
      <c r="F491" t="s">
        <v>224</v>
      </c>
      <c r="G491" t="s">
        <v>245</v>
      </c>
      <c r="H491" t="s">
        <v>241</v>
      </c>
    </row>
    <row r="492" spans="1:8">
      <c r="A492">
        <v>20240505</v>
      </c>
      <c r="B492" s="1">
        <v>45417</v>
      </c>
      <c r="C492">
        <v>2024</v>
      </c>
      <c r="D492">
        <v>2</v>
      </c>
      <c r="E492">
        <v>5</v>
      </c>
      <c r="F492" t="s">
        <v>224</v>
      </c>
      <c r="G492" t="s">
        <v>245</v>
      </c>
      <c r="H492" t="s">
        <v>241</v>
      </c>
    </row>
    <row r="493" spans="1:8">
      <c r="A493">
        <v>20240506</v>
      </c>
      <c r="B493" s="1">
        <v>45418</v>
      </c>
      <c r="C493">
        <v>2024</v>
      </c>
      <c r="D493">
        <v>2</v>
      </c>
      <c r="E493">
        <v>5</v>
      </c>
      <c r="F493" t="s">
        <v>224</v>
      </c>
      <c r="G493" t="s">
        <v>245</v>
      </c>
      <c r="H493" t="s">
        <v>241</v>
      </c>
    </row>
    <row r="494" spans="1:8">
      <c r="A494">
        <v>20240507</v>
      </c>
      <c r="B494" s="1">
        <v>45419</v>
      </c>
      <c r="C494">
        <v>2024</v>
      </c>
      <c r="D494">
        <v>2</v>
      </c>
      <c r="E494">
        <v>5</v>
      </c>
      <c r="F494" t="s">
        <v>224</v>
      </c>
      <c r="G494" t="s">
        <v>245</v>
      </c>
      <c r="H494" t="s">
        <v>241</v>
      </c>
    </row>
    <row r="495" spans="1:8">
      <c r="A495">
        <v>20240508</v>
      </c>
      <c r="B495" s="1">
        <v>45420</v>
      </c>
      <c r="C495">
        <v>2024</v>
      </c>
      <c r="D495">
        <v>2</v>
      </c>
      <c r="E495">
        <v>5</v>
      </c>
      <c r="F495" t="s">
        <v>224</v>
      </c>
      <c r="G495" t="s">
        <v>245</v>
      </c>
      <c r="H495" t="s">
        <v>241</v>
      </c>
    </row>
    <row r="496" spans="1:8">
      <c r="A496">
        <v>20240509</v>
      </c>
      <c r="B496" s="1">
        <v>45421</v>
      </c>
      <c r="C496">
        <v>2024</v>
      </c>
      <c r="D496">
        <v>2</v>
      </c>
      <c r="E496">
        <v>5</v>
      </c>
      <c r="F496" t="s">
        <v>224</v>
      </c>
      <c r="G496" t="s">
        <v>245</v>
      </c>
      <c r="H496" t="s">
        <v>241</v>
      </c>
    </row>
    <row r="497" spans="1:8">
      <c r="A497">
        <v>20240510</v>
      </c>
      <c r="B497" s="1">
        <v>45422</v>
      </c>
      <c r="C497">
        <v>2024</v>
      </c>
      <c r="D497">
        <v>2</v>
      </c>
      <c r="E497">
        <v>5</v>
      </c>
      <c r="F497" t="s">
        <v>224</v>
      </c>
      <c r="G497" t="s">
        <v>245</v>
      </c>
      <c r="H497" t="s">
        <v>241</v>
      </c>
    </row>
    <row r="498" spans="1:8">
      <c r="A498">
        <v>20240511</v>
      </c>
      <c r="B498" s="1">
        <v>45423</v>
      </c>
      <c r="C498">
        <v>2024</v>
      </c>
      <c r="D498">
        <v>2</v>
      </c>
      <c r="E498">
        <v>5</v>
      </c>
      <c r="F498" t="s">
        <v>224</v>
      </c>
      <c r="G498" t="s">
        <v>245</v>
      </c>
      <c r="H498" t="s">
        <v>241</v>
      </c>
    </row>
    <row r="499" spans="1:8">
      <c r="A499">
        <v>20240512</v>
      </c>
      <c r="B499" s="1">
        <v>45424</v>
      </c>
      <c r="C499">
        <v>2024</v>
      </c>
      <c r="D499">
        <v>2</v>
      </c>
      <c r="E499">
        <v>5</v>
      </c>
      <c r="F499" t="s">
        <v>224</v>
      </c>
      <c r="G499" t="s">
        <v>245</v>
      </c>
      <c r="H499" t="s">
        <v>241</v>
      </c>
    </row>
    <row r="500" spans="1:8">
      <c r="A500">
        <v>20240513</v>
      </c>
      <c r="B500" s="1">
        <v>45425</v>
      </c>
      <c r="C500">
        <v>2024</v>
      </c>
      <c r="D500">
        <v>2</v>
      </c>
      <c r="E500">
        <v>5</v>
      </c>
      <c r="F500" t="s">
        <v>224</v>
      </c>
      <c r="G500" t="s">
        <v>245</v>
      </c>
      <c r="H500" t="s">
        <v>241</v>
      </c>
    </row>
    <row r="501" spans="1:8">
      <c r="A501">
        <v>20240514</v>
      </c>
      <c r="B501" s="1">
        <v>45426</v>
      </c>
      <c r="C501">
        <v>2024</v>
      </c>
      <c r="D501">
        <v>2</v>
      </c>
      <c r="E501">
        <v>5</v>
      </c>
      <c r="F501" t="s">
        <v>224</v>
      </c>
      <c r="G501" t="s">
        <v>245</v>
      </c>
      <c r="H501" t="s">
        <v>241</v>
      </c>
    </row>
    <row r="502" spans="1:8">
      <c r="A502">
        <v>20240515</v>
      </c>
      <c r="B502" s="1">
        <v>45427</v>
      </c>
      <c r="C502">
        <v>2024</v>
      </c>
      <c r="D502">
        <v>2</v>
      </c>
      <c r="E502">
        <v>5</v>
      </c>
      <c r="F502" t="s">
        <v>224</v>
      </c>
      <c r="G502" t="s">
        <v>245</v>
      </c>
      <c r="H502" t="s">
        <v>241</v>
      </c>
    </row>
    <row r="503" spans="1:8">
      <c r="A503">
        <v>20240516</v>
      </c>
      <c r="B503" s="1">
        <v>45428</v>
      </c>
      <c r="C503">
        <v>2024</v>
      </c>
      <c r="D503">
        <v>2</v>
      </c>
      <c r="E503">
        <v>5</v>
      </c>
      <c r="F503" t="s">
        <v>224</v>
      </c>
      <c r="G503" t="s">
        <v>245</v>
      </c>
      <c r="H503" t="s">
        <v>241</v>
      </c>
    </row>
    <row r="504" spans="1:8">
      <c r="A504">
        <v>20240517</v>
      </c>
      <c r="B504" s="1">
        <v>45429</v>
      </c>
      <c r="C504">
        <v>2024</v>
      </c>
      <c r="D504">
        <v>2</v>
      </c>
      <c r="E504">
        <v>5</v>
      </c>
      <c r="F504" t="s">
        <v>224</v>
      </c>
      <c r="G504" t="s">
        <v>245</v>
      </c>
      <c r="H504" t="s">
        <v>241</v>
      </c>
    </row>
    <row r="505" spans="1:8">
      <c r="A505">
        <v>20240518</v>
      </c>
      <c r="B505" s="1">
        <v>45430</v>
      </c>
      <c r="C505">
        <v>2024</v>
      </c>
      <c r="D505">
        <v>2</v>
      </c>
      <c r="E505">
        <v>5</v>
      </c>
      <c r="F505" t="s">
        <v>224</v>
      </c>
      <c r="G505" t="s">
        <v>245</v>
      </c>
      <c r="H505" t="s">
        <v>241</v>
      </c>
    </row>
    <row r="506" spans="1:8">
      <c r="A506">
        <v>20240519</v>
      </c>
      <c r="B506" s="1">
        <v>45431</v>
      </c>
      <c r="C506">
        <v>2024</v>
      </c>
      <c r="D506">
        <v>2</v>
      </c>
      <c r="E506">
        <v>5</v>
      </c>
      <c r="F506" t="s">
        <v>224</v>
      </c>
      <c r="G506" t="s">
        <v>245</v>
      </c>
      <c r="H506" t="s">
        <v>241</v>
      </c>
    </row>
    <row r="507" spans="1:8">
      <c r="A507">
        <v>20240520</v>
      </c>
      <c r="B507" s="1">
        <v>45432</v>
      </c>
      <c r="C507">
        <v>2024</v>
      </c>
      <c r="D507">
        <v>2</v>
      </c>
      <c r="E507">
        <v>5</v>
      </c>
      <c r="F507" t="s">
        <v>224</v>
      </c>
      <c r="G507" t="s">
        <v>245</v>
      </c>
      <c r="H507" t="s">
        <v>241</v>
      </c>
    </row>
    <row r="508" spans="1:8">
      <c r="A508">
        <v>20240521</v>
      </c>
      <c r="B508" s="1">
        <v>45433</v>
      </c>
      <c r="C508">
        <v>2024</v>
      </c>
      <c r="D508">
        <v>2</v>
      </c>
      <c r="E508">
        <v>5</v>
      </c>
      <c r="F508" t="s">
        <v>224</v>
      </c>
      <c r="G508" t="s">
        <v>245</v>
      </c>
      <c r="H508" t="s">
        <v>241</v>
      </c>
    </row>
    <row r="509" spans="1:8">
      <c r="A509">
        <v>20240522</v>
      </c>
      <c r="B509" s="1">
        <v>45434</v>
      </c>
      <c r="C509">
        <v>2024</v>
      </c>
      <c r="D509">
        <v>2</v>
      </c>
      <c r="E509">
        <v>5</v>
      </c>
      <c r="F509" t="s">
        <v>224</v>
      </c>
      <c r="G509" t="s">
        <v>245</v>
      </c>
      <c r="H509" t="s">
        <v>241</v>
      </c>
    </row>
    <row r="510" spans="1:8">
      <c r="A510">
        <v>20240523</v>
      </c>
      <c r="B510" s="1">
        <v>45435</v>
      </c>
      <c r="C510">
        <v>2024</v>
      </c>
      <c r="D510">
        <v>2</v>
      </c>
      <c r="E510">
        <v>5</v>
      </c>
      <c r="F510" t="s">
        <v>224</v>
      </c>
      <c r="G510" t="s">
        <v>245</v>
      </c>
      <c r="H510" t="s">
        <v>241</v>
      </c>
    </row>
    <row r="511" spans="1:8">
      <c r="A511">
        <v>20240524</v>
      </c>
      <c r="B511" s="1">
        <v>45436</v>
      </c>
      <c r="C511">
        <v>2024</v>
      </c>
      <c r="D511">
        <v>2</v>
      </c>
      <c r="E511">
        <v>5</v>
      </c>
      <c r="F511" t="s">
        <v>224</v>
      </c>
      <c r="G511" t="s">
        <v>245</v>
      </c>
      <c r="H511" t="s">
        <v>241</v>
      </c>
    </row>
    <row r="512" spans="1:8">
      <c r="A512">
        <v>20240525</v>
      </c>
      <c r="B512" s="1">
        <v>45437</v>
      </c>
      <c r="C512">
        <v>2024</v>
      </c>
      <c r="D512">
        <v>2</v>
      </c>
      <c r="E512">
        <v>5</v>
      </c>
      <c r="F512" t="s">
        <v>224</v>
      </c>
      <c r="G512" t="s">
        <v>245</v>
      </c>
      <c r="H512" t="s">
        <v>241</v>
      </c>
    </row>
    <row r="513" spans="1:8">
      <c r="A513">
        <v>20240526</v>
      </c>
      <c r="B513" s="1">
        <v>45438</v>
      </c>
      <c r="C513">
        <v>2024</v>
      </c>
      <c r="D513">
        <v>2</v>
      </c>
      <c r="E513">
        <v>5</v>
      </c>
      <c r="F513" t="s">
        <v>224</v>
      </c>
      <c r="G513" t="s">
        <v>245</v>
      </c>
      <c r="H513" t="s">
        <v>241</v>
      </c>
    </row>
    <row r="514" spans="1:8">
      <c r="A514">
        <v>20240527</v>
      </c>
      <c r="B514" s="1">
        <v>45439</v>
      </c>
      <c r="C514">
        <v>2024</v>
      </c>
      <c r="D514">
        <v>2</v>
      </c>
      <c r="E514">
        <v>5</v>
      </c>
      <c r="F514" t="s">
        <v>224</v>
      </c>
      <c r="G514" t="s">
        <v>245</v>
      </c>
      <c r="H514" t="s">
        <v>241</v>
      </c>
    </row>
    <row r="515" spans="1:8">
      <c r="A515">
        <v>20240528</v>
      </c>
      <c r="B515" s="1">
        <v>45440</v>
      </c>
      <c r="C515">
        <v>2024</v>
      </c>
      <c r="D515">
        <v>2</v>
      </c>
      <c r="E515">
        <v>5</v>
      </c>
      <c r="F515" t="s">
        <v>224</v>
      </c>
      <c r="G515" t="s">
        <v>245</v>
      </c>
      <c r="H515" t="s">
        <v>241</v>
      </c>
    </row>
    <row r="516" spans="1:8">
      <c r="A516">
        <v>20240529</v>
      </c>
      <c r="B516" s="1">
        <v>45441</v>
      </c>
      <c r="C516">
        <v>2024</v>
      </c>
      <c r="D516">
        <v>2</v>
      </c>
      <c r="E516">
        <v>5</v>
      </c>
      <c r="F516" t="s">
        <v>224</v>
      </c>
      <c r="G516" t="s">
        <v>245</v>
      </c>
      <c r="H516" t="s">
        <v>241</v>
      </c>
    </row>
    <row r="517" spans="1:8">
      <c r="A517">
        <v>20240530</v>
      </c>
      <c r="B517" s="1">
        <v>45442</v>
      </c>
      <c r="C517">
        <v>2024</v>
      </c>
      <c r="D517">
        <v>2</v>
      </c>
      <c r="E517">
        <v>5</v>
      </c>
      <c r="F517" t="s">
        <v>224</v>
      </c>
      <c r="G517" t="s">
        <v>245</v>
      </c>
      <c r="H517" t="s">
        <v>241</v>
      </c>
    </row>
    <row r="518" spans="1:8">
      <c r="A518">
        <v>20240531</v>
      </c>
      <c r="B518" s="1">
        <v>45443</v>
      </c>
      <c r="C518">
        <v>2024</v>
      </c>
      <c r="D518">
        <v>2</v>
      </c>
      <c r="E518">
        <v>5</v>
      </c>
      <c r="F518" t="s">
        <v>224</v>
      </c>
      <c r="G518" t="s">
        <v>245</v>
      </c>
      <c r="H518" t="s">
        <v>241</v>
      </c>
    </row>
    <row r="519" spans="1:8">
      <c r="A519">
        <v>20240601</v>
      </c>
      <c r="B519" s="1">
        <v>45444</v>
      </c>
      <c r="C519">
        <v>2024</v>
      </c>
      <c r="D519">
        <v>2</v>
      </c>
      <c r="E519">
        <v>6</v>
      </c>
      <c r="F519" t="s">
        <v>226</v>
      </c>
      <c r="G519" t="s">
        <v>246</v>
      </c>
      <c r="H519" t="s">
        <v>241</v>
      </c>
    </row>
    <row r="520" spans="1:8">
      <c r="A520">
        <v>20240602</v>
      </c>
      <c r="B520" s="1">
        <v>45445</v>
      </c>
      <c r="C520">
        <v>2024</v>
      </c>
      <c r="D520">
        <v>2</v>
      </c>
      <c r="E520">
        <v>6</v>
      </c>
      <c r="F520" t="s">
        <v>226</v>
      </c>
      <c r="G520" t="s">
        <v>246</v>
      </c>
      <c r="H520" t="s">
        <v>241</v>
      </c>
    </row>
    <row r="521" spans="1:8">
      <c r="A521">
        <v>20240603</v>
      </c>
      <c r="B521" s="1">
        <v>45446</v>
      </c>
      <c r="C521">
        <v>2024</v>
      </c>
      <c r="D521">
        <v>2</v>
      </c>
      <c r="E521">
        <v>6</v>
      </c>
      <c r="F521" t="s">
        <v>226</v>
      </c>
      <c r="G521" t="s">
        <v>246</v>
      </c>
      <c r="H521" t="s">
        <v>241</v>
      </c>
    </row>
    <row r="522" spans="1:8">
      <c r="A522">
        <v>20240604</v>
      </c>
      <c r="B522" s="1">
        <v>45447</v>
      </c>
      <c r="C522">
        <v>2024</v>
      </c>
      <c r="D522">
        <v>2</v>
      </c>
      <c r="E522">
        <v>6</v>
      </c>
      <c r="F522" t="s">
        <v>226</v>
      </c>
      <c r="G522" t="s">
        <v>246</v>
      </c>
      <c r="H522" t="s">
        <v>241</v>
      </c>
    </row>
    <row r="523" spans="1:8">
      <c r="A523">
        <v>20240605</v>
      </c>
      <c r="B523" s="1">
        <v>45448</v>
      </c>
      <c r="C523">
        <v>2024</v>
      </c>
      <c r="D523">
        <v>2</v>
      </c>
      <c r="E523">
        <v>6</v>
      </c>
      <c r="F523" t="s">
        <v>226</v>
      </c>
      <c r="G523" t="s">
        <v>246</v>
      </c>
      <c r="H523" t="s">
        <v>241</v>
      </c>
    </row>
    <row r="524" spans="1:8">
      <c r="A524">
        <v>20240606</v>
      </c>
      <c r="B524" s="1">
        <v>45449</v>
      </c>
      <c r="C524">
        <v>2024</v>
      </c>
      <c r="D524">
        <v>2</v>
      </c>
      <c r="E524">
        <v>6</v>
      </c>
      <c r="F524" t="s">
        <v>226</v>
      </c>
      <c r="G524" t="s">
        <v>246</v>
      </c>
      <c r="H524" t="s">
        <v>241</v>
      </c>
    </row>
    <row r="525" spans="1:8">
      <c r="A525">
        <v>20240607</v>
      </c>
      <c r="B525" s="1">
        <v>45450</v>
      </c>
      <c r="C525">
        <v>2024</v>
      </c>
      <c r="D525">
        <v>2</v>
      </c>
      <c r="E525">
        <v>6</v>
      </c>
      <c r="F525" t="s">
        <v>226</v>
      </c>
      <c r="G525" t="s">
        <v>246</v>
      </c>
      <c r="H525" t="s">
        <v>241</v>
      </c>
    </row>
    <row r="526" spans="1:8">
      <c r="A526">
        <v>20240608</v>
      </c>
      <c r="B526" s="1">
        <v>45451</v>
      </c>
      <c r="C526">
        <v>2024</v>
      </c>
      <c r="D526">
        <v>2</v>
      </c>
      <c r="E526">
        <v>6</v>
      </c>
      <c r="F526" t="s">
        <v>226</v>
      </c>
      <c r="G526" t="s">
        <v>246</v>
      </c>
      <c r="H526" t="s">
        <v>241</v>
      </c>
    </row>
    <row r="527" spans="1:8">
      <c r="A527">
        <v>20240609</v>
      </c>
      <c r="B527" s="1">
        <v>45452</v>
      </c>
      <c r="C527">
        <v>2024</v>
      </c>
      <c r="D527">
        <v>2</v>
      </c>
      <c r="E527">
        <v>6</v>
      </c>
      <c r="F527" t="s">
        <v>226</v>
      </c>
      <c r="G527" t="s">
        <v>246</v>
      </c>
      <c r="H527" t="s">
        <v>241</v>
      </c>
    </row>
    <row r="528" spans="1:8">
      <c r="A528">
        <v>20240610</v>
      </c>
      <c r="B528" s="1">
        <v>45453</v>
      </c>
      <c r="C528">
        <v>2024</v>
      </c>
      <c r="D528">
        <v>2</v>
      </c>
      <c r="E528">
        <v>6</v>
      </c>
      <c r="F528" t="s">
        <v>226</v>
      </c>
      <c r="G528" t="s">
        <v>246</v>
      </c>
      <c r="H528" t="s">
        <v>241</v>
      </c>
    </row>
    <row r="529" spans="1:8">
      <c r="A529">
        <v>20240611</v>
      </c>
      <c r="B529" s="1">
        <v>45454</v>
      </c>
      <c r="C529">
        <v>2024</v>
      </c>
      <c r="D529">
        <v>2</v>
      </c>
      <c r="E529">
        <v>6</v>
      </c>
      <c r="F529" t="s">
        <v>226</v>
      </c>
      <c r="G529" t="s">
        <v>246</v>
      </c>
      <c r="H529" t="s">
        <v>241</v>
      </c>
    </row>
    <row r="530" spans="1:8">
      <c r="A530">
        <v>20240612</v>
      </c>
      <c r="B530" s="1">
        <v>45455</v>
      </c>
      <c r="C530">
        <v>2024</v>
      </c>
      <c r="D530">
        <v>2</v>
      </c>
      <c r="E530">
        <v>6</v>
      </c>
      <c r="F530" t="s">
        <v>226</v>
      </c>
      <c r="G530" t="s">
        <v>246</v>
      </c>
      <c r="H530" t="s">
        <v>241</v>
      </c>
    </row>
    <row r="531" spans="1:8">
      <c r="A531">
        <v>20240613</v>
      </c>
      <c r="B531" s="1">
        <v>45456</v>
      </c>
      <c r="C531">
        <v>2024</v>
      </c>
      <c r="D531">
        <v>2</v>
      </c>
      <c r="E531">
        <v>6</v>
      </c>
      <c r="F531" t="s">
        <v>226</v>
      </c>
      <c r="G531" t="s">
        <v>246</v>
      </c>
      <c r="H531" t="s">
        <v>241</v>
      </c>
    </row>
    <row r="532" spans="1:8">
      <c r="A532">
        <v>20240614</v>
      </c>
      <c r="B532" s="1">
        <v>45457</v>
      </c>
      <c r="C532">
        <v>2024</v>
      </c>
      <c r="D532">
        <v>2</v>
      </c>
      <c r="E532">
        <v>6</v>
      </c>
      <c r="F532" t="s">
        <v>226</v>
      </c>
      <c r="G532" t="s">
        <v>246</v>
      </c>
      <c r="H532" t="s">
        <v>241</v>
      </c>
    </row>
    <row r="533" spans="1:8">
      <c r="A533">
        <v>20240615</v>
      </c>
      <c r="B533" s="1">
        <v>45458</v>
      </c>
      <c r="C533">
        <v>2024</v>
      </c>
      <c r="D533">
        <v>2</v>
      </c>
      <c r="E533">
        <v>6</v>
      </c>
      <c r="F533" t="s">
        <v>226</v>
      </c>
      <c r="G533" t="s">
        <v>246</v>
      </c>
      <c r="H533" t="s">
        <v>241</v>
      </c>
    </row>
    <row r="534" spans="1:8">
      <c r="A534">
        <v>20240616</v>
      </c>
      <c r="B534" s="1">
        <v>45459</v>
      </c>
      <c r="C534">
        <v>2024</v>
      </c>
      <c r="D534">
        <v>2</v>
      </c>
      <c r="E534">
        <v>6</v>
      </c>
      <c r="F534" t="s">
        <v>226</v>
      </c>
      <c r="G534" t="s">
        <v>246</v>
      </c>
      <c r="H534" t="s">
        <v>241</v>
      </c>
    </row>
    <row r="535" spans="1:8">
      <c r="A535">
        <v>20240617</v>
      </c>
      <c r="B535" s="1">
        <v>45460</v>
      </c>
      <c r="C535">
        <v>2024</v>
      </c>
      <c r="D535">
        <v>2</v>
      </c>
      <c r="E535">
        <v>6</v>
      </c>
      <c r="F535" t="s">
        <v>226</v>
      </c>
      <c r="G535" t="s">
        <v>246</v>
      </c>
      <c r="H535" t="s">
        <v>241</v>
      </c>
    </row>
    <row r="536" spans="1:8">
      <c r="A536">
        <v>20240618</v>
      </c>
      <c r="B536" s="1">
        <v>45461</v>
      </c>
      <c r="C536">
        <v>2024</v>
      </c>
      <c r="D536">
        <v>2</v>
      </c>
      <c r="E536">
        <v>6</v>
      </c>
      <c r="F536" t="s">
        <v>226</v>
      </c>
      <c r="G536" t="s">
        <v>246</v>
      </c>
      <c r="H536" t="s">
        <v>241</v>
      </c>
    </row>
    <row r="537" spans="1:8">
      <c r="A537">
        <v>20240619</v>
      </c>
      <c r="B537" s="1">
        <v>45462</v>
      </c>
      <c r="C537">
        <v>2024</v>
      </c>
      <c r="D537">
        <v>2</v>
      </c>
      <c r="E537">
        <v>6</v>
      </c>
      <c r="F537" t="s">
        <v>226</v>
      </c>
      <c r="G537" t="s">
        <v>246</v>
      </c>
      <c r="H537" t="s">
        <v>241</v>
      </c>
    </row>
    <row r="538" spans="1:8">
      <c r="A538">
        <v>20240620</v>
      </c>
      <c r="B538" s="1">
        <v>45463</v>
      </c>
      <c r="C538">
        <v>2024</v>
      </c>
      <c r="D538">
        <v>2</v>
      </c>
      <c r="E538">
        <v>6</v>
      </c>
      <c r="F538" t="s">
        <v>226</v>
      </c>
      <c r="G538" t="s">
        <v>246</v>
      </c>
      <c r="H538" t="s">
        <v>241</v>
      </c>
    </row>
    <row r="539" spans="1:8">
      <c r="A539">
        <v>20240621</v>
      </c>
      <c r="B539" s="1">
        <v>45464</v>
      </c>
      <c r="C539">
        <v>2024</v>
      </c>
      <c r="D539">
        <v>2</v>
      </c>
      <c r="E539">
        <v>6</v>
      </c>
      <c r="F539" t="s">
        <v>226</v>
      </c>
      <c r="G539" t="s">
        <v>246</v>
      </c>
      <c r="H539" t="s">
        <v>241</v>
      </c>
    </row>
    <row r="540" spans="1:8">
      <c r="A540">
        <v>20240622</v>
      </c>
      <c r="B540" s="1">
        <v>45465</v>
      </c>
      <c r="C540">
        <v>2024</v>
      </c>
      <c r="D540">
        <v>2</v>
      </c>
      <c r="E540">
        <v>6</v>
      </c>
      <c r="F540" t="s">
        <v>226</v>
      </c>
      <c r="G540" t="s">
        <v>246</v>
      </c>
      <c r="H540" t="s">
        <v>241</v>
      </c>
    </row>
    <row r="541" spans="1:8">
      <c r="A541">
        <v>20240623</v>
      </c>
      <c r="B541" s="1">
        <v>45466</v>
      </c>
      <c r="C541">
        <v>2024</v>
      </c>
      <c r="D541">
        <v>2</v>
      </c>
      <c r="E541">
        <v>6</v>
      </c>
      <c r="F541" t="s">
        <v>226</v>
      </c>
      <c r="G541" t="s">
        <v>246</v>
      </c>
      <c r="H541" t="s">
        <v>241</v>
      </c>
    </row>
    <row r="542" spans="1:8">
      <c r="A542">
        <v>20240624</v>
      </c>
      <c r="B542" s="1">
        <v>45467</v>
      </c>
      <c r="C542">
        <v>2024</v>
      </c>
      <c r="D542">
        <v>2</v>
      </c>
      <c r="E542">
        <v>6</v>
      </c>
      <c r="F542" t="s">
        <v>226</v>
      </c>
      <c r="G542" t="s">
        <v>246</v>
      </c>
      <c r="H542" t="s">
        <v>241</v>
      </c>
    </row>
    <row r="543" spans="1:8">
      <c r="A543">
        <v>20240625</v>
      </c>
      <c r="B543" s="1">
        <v>45468</v>
      </c>
      <c r="C543">
        <v>2024</v>
      </c>
      <c r="D543">
        <v>2</v>
      </c>
      <c r="E543">
        <v>6</v>
      </c>
      <c r="F543" t="s">
        <v>226</v>
      </c>
      <c r="G543" t="s">
        <v>246</v>
      </c>
      <c r="H543" t="s">
        <v>241</v>
      </c>
    </row>
    <row r="544" spans="1:8">
      <c r="A544">
        <v>20240626</v>
      </c>
      <c r="B544" s="1">
        <v>45469</v>
      </c>
      <c r="C544">
        <v>2024</v>
      </c>
      <c r="D544">
        <v>2</v>
      </c>
      <c r="E544">
        <v>6</v>
      </c>
      <c r="F544" t="s">
        <v>226</v>
      </c>
      <c r="G544" t="s">
        <v>246</v>
      </c>
      <c r="H544" t="s">
        <v>241</v>
      </c>
    </row>
    <row r="545" spans="1:8">
      <c r="A545">
        <v>20240627</v>
      </c>
      <c r="B545" s="1">
        <v>45470</v>
      </c>
      <c r="C545">
        <v>2024</v>
      </c>
      <c r="D545">
        <v>2</v>
      </c>
      <c r="E545">
        <v>6</v>
      </c>
      <c r="F545" t="s">
        <v>226</v>
      </c>
      <c r="G545" t="s">
        <v>246</v>
      </c>
      <c r="H545" t="s">
        <v>241</v>
      </c>
    </row>
    <row r="546" spans="1:8">
      <c r="A546">
        <v>20240628</v>
      </c>
      <c r="B546" s="1">
        <v>45471</v>
      </c>
      <c r="C546">
        <v>2024</v>
      </c>
      <c r="D546">
        <v>2</v>
      </c>
      <c r="E546">
        <v>6</v>
      </c>
      <c r="F546" t="s">
        <v>226</v>
      </c>
      <c r="G546" t="s">
        <v>246</v>
      </c>
      <c r="H546" t="s">
        <v>241</v>
      </c>
    </row>
    <row r="547" spans="1:8">
      <c r="A547">
        <v>20240629</v>
      </c>
      <c r="B547" s="1">
        <v>45472</v>
      </c>
      <c r="C547">
        <v>2024</v>
      </c>
      <c r="D547">
        <v>2</v>
      </c>
      <c r="E547">
        <v>6</v>
      </c>
      <c r="F547" t="s">
        <v>226</v>
      </c>
      <c r="G547" t="s">
        <v>246</v>
      </c>
      <c r="H547" t="s">
        <v>241</v>
      </c>
    </row>
    <row r="548" spans="1:8">
      <c r="A548">
        <v>20240630</v>
      </c>
      <c r="B548" s="1">
        <v>45473</v>
      </c>
      <c r="C548">
        <v>2024</v>
      </c>
      <c r="D548">
        <v>2</v>
      </c>
      <c r="E548">
        <v>6</v>
      </c>
      <c r="F548" t="s">
        <v>226</v>
      </c>
      <c r="G548" t="s">
        <v>246</v>
      </c>
      <c r="H548" t="s">
        <v>241</v>
      </c>
    </row>
    <row r="549" spans="1:8">
      <c r="A549">
        <v>20240701</v>
      </c>
      <c r="B549" s="1">
        <v>45474</v>
      </c>
      <c r="C549">
        <v>2024</v>
      </c>
      <c r="D549">
        <v>3</v>
      </c>
      <c r="E549">
        <v>7</v>
      </c>
      <c r="F549" t="s">
        <v>228</v>
      </c>
      <c r="G549" t="s">
        <v>247</v>
      </c>
      <c r="H549" t="s">
        <v>241</v>
      </c>
    </row>
    <row r="550" spans="1:8">
      <c r="A550">
        <v>20240702</v>
      </c>
      <c r="B550" s="1">
        <v>45475</v>
      </c>
      <c r="C550">
        <v>2024</v>
      </c>
      <c r="D550">
        <v>3</v>
      </c>
      <c r="E550">
        <v>7</v>
      </c>
      <c r="F550" t="s">
        <v>228</v>
      </c>
      <c r="G550" t="s">
        <v>247</v>
      </c>
      <c r="H550" t="s">
        <v>241</v>
      </c>
    </row>
    <row r="551" spans="1:8">
      <c r="A551">
        <v>20240703</v>
      </c>
      <c r="B551" s="1">
        <v>45476</v>
      </c>
      <c r="C551">
        <v>2024</v>
      </c>
      <c r="D551">
        <v>3</v>
      </c>
      <c r="E551">
        <v>7</v>
      </c>
      <c r="F551" t="s">
        <v>228</v>
      </c>
      <c r="G551" t="s">
        <v>247</v>
      </c>
      <c r="H551" t="s">
        <v>241</v>
      </c>
    </row>
    <row r="552" spans="1:8">
      <c r="A552">
        <v>20240704</v>
      </c>
      <c r="B552" s="1">
        <v>45477</v>
      </c>
      <c r="C552">
        <v>2024</v>
      </c>
      <c r="D552">
        <v>3</v>
      </c>
      <c r="E552">
        <v>7</v>
      </c>
      <c r="F552" t="s">
        <v>228</v>
      </c>
      <c r="G552" t="s">
        <v>247</v>
      </c>
      <c r="H552" t="s">
        <v>241</v>
      </c>
    </row>
    <row r="553" spans="1:8">
      <c r="A553">
        <v>20240705</v>
      </c>
      <c r="B553" s="1">
        <v>45478</v>
      </c>
      <c r="C553">
        <v>2024</v>
      </c>
      <c r="D553">
        <v>3</v>
      </c>
      <c r="E553">
        <v>7</v>
      </c>
      <c r="F553" t="s">
        <v>228</v>
      </c>
      <c r="G553" t="s">
        <v>247</v>
      </c>
      <c r="H553" t="s">
        <v>241</v>
      </c>
    </row>
    <row r="554" spans="1:8">
      <c r="A554">
        <v>20240706</v>
      </c>
      <c r="B554" s="1">
        <v>45479</v>
      </c>
      <c r="C554">
        <v>2024</v>
      </c>
      <c r="D554">
        <v>3</v>
      </c>
      <c r="E554">
        <v>7</v>
      </c>
      <c r="F554" t="s">
        <v>228</v>
      </c>
      <c r="G554" t="s">
        <v>247</v>
      </c>
      <c r="H554" t="s">
        <v>241</v>
      </c>
    </row>
    <row r="555" spans="1:8">
      <c r="A555">
        <v>20240707</v>
      </c>
      <c r="B555" s="1">
        <v>45480</v>
      </c>
      <c r="C555">
        <v>2024</v>
      </c>
      <c r="D555">
        <v>3</v>
      </c>
      <c r="E555">
        <v>7</v>
      </c>
      <c r="F555" t="s">
        <v>228</v>
      </c>
      <c r="G555" t="s">
        <v>247</v>
      </c>
      <c r="H555" t="s">
        <v>241</v>
      </c>
    </row>
    <row r="556" spans="1:8">
      <c r="A556">
        <v>20240708</v>
      </c>
      <c r="B556" s="1">
        <v>45481</v>
      </c>
      <c r="C556">
        <v>2024</v>
      </c>
      <c r="D556">
        <v>3</v>
      </c>
      <c r="E556">
        <v>7</v>
      </c>
      <c r="F556" t="s">
        <v>228</v>
      </c>
      <c r="G556" t="s">
        <v>247</v>
      </c>
      <c r="H556" t="s">
        <v>241</v>
      </c>
    </row>
    <row r="557" spans="1:8">
      <c r="A557">
        <v>20240709</v>
      </c>
      <c r="B557" s="1">
        <v>45482</v>
      </c>
      <c r="C557">
        <v>2024</v>
      </c>
      <c r="D557">
        <v>3</v>
      </c>
      <c r="E557">
        <v>7</v>
      </c>
      <c r="F557" t="s">
        <v>228</v>
      </c>
      <c r="G557" t="s">
        <v>247</v>
      </c>
      <c r="H557" t="s">
        <v>241</v>
      </c>
    </row>
    <row r="558" spans="1:8">
      <c r="A558">
        <v>20240710</v>
      </c>
      <c r="B558" s="1">
        <v>45483</v>
      </c>
      <c r="C558">
        <v>2024</v>
      </c>
      <c r="D558">
        <v>3</v>
      </c>
      <c r="E558">
        <v>7</v>
      </c>
      <c r="F558" t="s">
        <v>228</v>
      </c>
      <c r="G558" t="s">
        <v>247</v>
      </c>
      <c r="H558" t="s">
        <v>241</v>
      </c>
    </row>
    <row r="559" spans="1:8">
      <c r="A559">
        <v>20240711</v>
      </c>
      <c r="B559" s="1">
        <v>45484</v>
      </c>
      <c r="C559">
        <v>2024</v>
      </c>
      <c r="D559">
        <v>3</v>
      </c>
      <c r="E559">
        <v>7</v>
      </c>
      <c r="F559" t="s">
        <v>228</v>
      </c>
      <c r="G559" t="s">
        <v>247</v>
      </c>
      <c r="H559" t="s">
        <v>241</v>
      </c>
    </row>
    <row r="560" spans="1:8">
      <c r="A560">
        <v>20240712</v>
      </c>
      <c r="B560" s="1">
        <v>45485</v>
      </c>
      <c r="C560">
        <v>2024</v>
      </c>
      <c r="D560">
        <v>3</v>
      </c>
      <c r="E560">
        <v>7</v>
      </c>
      <c r="F560" t="s">
        <v>228</v>
      </c>
      <c r="G560" t="s">
        <v>247</v>
      </c>
      <c r="H560" t="s">
        <v>241</v>
      </c>
    </row>
    <row r="561" spans="1:8">
      <c r="A561">
        <v>20240713</v>
      </c>
      <c r="B561" s="1">
        <v>45486</v>
      </c>
      <c r="C561">
        <v>2024</v>
      </c>
      <c r="D561">
        <v>3</v>
      </c>
      <c r="E561">
        <v>7</v>
      </c>
      <c r="F561" t="s">
        <v>228</v>
      </c>
      <c r="G561" t="s">
        <v>247</v>
      </c>
      <c r="H561" t="s">
        <v>241</v>
      </c>
    </row>
    <row r="562" spans="1:8">
      <c r="A562">
        <v>20240714</v>
      </c>
      <c r="B562" s="1">
        <v>45487</v>
      </c>
      <c r="C562">
        <v>2024</v>
      </c>
      <c r="D562">
        <v>3</v>
      </c>
      <c r="E562">
        <v>7</v>
      </c>
      <c r="F562" t="s">
        <v>228</v>
      </c>
      <c r="G562" t="s">
        <v>247</v>
      </c>
      <c r="H562" t="s">
        <v>241</v>
      </c>
    </row>
    <row r="563" spans="1:8">
      <c r="A563">
        <v>20240715</v>
      </c>
      <c r="B563" s="1">
        <v>45488</v>
      </c>
      <c r="C563">
        <v>2024</v>
      </c>
      <c r="D563">
        <v>3</v>
      </c>
      <c r="E563">
        <v>7</v>
      </c>
      <c r="F563" t="s">
        <v>228</v>
      </c>
      <c r="G563" t="s">
        <v>247</v>
      </c>
      <c r="H563" t="s">
        <v>241</v>
      </c>
    </row>
    <row r="564" spans="1:8">
      <c r="A564">
        <v>20240716</v>
      </c>
      <c r="B564" s="1">
        <v>45489</v>
      </c>
      <c r="C564">
        <v>2024</v>
      </c>
      <c r="D564">
        <v>3</v>
      </c>
      <c r="E564">
        <v>7</v>
      </c>
      <c r="F564" t="s">
        <v>228</v>
      </c>
      <c r="G564" t="s">
        <v>247</v>
      </c>
      <c r="H564" t="s">
        <v>241</v>
      </c>
    </row>
    <row r="565" spans="1:8">
      <c r="A565">
        <v>20240717</v>
      </c>
      <c r="B565" s="1">
        <v>45490</v>
      </c>
      <c r="C565">
        <v>2024</v>
      </c>
      <c r="D565">
        <v>3</v>
      </c>
      <c r="E565">
        <v>7</v>
      </c>
      <c r="F565" t="s">
        <v>228</v>
      </c>
      <c r="G565" t="s">
        <v>247</v>
      </c>
      <c r="H565" t="s">
        <v>241</v>
      </c>
    </row>
    <row r="566" spans="1:8">
      <c r="A566">
        <v>20240718</v>
      </c>
      <c r="B566" s="1">
        <v>45491</v>
      </c>
      <c r="C566">
        <v>2024</v>
      </c>
      <c r="D566">
        <v>3</v>
      </c>
      <c r="E566">
        <v>7</v>
      </c>
      <c r="F566" t="s">
        <v>228</v>
      </c>
      <c r="G566" t="s">
        <v>247</v>
      </c>
      <c r="H566" t="s">
        <v>241</v>
      </c>
    </row>
    <row r="567" spans="1:8">
      <c r="A567">
        <v>20240719</v>
      </c>
      <c r="B567" s="1">
        <v>45492</v>
      </c>
      <c r="C567">
        <v>2024</v>
      </c>
      <c r="D567">
        <v>3</v>
      </c>
      <c r="E567">
        <v>7</v>
      </c>
      <c r="F567" t="s">
        <v>228</v>
      </c>
      <c r="G567" t="s">
        <v>247</v>
      </c>
      <c r="H567" t="s">
        <v>241</v>
      </c>
    </row>
    <row r="568" spans="1:8">
      <c r="A568">
        <v>20240720</v>
      </c>
      <c r="B568" s="1">
        <v>45493</v>
      </c>
      <c r="C568">
        <v>2024</v>
      </c>
      <c r="D568">
        <v>3</v>
      </c>
      <c r="E568">
        <v>7</v>
      </c>
      <c r="F568" t="s">
        <v>228</v>
      </c>
      <c r="G568" t="s">
        <v>247</v>
      </c>
      <c r="H568" t="s">
        <v>241</v>
      </c>
    </row>
    <row r="569" spans="1:8">
      <c r="A569">
        <v>20240721</v>
      </c>
      <c r="B569" s="1">
        <v>45494</v>
      </c>
      <c r="C569">
        <v>2024</v>
      </c>
      <c r="D569">
        <v>3</v>
      </c>
      <c r="E569">
        <v>7</v>
      </c>
      <c r="F569" t="s">
        <v>228</v>
      </c>
      <c r="G569" t="s">
        <v>247</v>
      </c>
      <c r="H569" t="s">
        <v>241</v>
      </c>
    </row>
    <row r="570" spans="1:8">
      <c r="A570">
        <v>20240722</v>
      </c>
      <c r="B570" s="1">
        <v>45495</v>
      </c>
      <c r="C570">
        <v>2024</v>
      </c>
      <c r="D570">
        <v>3</v>
      </c>
      <c r="E570">
        <v>7</v>
      </c>
      <c r="F570" t="s">
        <v>228</v>
      </c>
      <c r="G570" t="s">
        <v>247</v>
      </c>
      <c r="H570" t="s">
        <v>241</v>
      </c>
    </row>
    <row r="571" spans="1:8">
      <c r="A571">
        <v>20240723</v>
      </c>
      <c r="B571" s="1">
        <v>45496</v>
      </c>
      <c r="C571">
        <v>2024</v>
      </c>
      <c r="D571">
        <v>3</v>
      </c>
      <c r="E571">
        <v>7</v>
      </c>
      <c r="F571" t="s">
        <v>228</v>
      </c>
      <c r="G571" t="s">
        <v>247</v>
      </c>
      <c r="H571" t="s">
        <v>241</v>
      </c>
    </row>
    <row r="572" spans="1:8">
      <c r="A572">
        <v>20240724</v>
      </c>
      <c r="B572" s="1">
        <v>45497</v>
      </c>
      <c r="C572">
        <v>2024</v>
      </c>
      <c r="D572">
        <v>3</v>
      </c>
      <c r="E572">
        <v>7</v>
      </c>
      <c r="F572" t="s">
        <v>228</v>
      </c>
      <c r="G572" t="s">
        <v>247</v>
      </c>
      <c r="H572" t="s">
        <v>241</v>
      </c>
    </row>
    <row r="573" spans="1:8">
      <c r="A573">
        <v>20240725</v>
      </c>
      <c r="B573" s="1">
        <v>45498</v>
      </c>
      <c r="C573">
        <v>2024</v>
      </c>
      <c r="D573">
        <v>3</v>
      </c>
      <c r="E573">
        <v>7</v>
      </c>
      <c r="F573" t="s">
        <v>228</v>
      </c>
      <c r="G573" t="s">
        <v>247</v>
      </c>
      <c r="H573" t="s">
        <v>241</v>
      </c>
    </row>
    <row r="574" spans="1:8">
      <c r="A574">
        <v>20240726</v>
      </c>
      <c r="B574" s="1">
        <v>45499</v>
      </c>
      <c r="C574">
        <v>2024</v>
      </c>
      <c r="D574">
        <v>3</v>
      </c>
      <c r="E574">
        <v>7</v>
      </c>
      <c r="F574" t="s">
        <v>228</v>
      </c>
      <c r="G574" t="s">
        <v>247</v>
      </c>
      <c r="H574" t="s">
        <v>241</v>
      </c>
    </row>
    <row r="575" spans="1:8">
      <c r="A575">
        <v>20240727</v>
      </c>
      <c r="B575" s="1">
        <v>45500</v>
      </c>
      <c r="C575">
        <v>2024</v>
      </c>
      <c r="D575">
        <v>3</v>
      </c>
      <c r="E575">
        <v>7</v>
      </c>
      <c r="F575" t="s">
        <v>228</v>
      </c>
      <c r="G575" t="s">
        <v>247</v>
      </c>
      <c r="H575" t="s">
        <v>241</v>
      </c>
    </row>
    <row r="576" spans="1:8">
      <c r="A576">
        <v>20240728</v>
      </c>
      <c r="B576" s="1">
        <v>45501</v>
      </c>
      <c r="C576">
        <v>2024</v>
      </c>
      <c r="D576">
        <v>3</v>
      </c>
      <c r="E576">
        <v>7</v>
      </c>
      <c r="F576" t="s">
        <v>228</v>
      </c>
      <c r="G576" t="s">
        <v>247</v>
      </c>
      <c r="H576" t="s">
        <v>241</v>
      </c>
    </row>
    <row r="577" spans="1:8">
      <c r="A577">
        <v>20240729</v>
      </c>
      <c r="B577" s="1">
        <v>45502</v>
      </c>
      <c r="C577">
        <v>2024</v>
      </c>
      <c r="D577">
        <v>3</v>
      </c>
      <c r="E577">
        <v>7</v>
      </c>
      <c r="F577" t="s">
        <v>228</v>
      </c>
      <c r="G577" t="s">
        <v>247</v>
      </c>
      <c r="H577" t="s">
        <v>241</v>
      </c>
    </row>
    <row r="578" spans="1:8">
      <c r="A578">
        <v>20240730</v>
      </c>
      <c r="B578" s="1">
        <v>45503</v>
      </c>
      <c r="C578">
        <v>2024</v>
      </c>
      <c r="D578">
        <v>3</v>
      </c>
      <c r="E578">
        <v>7</v>
      </c>
      <c r="F578" t="s">
        <v>228</v>
      </c>
      <c r="G578" t="s">
        <v>247</v>
      </c>
      <c r="H578" t="s">
        <v>241</v>
      </c>
    </row>
    <row r="579" spans="1:8">
      <c r="A579">
        <v>20240731</v>
      </c>
      <c r="B579" s="1">
        <v>45504</v>
      </c>
      <c r="C579">
        <v>2024</v>
      </c>
      <c r="D579">
        <v>3</v>
      </c>
      <c r="E579">
        <v>7</v>
      </c>
      <c r="F579" t="s">
        <v>228</v>
      </c>
      <c r="G579" t="s">
        <v>247</v>
      </c>
      <c r="H579" t="s">
        <v>241</v>
      </c>
    </row>
    <row r="580" spans="1:8">
      <c r="A580">
        <v>20240801</v>
      </c>
      <c r="B580" s="1">
        <v>45505</v>
      </c>
      <c r="C580">
        <v>2024</v>
      </c>
      <c r="D580">
        <v>3</v>
      </c>
      <c r="E580">
        <v>8</v>
      </c>
      <c r="F580" t="s">
        <v>230</v>
      </c>
      <c r="G580" t="s">
        <v>248</v>
      </c>
      <c r="H580" t="s">
        <v>241</v>
      </c>
    </row>
    <row r="581" spans="1:8">
      <c r="A581">
        <v>20240802</v>
      </c>
      <c r="B581" s="1">
        <v>45506</v>
      </c>
      <c r="C581">
        <v>2024</v>
      </c>
      <c r="D581">
        <v>3</v>
      </c>
      <c r="E581">
        <v>8</v>
      </c>
      <c r="F581" t="s">
        <v>230</v>
      </c>
      <c r="G581" t="s">
        <v>248</v>
      </c>
      <c r="H581" t="s">
        <v>241</v>
      </c>
    </row>
    <row r="582" spans="1:8">
      <c r="A582">
        <v>20240803</v>
      </c>
      <c r="B582" s="1">
        <v>45507</v>
      </c>
      <c r="C582">
        <v>2024</v>
      </c>
      <c r="D582">
        <v>3</v>
      </c>
      <c r="E582">
        <v>8</v>
      </c>
      <c r="F582" t="s">
        <v>230</v>
      </c>
      <c r="G582" t="s">
        <v>248</v>
      </c>
      <c r="H582" t="s">
        <v>241</v>
      </c>
    </row>
    <row r="583" spans="1:8">
      <c r="A583">
        <v>20240804</v>
      </c>
      <c r="B583" s="1">
        <v>45508</v>
      </c>
      <c r="C583">
        <v>2024</v>
      </c>
      <c r="D583">
        <v>3</v>
      </c>
      <c r="E583">
        <v>8</v>
      </c>
      <c r="F583" t="s">
        <v>230</v>
      </c>
      <c r="G583" t="s">
        <v>248</v>
      </c>
      <c r="H583" t="s">
        <v>241</v>
      </c>
    </row>
    <row r="584" spans="1:8">
      <c r="A584">
        <v>20240805</v>
      </c>
      <c r="B584" s="1">
        <v>45509</v>
      </c>
      <c r="C584">
        <v>2024</v>
      </c>
      <c r="D584">
        <v>3</v>
      </c>
      <c r="E584">
        <v>8</v>
      </c>
      <c r="F584" t="s">
        <v>230</v>
      </c>
      <c r="G584" t="s">
        <v>248</v>
      </c>
      <c r="H584" t="s">
        <v>241</v>
      </c>
    </row>
    <row r="585" spans="1:8">
      <c r="A585">
        <v>20240806</v>
      </c>
      <c r="B585" s="1">
        <v>45510</v>
      </c>
      <c r="C585">
        <v>2024</v>
      </c>
      <c r="D585">
        <v>3</v>
      </c>
      <c r="E585">
        <v>8</v>
      </c>
      <c r="F585" t="s">
        <v>230</v>
      </c>
      <c r="G585" t="s">
        <v>248</v>
      </c>
      <c r="H585" t="s">
        <v>241</v>
      </c>
    </row>
    <row r="586" spans="1:8">
      <c r="A586">
        <v>20240807</v>
      </c>
      <c r="B586" s="1">
        <v>45511</v>
      </c>
      <c r="C586">
        <v>2024</v>
      </c>
      <c r="D586">
        <v>3</v>
      </c>
      <c r="E586">
        <v>8</v>
      </c>
      <c r="F586" t="s">
        <v>230</v>
      </c>
      <c r="G586" t="s">
        <v>248</v>
      </c>
      <c r="H586" t="s">
        <v>241</v>
      </c>
    </row>
    <row r="587" spans="1:8">
      <c r="A587">
        <v>20240808</v>
      </c>
      <c r="B587" s="1">
        <v>45512</v>
      </c>
      <c r="C587">
        <v>2024</v>
      </c>
      <c r="D587">
        <v>3</v>
      </c>
      <c r="E587">
        <v>8</v>
      </c>
      <c r="F587" t="s">
        <v>230</v>
      </c>
      <c r="G587" t="s">
        <v>248</v>
      </c>
      <c r="H587" t="s">
        <v>241</v>
      </c>
    </row>
    <row r="588" spans="1:8">
      <c r="A588">
        <v>20240809</v>
      </c>
      <c r="B588" s="1">
        <v>45513</v>
      </c>
      <c r="C588">
        <v>2024</v>
      </c>
      <c r="D588">
        <v>3</v>
      </c>
      <c r="E588">
        <v>8</v>
      </c>
      <c r="F588" t="s">
        <v>230</v>
      </c>
      <c r="G588" t="s">
        <v>248</v>
      </c>
      <c r="H588" t="s">
        <v>241</v>
      </c>
    </row>
    <row r="589" spans="1:8">
      <c r="A589">
        <v>20240810</v>
      </c>
      <c r="B589" s="1">
        <v>45514</v>
      </c>
      <c r="C589">
        <v>2024</v>
      </c>
      <c r="D589">
        <v>3</v>
      </c>
      <c r="E589">
        <v>8</v>
      </c>
      <c r="F589" t="s">
        <v>230</v>
      </c>
      <c r="G589" t="s">
        <v>248</v>
      </c>
      <c r="H589" t="s">
        <v>241</v>
      </c>
    </row>
    <row r="590" spans="1:8">
      <c r="A590">
        <v>20240811</v>
      </c>
      <c r="B590" s="1">
        <v>45515</v>
      </c>
      <c r="C590">
        <v>2024</v>
      </c>
      <c r="D590">
        <v>3</v>
      </c>
      <c r="E590">
        <v>8</v>
      </c>
      <c r="F590" t="s">
        <v>230</v>
      </c>
      <c r="G590" t="s">
        <v>248</v>
      </c>
      <c r="H590" t="s">
        <v>241</v>
      </c>
    </row>
    <row r="591" spans="1:8">
      <c r="A591">
        <v>20240812</v>
      </c>
      <c r="B591" s="1">
        <v>45516</v>
      </c>
      <c r="C591">
        <v>2024</v>
      </c>
      <c r="D591">
        <v>3</v>
      </c>
      <c r="E591">
        <v>8</v>
      </c>
      <c r="F591" t="s">
        <v>230</v>
      </c>
      <c r="G591" t="s">
        <v>248</v>
      </c>
      <c r="H591" t="s">
        <v>241</v>
      </c>
    </row>
    <row r="592" spans="1:8">
      <c r="A592">
        <v>20240813</v>
      </c>
      <c r="B592" s="1">
        <v>45517</v>
      </c>
      <c r="C592">
        <v>2024</v>
      </c>
      <c r="D592">
        <v>3</v>
      </c>
      <c r="E592">
        <v>8</v>
      </c>
      <c r="F592" t="s">
        <v>230</v>
      </c>
      <c r="G592" t="s">
        <v>248</v>
      </c>
      <c r="H592" t="s">
        <v>241</v>
      </c>
    </row>
    <row r="593" spans="1:8">
      <c r="A593">
        <v>20240814</v>
      </c>
      <c r="B593" s="1">
        <v>45518</v>
      </c>
      <c r="C593">
        <v>2024</v>
      </c>
      <c r="D593">
        <v>3</v>
      </c>
      <c r="E593">
        <v>8</v>
      </c>
      <c r="F593" t="s">
        <v>230</v>
      </c>
      <c r="G593" t="s">
        <v>248</v>
      </c>
      <c r="H593" t="s">
        <v>241</v>
      </c>
    </row>
    <row r="594" spans="1:8">
      <c r="A594">
        <v>20240815</v>
      </c>
      <c r="B594" s="1">
        <v>45519</v>
      </c>
      <c r="C594">
        <v>2024</v>
      </c>
      <c r="D594">
        <v>3</v>
      </c>
      <c r="E594">
        <v>8</v>
      </c>
      <c r="F594" t="s">
        <v>230</v>
      </c>
      <c r="G594" t="s">
        <v>248</v>
      </c>
      <c r="H594" t="s">
        <v>241</v>
      </c>
    </row>
    <row r="595" spans="1:8">
      <c r="A595">
        <v>20240816</v>
      </c>
      <c r="B595" s="1">
        <v>45520</v>
      </c>
      <c r="C595">
        <v>2024</v>
      </c>
      <c r="D595">
        <v>3</v>
      </c>
      <c r="E595">
        <v>8</v>
      </c>
      <c r="F595" t="s">
        <v>230</v>
      </c>
      <c r="G595" t="s">
        <v>248</v>
      </c>
      <c r="H595" t="s">
        <v>241</v>
      </c>
    </row>
    <row r="596" spans="1:8">
      <c r="A596">
        <v>20240817</v>
      </c>
      <c r="B596" s="1">
        <v>45521</v>
      </c>
      <c r="C596">
        <v>2024</v>
      </c>
      <c r="D596">
        <v>3</v>
      </c>
      <c r="E596">
        <v>8</v>
      </c>
      <c r="F596" t="s">
        <v>230</v>
      </c>
      <c r="G596" t="s">
        <v>248</v>
      </c>
      <c r="H596" t="s">
        <v>241</v>
      </c>
    </row>
    <row r="597" spans="1:8">
      <c r="A597">
        <v>20240818</v>
      </c>
      <c r="B597" s="1">
        <v>45522</v>
      </c>
      <c r="C597">
        <v>2024</v>
      </c>
      <c r="D597">
        <v>3</v>
      </c>
      <c r="E597">
        <v>8</v>
      </c>
      <c r="F597" t="s">
        <v>230</v>
      </c>
      <c r="G597" t="s">
        <v>248</v>
      </c>
      <c r="H597" t="s">
        <v>241</v>
      </c>
    </row>
    <row r="598" spans="1:8">
      <c r="A598">
        <v>20240819</v>
      </c>
      <c r="B598" s="1">
        <v>45523</v>
      </c>
      <c r="C598">
        <v>2024</v>
      </c>
      <c r="D598">
        <v>3</v>
      </c>
      <c r="E598">
        <v>8</v>
      </c>
      <c r="F598" t="s">
        <v>230</v>
      </c>
      <c r="G598" t="s">
        <v>248</v>
      </c>
      <c r="H598" t="s">
        <v>241</v>
      </c>
    </row>
    <row r="599" spans="1:8">
      <c r="A599">
        <v>20240820</v>
      </c>
      <c r="B599" s="1">
        <v>45524</v>
      </c>
      <c r="C599">
        <v>2024</v>
      </c>
      <c r="D599">
        <v>3</v>
      </c>
      <c r="E599">
        <v>8</v>
      </c>
      <c r="F599" t="s">
        <v>230</v>
      </c>
      <c r="G599" t="s">
        <v>248</v>
      </c>
      <c r="H599" t="s">
        <v>241</v>
      </c>
    </row>
    <row r="600" spans="1:8">
      <c r="A600">
        <v>20240821</v>
      </c>
      <c r="B600" s="1">
        <v>45525</v>
      </c>
      <c r="C600">
        <v>2024</v>
      </c>
      <c r="D600">
        <v>3</v>
      </c>
      <c r="E600">
        <v>8</v>
      </c>
      <c r="F600" t="s">
        <v>230</v>
      </c>
      <c r="G600" t="s">
        <v>248</v>
      </c>
      <c r="H600" t="s">
        <v>241</v>
      </c>
    </row>
    <row r="601" spans="1:8">
      <c r="A601">
        <v>20240822</v>
      </c>
      <c r="B601" s="1">
        <v>45526</v>
      </c>
      <c r="C601">
        <v>2024</v>
      </c>
      <c r="D601">
        <v>3</v>
      </c>
      <c r="E601">
        <v>8</v>
      </c>
      <c r="F601" t="s">
        <v>230</v>
      </c>
      <c r="G601" t="s">
        <v>248</v>
      </c>
      <c r="H601" t="s">
        <v>241</v>
      </c>
    </row>
    <row r="602" spans="1:8">
      <c r="A602">
        <v>20240823</v>
      </c>
      <c r="B602" s="1">
        <v>45527</v>
      </c>
      <c r="C602">
        <v>2024</v>
      </c>
      <c r="D602">
        <v>3</v>
      </c>
      <c r="E602">
        <v>8</v>
      </c>
      <c r="F602" t="s">
        <v>230</v>
      </c>
      <c r="G602" t="s">
        <v>248</v>
      </c>
      <c r="H602" t="s">
        <v>241</v>
      </c>
    </row>
    <row r="603" spans="1:8">
      <c r="A603">
        <v>20240824</v>
      </c>
      <c r="B603" s="1">
        <v>45528</v>
      </c>
      <c r="C603">
        <v>2024</v>
      </c>
      <c r="D603">
        <v>3</v>
      </c>
      <c r="E603">
        <v>8</v>
      </c>
      <c r="F603" t="s">
        <v>230</v>
      </c>
      <c r="G603" t="s">
        <v>248</v>
      </c>
      <c r="H603" t="s">
        <v>241</v>
      </c>
    </row>
    <row r="604" spans="1:8">
      <c r="A604">
        <v>20240825</v>
      </c>
      <c r="B604" s="1">
        <v>45529</v>
      </c>
      <c r="C604">
        <v>2024</v>
      </c>
      <c r="D604">
        <v>3</v>
      </c>
      <c r="E604">
        <v>8</v>
      </c>
      <c r="F604" t="s">
        <v>230</v>
      </c>
      <c r="G604" t="s">
        <v>248</v>
      </c>
      <c r="H604" t="s">
        <v>241</v>
      </c>
    </row>
    <row r="605" spans="1:8">
      <c r="A605">
        <v>20240826</v>
      </c>
      <c r="B605" s="1">
        <v>45530</v>
      </c>
      <c r="C605">
        <v>2024</v>
      </c>
      <c r="D605">
        <v>3</v>
      </c>
      <c r="E605">
        <v>8</v>
      </c>
      <c r="F605" t="s">
        <v>230</v>
      </c>
      <c r="G605" t="s">
        <v>248</v>
      </c>
      <c r="H605" t="s">
        <v>241</v>
      </c>
    </row>
    <row r="606" spans="1:8">
      <c r="A606">
        <v>20240827</v>
      </c>
      <c r="B606" s="1">
        <v>45531</v>
      </c>
      <c r="C606">
        <v>2024</v>
      </c>
      <c r="D606">
        <v>3</v>
      </c>
      <c r="E606">
        <v>8</v>
      </c>
      <c r="F606" t="s">
        <v>230</v>
      </c>
      <c r="G606" t="s">
        <v>248</v>
      </c>
      <c r="H606" t="s">
        <v>241</v>
      </c>
    </row>
    <row r="607" spans="1:8">
      <c r="A607">
        <v>20240828</v>
      </c>
      <c r="B607" s="1">
        <v>45532</v>
      </c>
      <c r="C607">
        <v>2024</v>
      </c>
      <c r="D607">
        <v>3</v>
      </c>
      <c r="E607">
        <v>8</v>
      </c>
      <c r="F607" t="s">
        <v>230</v>
      </c>
      <c r="G607" t="s">
        <v>248</v>
      </c>
      <c r="H607" t="s">
        <v>241</v>
      </c>
    </row>
    <row r="608" spans="1:8">
      <c r="A608">
        <v>20240829</v>
      </c>
      <c r="B608" s="1">
        <v>45533</v>
      </c>
      <c r="C608">
        <v>2024</v>
      </c>
      <c r="D608">
        <v>3</v>
      </c>
      <c r="E608">
        <v>8</v>
      </c>
      <c r="F608" t="s">
        <v>230</v>
      </c>
      <c r="G608" t="s">
        <v>248</v>
      </c>
      <c r="H608" t="s">
        <v>241</v>
      </c>
    </row>
    <row r="609" spans="1:8">
      <c r="A609">
        <v>20240830</v>
      </c>
      <c r="B609" s="1">
        <v>45534</v>
      </c>
      <c r="C609">
        <v>2024</v>
      </c>
      <c r="D609">
        <v>3</v>
      </c>
      <c r="E609">
        <v>8</v>
      </c>
      <c r="F609" t="s">
        <v>230</v>
      </c>
      <c r="G609" t="s">
        <v>248</v>
      </c>
      <c r="H609" t="s">
        <v>241</v>
      </c>
    </row>
    <row r="610" spans="1:8">
      <c r="A610">
        <v>20240831</v>
      </c>
      <c r="B610" s="1">
        <v>45535</v>
      </c>
      <c r="C610">
        <v>2024</v>
      </c>
      <c r="D610">
        <v>3</v>
      </c>
      <c r="E610">
        <v>8</v>
      </c>
      <c r="F610" t="s">
        <v>230</v>
      </c>
      <c r="G610" t="s">
        <v>248</v>
      </c>
      <c r="H610" t="s">
        <v>241</v>
      </c>
    </row>
    <row r="611" spans="1:8">
      <c r="A611">
        <v>20240901</v>
      </c>
      <c r="B611" s="1">
        <v>45536</v>
      </c>
      <c r="C611">
        <v>2024</v>
      </c>
      <c r="D611">
        <v>3</v>
      </c>
      <c r="E611">
        <v>9</v>
      </c>
      <c r="F611" t="s">
        <v>232</v>
      </c>
      <c r="G611" t="s">
        <v>249</v>
      </c>
      <c r="H611" t="s">
        <v>241</v>
      </c>
    </row>
    <row r="612" spans="1:8">
      <c r="A612">
        <v>20240902</v>
      </c>
      <c r="B612" s="1">
        <v>45537</v>
      </c>
      <c r="C612">
        <v>2024</v>
      </c>
      <c r="D612">
        <v>3</v>
      </c>
      <c r="E612">
        <v>9</v>
      </c>
      <c r="F612" t="s">
        <v>232</v>
      </c>
      <c r="G612" t="s">
        <v>249</v>
      </c>
      <c r="H612" t="s">
        <v>241</v>
      </c>
    </row>
    <row r="613" spans="1:8">
      <c r="A613">
        <v>20240903</v>
      </c>
      <c r="B613" s="1">
        <v>45538</v>
      </c>
      <c r="C613">
        <v>2024</v>
      </c>
      <c r="D613">
        <v>3</v>
      </c>
      <c r="E613">
        <v>9</v>
      </c>
      <c r="F613" t="s">
        <v>232</v>
      </c>
      <c r="G613" t="s">
        <v>249</v>
      </c>
      <c r="H613" t="s">
        <v>241</v>
      </c>
    </row>
    <row r="614" spans="1:8">
      <c r="A614">
        <v>20240904</v>
      </c>
      <c r="B614" s="1">
        <v>45539</v>
      </c>
      <c r="C614">
        <v>2024</v>
      </c>
      <c r="D614">
        <v>3</v>
      </c>
      <c r="E614">
        <v>9</v>
      </c>
      <c r="F614" t="s">
        <v>232</v>
      </c>
      <c r="G614" t="s">
        <v>249</v>
      </c>
      <c r="H614" t="s">
        <v>241</v>
      </c>
    </row>
    <row r="615" spans="1:8">
      <c r="A615">
        <v>20240905</v>
      </c>
      <c r="B615" s="1">
        <v>45540</v>
      </c>
      <c r="C615">
        <v>2024</v>
      </c>
      <c r="D615">
        <v>3</v>
      </c>
      <c r="E615">
        <v>9</v>
      </c>
      <c r="F615" t="s">
        <v>232</v>
      </c>
      <c r="G615" t="s">
        <v>249</v>
      </c>
      <c r="H615" t="s">
        <v>241</v>
      </c>
    </row>
    <row r="616" spans="1:8">
      <c r="A616">
        <v>20240906</v>
      </c>
      <c r="B616" s="1">
        <v>45541</v>
      </c>
      <c r="C616">
        <v>2024</v>
      </c>
      <c r="D616">
        <v>3</v>
      </c>
      <c r="E616">
        <v>9</v>
      </c>
      <c r="F616" t="s">
        <v>232</v>
      </c>
      <c r="G616" t="s">
        <v>249</v>
      </c>
      <c r="H616" t="s">
        <v>241</v>
      </c>
    </row>
    <row r="617" spans="1:8">
      <c r="A617">
        <v>20240907</v>
      </c>
      <c r="B617" s="1">
        <v>45542</v>
      </c>
      <c r="C617">
        <v>2024</v>
      </c>
      <c r="D617">
        <v>3</v>
      </c>
      <c r="E617">
        <v>9</v>
      </c>
      <c r="F617" t="s">
        <v>232</v>
      </c>
      <c r="G617" t="s">
        <v>249</v>
      </c>
      <c r="H617" t="s">
        <v>241</v>
      </c>
    </row>
    <row r="618" spans="1:8">
      <c r="A618">
        <v>20240908</v>
      </c>
      <c r="B618" s="1">
        <v>45543</v>
      </c>
      <c r="C618">
        <v>2024</v>
      </c>
      <c r="D618">
        <v>3</v>
      </c>
      <c r="E618">
        <v>9</v>
      </c>
      <c r="F618" t="s">
        <v>232</v>
      </c>
      <c r="G618" t="s">
        <v>249</v>
      </c>
      <c r="H618" t="s">
        <v>241</v>
      </c>
    </row>
    <row r="619" spans="1:8">
      <c r="A619">
        <v>20240909</v>
      </c>
      <c r="B619" s="1">
        <v>45544</v>
      </c>
      <c r="C619">
        <v>2024</v>
      </c>
      <c r="D619">
        <v>3</v>
      </c>
      <c r="E619">
        <v>9</v>
      </c>
      <c r="F619" t="s">
        <v>232</v>
      </c>
      <c r="G619" t="s">
        <v>249</v>
      </c>
      <c r="H619" t="s">
        <v>241</v>
      </c>
    </row>
    <row r="620" spans="1:8">
      <c r="A620">
        <v>20240910</v>
      </c>
      <c r="B620" s="1">
        <v>45545</v>
      </c>
      <c r="C620">
        <v>2024</v>
      </c>
      <c r="D620">
        <v>3</v>
      </c>
      <c r="E620">
        <v>9</v>
      </c>
      <c r="F620" t="s">
        <v>232</v>
      </c>
      <c r="G620" t="s">
        <v>249</v>
      </c>
      <c r="H620" t="s">
        <v>241</v>
      </c>
    </row>
    <row r="621" spans="1:8">
      <c r="A621">
        <v>20240911</v>
      </c>
      <c r="B621" s="1">
        <v>45546</v>
      </c>
      <c r="C621">
        <v>2024</v>
      </c>
      <c r="D621">
        <v>3</v>
      </c>
      <c r="E621">
        <v>9</v>
      </c>
      <c r="F621" t="s">
        <v>232</v>
      </c>
      <c r="G621" t="s">
        <v>249</v>
      </c>
      <c r="H621" t="s">
        <v>241</v>
      </c>
    </row>
    <row r="622" spans="1:8">
      <c r="A622">
        <v>20240912</v>
      </c>
      <c r="B622" s="1">
        <v>45547</v>
      </c>
      <c r="C622">
        <v>2024</v>
      </c>
      <c r="D622">
        <v>3</v>
      </c>
      <c r="E622">
        <v>9</v>
      </c>
      <c r="F622" t="s">
        <v>232</v>
      </c>
      <c r="G622" t="s">
        <v>249</v>
      </c>
      <c r="H622" t="s">
        <v>241</v>
      </c>
    </row>
    <row r="623" spans="1:8">
      <c r="A623">
        <v>20240913</v>
      </c>
      <c r="B623" s="1">
        <v>45548</v>
      </c>
      <c r="C623">
        <v>2024</v>
      </c>
      <c r="D623">
        <v>3</v>
      </c>
      <c r="E623">
        <v>9</v>
      </c>
      <c r="F623" t="s">
        <v>232</v>
      </c>
      <c r="G623" t="s">
        <v>249</v>
      </c>
      <c r="H623" t="s">
        <v>241</v>
      </c>
    </row>
    <row r="624" spans="1:8">
      <c r="A624">
        <v>20240914</v>
      </c>
      <c r="B624" s="1">
        <v>45549</v>
      </c>
      <c r="C624">
        <v>2024</v>
      </c>
      <c r="D624">
        <v>3</v>
      </c>
      <c r="E624">
        <v>9</v>
      </c>
      <c r="F624" t="s">
        <v>232</v>
      </c>
      <c r="G624" t="s">
        <v>249</v>
      </c>
      <c r="H624" t="s">
        <v>241</v>
      </c>
    </row>
    <row r="625" spans="1:8">
      <c r="A625">
        <v>20240915</v>
      </c>
      <c r="B625" s="1">
        <v>45550</v>
      </c>
      <c r="C625">
        <v>2024</v>
      </c>
      <c r="D625">
        <v>3</v>
      </c>
      <c r="E625">
        <v>9</v>
      </c>
      <c r="F625" t="s">
        <v>232</v>
      </c>
      <c r="G625" t="s">
        <v>249</v>
      </c>
      <c r="H625" t="s">
        <v>241</v>
      </c>
    </row>
    <row r="626" spans="1:8">
      <c r="A626">
        <v>20240916</v>
      </c>
      <c r="B626" s="1">
        <v>45551</v>
      </c>
      <c r="C626">
        <v>2024</v>
      </c>
      <c r="D626">
        <v>3</v>
      </c>
      <c r="E626">
        <v>9</v>
      </c>
      <c r="F626" t="s">
        <v>232</v>
      </c>
      <c r="G626" t="s">
        <v>249</v>
      </c>
      <c r="H626" t="s">
        <v>241</v>
      </c>
    </row>
    <row r="627" spans="1:8">
      <c r="A627">
        <v>20240917</v>
      </c>
      <c r="B627" s="1">
        <v>45552</v>
      </c>
      <c r="C627">
        <v>2024</v>
      </c>
      <c r="D627">
        <v>3</v>
      </c>
      <c r="E627">
        <v>9</v>
      </c>
      <c r="F627" t="s">
        <v>232</v>
      </c>
      <c r="G627" t="s">
        <v>249</v>
      </c>
      <c r="H627" t="s">
        <v>241</v>
      </c>
    </row>
    <row r="628" spans="1:8">
      <c r="A628">
        <v>20240918</v>
      </c>
      <c r="B628" s="1">
        <v>45553</v>
      </c>
      <c r="C628">
        <v>2024</v>
      </c>
      <c r="D628">
        <v>3</v>
      </c>
      <c r="E628">
        <v>9</v>
      </c>
      <c r="F628" t="s">
        <v>232</v>
      </c>
      <c r="G628" t="s">
        <v>249</v>
      </c>
      <c r="H628" t="s">
        <v>241</v>
      </c>
    </row>
    <row r="629" spans="1:8">
      <c r="A629">
        <v>20240919</v>
      </c>
      <c r="B629" s="1">
        <v>45554</v>
      </c>
      <c r="C629">
        <v>2024</v>
      </c>
      <c r="D629">
        <v>3</v>
      </c>
      <c r="E629">
        <v>9</v>
      </c>
      <c r="F629" t="s">
        <v>232</v>
      </c>
      <c r="G629" t="s">
        <v>249</v>
      </c>
      <c r="H629" t="s">
        <v>241</v>
      </c>
    </row>
    <row r="630" spans="1:8">
      <c r="A630">
        <v>20240920</v>
      </c>
      <c r="B630" s="1">
        <v>45555</v>
      </c>
      <c r="C630">
        <v>2024</v>
      </c>
      <c r="D630">
        <v>3</v>
      </c>
      <c r="E630">
        <v>9</v>
      </c>
      <c r="F630" t="s">
        <v>232</v>
      </c>
      <c r="G630" t="s">
        <v>249</v>
      </c>
      <c r="H630" t="s">
        <v>241</v>
      </c>
    </row>
    <row r="631" spans="1:8">
      <c r="A631">
        <v>20240921</v>
      </c>
      <c r="B631" s="1">
        <v>45556</v>
      </c>
      <c r="C631">
        <v>2024</v>
      </c>
      <c r="D631">
        <v>3</v>
      </c>
      <c r="E631">
        <v>9</v>
      </c>
      <c r="F631" t="s">
        <v>232</v>
      </c>
      <c r="G631" t="s">
        <v>249</v>
      </c>
      <c r="H631" t="s">
        <v>241</v>
      </c>
    </row>
    <row r="632" spans="1:8">
      <c r="A632">
        <v>20240922</v>
      </c>
      <c r="B632" s="1">
        <v>45557</v>
      </c>
      <c r="C632">
        <v>2024</v>
      </c>
      <c r="D632">
        <v>3</v>
      </c>
      <c r="E632">
        <v>9</v>
      </c>
      <c r="F632" t="s">
        <v>232</v>
      </c>
      <c r="G632" t="s">
        <v>249</v>
      </c>
      <c r="H632" t="s">
        <v>241</v>
      </c>
    </row>
    <row r="633" spans="1:8">
      <c r="A633">
        <v>20240923</v>
      </c>
      <c r="B633" s="1">
        <v>45558</v>
      </c>
      <c r="C633">
        <v>2024</v>
      </c>
      <c r="D633">
        <v>3</v>
      </c>
      <c r="E633">
        <v>9</v>
      </c>
      <c r="F633" t="s">
        <v>232</v>
      </c>
      <c r="G633" t="s">
        <v>249</v>
      </c>
      <c r="H633" t="s">
        <v>241</v>
      </c>
    </row>
    <row r="634" spans="1:8">
      <c r="A634">
        <v>20240924</v>
      </c>
      <c r="B634" s="1">
        <v>45559</v>
      </c>
      <c r="C634">
        <v>2024</v>
      </c>
      <c r="D634">
        <v>3</v>
      </c>
      <c r="E634">
        <v>9</v>
      </c>
      <c r="F634" t="s">
        <v>232</v>
      </c>
      <c r="G634" t="s">
        <v>249</v>
      </c>
      <c r="H634" t="s">
        <v>241</v>
      </c>
    </row>
    <row r="635" spans="1:8">
      <c r="A635">
        <v>20240925</v>
      </c>
      <c r="B635" s="1">
        <v>45560</v>
      </c>
      <c r="C635">
        <v>2024</v>
      </c>
      <c r="D635">
        <v>3</v>
      </c>
      <c r="E635">
        <v>9</v>
      </c>
      <c r="F635" t="s">
        <v>232</v>
      </c>
      <c r="G635" t="s">
        <v>249</v>
      </c>
      <c r="H635" t="s">
        <v>241</v>
      </c>
    </row>
    <row r="636" spans="1:8">
      <c r="A636">
        <v>20240926</v>
      </c>
      <c r="B636" s="1">
        <v>45561</v>
      </c>
      <c r="C636">
        <v>2024</v>
      </c>
      <c r="D636">
        <v>3</v>
      </c>
      <c r="E636">
        <v>9</v>
      </c>
      <c r="F636" t="s">
        <v>232</v>
      </c>
      <c r="G636" t="s">
        <v>249</v>
      </c>
      <c r="H636" t="s">
        <v>241</v>
      </c>
    </row>
    <row r="637" spans="1:8">
      <c r="A637">
        <v>20240927</v>
      </c>
      <c r="B637" s="1">
        <v>45562</v>
      </c>
      <c r="C637">
        <v>2024</v>
      </c>
      <c r="D637">
        <v>3</v>
      </c>
      <c r="E637">
        <v>9</v>
      </c>
      <c r="F637" t="s">
        <v>232</v>
      </c>
      <c r="G637" t="s">
        <v>249</v>
      </c>
      <c r="H637" t="s">
        <v>241</v>
      </c>
    </row>
    <row r="638" spans="1:8">
      <c r="A638">
        <v>20240928</v>
      </c>
      <c r="B638" s="1">
        <v>45563</v>
      </c>
      <c r="C638">
        <v>2024</v>
      </c>
      <c r="D638">
        <v>3</v>
      </c>
      <c r="E638">
        <v>9</v>
      </c>
      <c r="F638" t="s">
        <v>232</v>
      </c>
      <c r="G638" t="s">
        <v>249</v>
      </c>
      <c r="H638" t="s">
        <v>241</v>
      </c>
    </row>
    <row r="639" spans="1:8">
      <c r="A639">
        <v>20240929</v>
      </c>
      <c r="B639" s="1">
        <v>45564</v>
      </c>
      <c r="C639">
        <v>2024</v>
      </c>
      <c r="D639">
        <v>3</v>
      </c>
      <c r="E639">
        <v>9</v>
      </c>
      <c r="F639" t="s">
        <v>232</v>
      </c>
      <c r="G639" t="s">
        <v>249</v>
      </c>
      <c r="H639" t="s">
        <v>241</v>
      </c>
    </row>
    <row r="640" spans="1:8">
      <c r="A640">
        <v>20240930</v>
      </c>
      <c r="B640" s="1">
        <v>45565</v>
      </c>
      <c r="C640">
        <v>2024</v>
      </c>
      <c r="D640">
        <v>3</v>
      </c>
      <c r="E640">
        <v>9</v>
      </c>
      <c r="F640" t="s">
        <v>232</v>
      </c>
      <c r="G640" t="s">
        <v>249</v>
      </c>
      <c r="H640" t="s">
        <v>241</v>
      </c>
    </row>
    <row r="641" spans="1:8">
      <c r="A641">
        <v>20241001</v>
      </c>
      <c r="B641" s="1">
        <v>45566</v>
      </c>
      <c r="C641">
        <v>2024</v>
      </c>
      <c r="D641">
        <v>4</v>
      </c>
      <c r="E641">
        <v>10</v>
      </c>
      <c r="F641" t="s">
        <v>234</v>
      </c>
      <c r="G641" t="s">
        <v>250</v>
      </c>
      <c r="H641" t="s">
        <v>241</v>
      </c>
    </row>
    <row r="642" spans="1:8">
      <c r="A642">
        <v>20241002</v>
      </c>
      <c r="B642" s="1">
        <v>45567</v>
      </c>
      <c r="C642">
        <v>2024</v>
      </c>
      <c r="D642">
        <v>4</v>
      </c>
      <c r="E642">
        <v>10</v>
      </c>
      <c r="F642" t="s">
        <v>234</v>
      </c>
      <c r="G642" t="s">
        <v>250</v>
      </c>
      <c r="H642" t="s">
        <v>241</v>
      </c>
    </row>
    <row r="643" spans="1:8">
      <c r="A643">
        <v>20241003</v>
      </c>
      <c r="B643" s="1">
        <v>45568</v>
      </c>
      <c r="C643">
        <v>2024</v>
      </c>
      <c r="D643">
        <v>4</v>
      </c>
      <c r="E643">
        <v>10</v>
      </c>
      <c r="F643" t="s">
        <v>234</v>
      </c>
      <c r="G643" t="s">
        <v>250</v>
      </c>
      <c r="H643" t="s">
        <v>241</v>
      </c>
    </row>
    <row r="644" spans="1:8">
      <c r="A644">
        <v>20241004</v>
      </c>
      <c r="B644" s="1">
        <v>45569</v>
      </c>
      <c r="C644">
        <v>2024</v>
      </c>
      <c r="D644">
        <v>4</v>
      </c>
      <c r="E644">
        <v>10</v>
      </c>
      <c r="F644" t="s">
        <v>234</v>
      </c>
      <c r="G644" t="s">
        <v>250</v>
      </c>
      <c r="H644" t="s">
        <v>241</v>
      </c>
    </row>
    <row r="645" spans="1:8">
      <c r="A645">
        <v>20241005</v>
      </c>
      <c r="B645" s="1">
        <v>45570</v>
      </c>
      <c r="C645">
        <v>2024</v>
      </c>
      <c r="D645">
        <v>4</v>
      </c>
      <c r="E645">
        <v>10</v>
      </c>
      <c r="F645" t="s">
        <v>234</v>
      </c>
      <c r="G645" t="s">
        <v>250</v>
      </c>
      <c r="H645" t="s">
        <v>241</v>
      </c>
    </row>
    <row r="646" spans="1:8">
      <c r="A646">
        <v>20241006</v>
      </c>
      <c r="B646" s="1">
        <v>45571</v>
      </c>
      <c r="C646">
        <v>2024</v>
      </c>
      <c r="D646">
        <v>4</v>
      </c>
      <c r="E646">
        <v>10</v>
      </c>
      <c r="F646" t="s">
        <v>234</v>
      </c>
      <c r="G646" t="s">
        <v>250</v>
      </c>
      <c r="H646" t="s">
        <v>241</v>
      </c>
    </row>
    <row r="647" spans="1:8">
      <c r="A647">
        <v>20241007</v>
      </c>
      <c r="B647" s="1">
        <v>45572</v>
      </c>
      <c r="C647">
        <v>2024</v>
      </c>
      <c r="D647">
        <v>4</v>
      </c>
      <c r="E647">
        <v>10</v>
      </c>
      <c r="F647" t="s">
        <v>234</v>
      </c>
      <c r="G647" t="s">
        <v>250</v>
      </c>
      <c r="H647" t="s">
        <v>241</v>
      </c>
    </row>
    <row r="648" spans="1:8">
      <c r="A648">
        <v>20241008</v>
      </c>
      <c r="B648" s="1">
        <v>45573</v>
      </c>
      <c r="C648">
        <v>2024</v>
      </c>
      <c r="D648">
        <v>4</v>
      </c>
      <c r="E648">
        <v>10</v>
      </c>
      <c r="F648" t="s">
        <v>234</v>
      </c>
      <c r="G648" t="s">
        <v>250</v>
      </c>
      <c r="H648" t="s">
        <v>241</v>
      </c>
    </row>
    <row r="649" spans="1:8">
      <c r="A649">
        <v>20241009</v>
      </c>
      <c r="B649" s="1">
        <v>45574</v>
      </c>
      <c r="C649">
        <v>2024</v>
      </c>
      <c r="D649">
        <v>4</v>
      </c>
      <c r="E649">
        <v>10</v>
      </c>
      <c r="F649" t="s">
        <v>234</v>
      </c>
      <c r="G649" t="s">
        <v>250</v>
      </c>
      <c r="H649" t="s">
        <v>241</v>
      </c>
    </row>
    <row r="650" spans="1:8">
      <c r="A650">
        <v>20241010</v>
      </c>
      <c r="B650" s="1">
        <v>45575</v>
      </c>
      <c r="C650">
        <v>2024</v>
      </c>
      <c r="D650">
        <v>4</v>
      </c>
      <c r="E650">
        <v>10</v>
      </c>
      <c r="F650" t="s">
        <v>234</v>
      </c>
      <c r="G650" t="s">
        <v>250</v>
      </c>
      <c r="H650" t="s">
        <v>241</v>
      </c>
    </row>
    <row r="651" spans="1:8">
      <c r="A651">
        <v>20241011</v>
      </c>
      <c r="B651" s="1">
        <v>45576</v>
      </c>
      <c r="C651">
        <v>2024</v>
      </c>
      <c r="D651">
        <v>4</v>
      </c>
      <c r="E651">
        <v>10</v>
      </c>
      <c r="F651" t="s">
        <v>234</v>
      </c>
      <c r="G651" t="s">
        <v>250</v>
      </c>
      <c r="H651" t="s">
        <v>241</v>
      </c>
    </row>
    <row r="652" spans="1:8">
      <c r="A652">
        <v>20241012</v>
      </c>
      <c r="B652" s="1">
        <v>45577</v>
      </c>
      <c r="C652">
        <v>2024</v>
      </c>
      <c r="D652">
        <v>4</v>
      </c>
      <c r="E652">
        <v>10</v>
      </c>
      <c r="F652" t="s">
        <v>234</v>
      </c>
      <c r="G652" t="s">
        <v>250</v>
      </c>
      <c r="H652" t="s">
        <v>241</v>
      </c>
    </row>
    <row r="653" spans="1:8">
      <c r="A653">
        <v>20241013</v>
      </c>
      <c r="B653" s="1">
        <v>45578</v>
      </c>
      <c r="C653">
        <v>2024</v>
      </c>
      <c r="D653">
        <v>4</v>
      </c>
      <c r="E653">
        <v>10</v>
      </c>
      <c r="F653" t="s">
        <v>234</v>
      </c>
      <c r="G653" t="s">
        <v>250</v>
      </c>
      <c r="H653" t="s">
        <v>241</v>
      </c>
    </row>
    <row r="654" spans="1:8">
      <c r="A654">
        <v>20241014</v>
      </c>
      <c r="B654" s="1">
        <v>45579</v>
      </c>
      <c r="C654">
        <v>2024</v>
      </c>
      <c r="D654">
        <v>4</v>
      </c>
      <c r="E654">
        <v>10</v>
      </c>
      <c r="F654" t="s">
        <v>234</v>
      </c>
      <c r="G654" t="s">
        <v>250</v>
      </c>
      <c r="H654" t="s">
        <v>241</v>
      </c>
    </row>
    <row r="655" spans="1:8">
      <c r="A655">
        <v>20241015</v>
      </c>
      <c r="B655" s="1">
        <v>45580</v>
      </c>
      <c r="C655">
        <v>2024</v>
      </c>
      <c r="D655">
        <v>4</v>
      </c>
      <c r="E655">
        <v>10</v>
      </c>
      <c r="F655" t="s">
        <v>234</v>
      </c>
      <c r="G655" t="s">
        <v>250</v>
      </c>
      <c r="H655" t="s">
        <v>241</v>
      </c>
    </row>
    <row r="656" spans="1:8">
      <c r="A656">
        <v>20241016</v>
      </c>
      <c r="B656" s="1">
        <v>45581</v>
      </c>
      <c r="C656">
        <v>2024</v>
      </c>
      <c r="D656">
        <v>4</v>
      </c>
      <c r="E656">
        <v>10</v>
      </c>
      <c r="F656" t="s">
        <v>234</v>
      </c>
      <c r="G656" t="s">
        <v>250</v>
      </c>
      <c r="H656" t="s">
        <v>241</v>
      </c>
    </row>
    <row r="657" spans="1:8">
      <c r="A657">
        <v>20241017</v>
      </c>
      <c r="B657" s="1">
        <v>45582</v>
      </c>
      <c r="C657">
        <v>2024</v>
      </c>
      <c r="D657">
        <v>4</v>
      </c>
      <c r="E657">
        <v>10</v>
      </c>
      <c r="F657" t="s">
        <v>234</v>
      </c>
      <c r="G657" t="s">
        <v>250</v>
      </c>
      <c r="H657" t="s">
        <v>241</v>
      </c>
    </row>
    <row r="658" spans="1:8">
      <c r="A658">
        <v>20241018</v>
      </c>
      <c r="B658" s="1">
        <v>45583</v>
      </c>
      <c r="C658">
        <v>2024</v>
      </c>
      <c r="D658">
        <v>4</v>
      </c>
      <c r="E658">
        <v>10</v>
      </c>
      <c r="F658" t="s">
        <v>234</v>
      </c>
      <c r="G658" t="s">
        <v>250</v>
      </c>
      <c r="H658" t="s">
        <v>241</v>
      </c>
    </row>
    <row r="659" spans="1:8">
      <c r="A659">
        <v>20241019</v>
      </c>
      <c r="B659" s="1">
        <v>45584</v>
      </c>
      <c r="C659">
        <v>2024</v>
      </c>
      <c r="D659">
        <v>4</v>
      </c>
      <c r="E659">
        <v>10</v>
      </c>
      <c r="F659" t="s">
        <v>234</v>
      </c>
      <c r="G659" t="s">
        <v>250</v>
      </c>
      <c r="H659" t="s">
        <v>241</v>
      </c>
    </row>
    <row r="660" spans="1:8">
      <c r="A660">
        <v>20241020</v>
      </c>
      <c r="B660" s="1">
        <v>45585</v>
      </c>
      <c r="C660">
        <v>2024</v>
      </c>
      <c r="D660">
        <v>4</v>
      </c>
      <c r="E660">
        <v>10</v>
      </c>
      <c r="F660" t="s">
        <v>234</v>
      </c>
      <c r="G660" t="s">
        <v>250</v>
      </c>
      <c r="H660" t="s">
        <v>241</v>
      </c>
    </row>
    <row r="661" spans="1:8">
      <c r="A661">
        <v>20241021</v>
      </c>
      <c r="B661" s="1">
        <v>45586</v>
      </c>
      <c r="C661">
        <v>2024</v>
      </c>
      <c r="D661">
        <v>4</v>
      </c>
      <c r="E661">
        <v>10</v>
      </c>
      <c r="F661" t="s">
        <v>234</v>
      </c>
      <c r="G661" t="s">
        <v>250</v>
      </c>
      <c r="H661" t="s">
        <v>241</v>
      </c>
    </row>
    <row r="662" spans="1:8">
      <c r="A662">
        <v>20241022</v>
      </c>
      <c r="B662" s="1">
        <v>45587</v>
      </c>
      <c r="C662">
        <v>2024</v>
      </c>
      <c r="D662">
        <v>4</v>
      </c>
      <c r="E662">
        <v>10</v>
      </c>
      <c r="F662" t="s">
        <v>234</v>
      </c>
      <c r="G662" t="s">
        <v>250</v>
      </c>
      <c r="H662" t="s">
        <v>241</v>
      </c>
    </row>
    <row r="663" spans="1:8">
      <c r="A663">
        <v>20241023</v>
      </c>
      <c r="B663" s="1">
        <v>45588</v>
      </c>
      <c r="C663">
        <v>2024</v>
      </c>
      <c r="D663">
        <v>4</v>
      </c>
      <c r="E663">
        <v>10</v>
      </c>
      <c r="F663" t="s">
        <v>234</v>
      </c>
      <c r="G663" t="s">
        <v>250</v>
      </c>
      <c r="H663" t="s">
        <v>241</v>
      </c>
    </row>
    <row r="664" spans="1:8">
      <c r="A664">
        <v>20241024</v>
      </c>
      <c r="B664" s="1">
        <v>45589</v>
      </c>
      <c r="C664">
        <v>2024</v>
      </c>
      <c r="D664">
        <v>4</v>
      </c>
      <c r="E664">
        <v>10</v>
      </c>
      <c r="F664" t="s">
        <v>234</v>
      </c>
      <c r="G664" t="s">
        <v>250</v>
      </c>
      <c r="H664" t="s">
        <v>241</v>
      </c>
    </row>
    <row r="665" spans="1:8">
      <c r="A665">
        <v>20241025</v>
      </c>
      <c r="B665" s="1">
        <v>45590</v>
      </c>
      <c r="C665">
        <v>2024</v>
      </c>
      <c r="D665">
        <v>4</v>
      </c>
      <c r="E665">
        <v>10</v>
      </c>
      <c r="F665" t="s">
        <v>234</v>
      </c>
      <c r="G665" t="s">
        <v>250</v>
      </c>
      <c r="H665" t="s">
        <v>241</v>
      </c>
    </row>
    <row r="666" spans="1:8">
      <c r="A666">
        <v>20241026</v>
      </c>
      <c r="B666" s="1">
        <v>45591</v>
      </c>
      <c r="C666">
        <v>2024</v>
      </c>
      <c r="D666">
        <v>4</v>
      </c>
      <c r="E666">
        <v>10</v>
      </c>
      <c r="F666" t="s">
        <v>234</v>
      </c>
      <c r="G666" t="s">
        <v>250</v>
      </c>
      <c r="H666" t="s">
        <v>241</v>
      </c>
    </row>
    <row r="667" spans="1:8">
      <c r="A667">
        <v>20241027</v>
      </c>
      <c r="B667" s="1">
        <v>45592</v>
      </c>
      <c r="C667">
        <v>2024</v>
      </c>
      <c r="D667">
        <v>4</v>
      </c>
      <c r="E667">
        <v>10</v>
      </c>
      <c r="F667" t="s">
        <v>234</v>
      </c>
      <c r="G667" t="s">
        <v>250</v>
      </c>
      <c r="H667" t="s">
        <v>241</v>
      </c>
    </row>
    <row r="668" spans="1:8">
      <c r="A668">
        <v>20241028</v>
      </c>
      <c r="B668" s="1">
        <v>45593</v>
      </c>
      <c r="C668">
        <v>2024</v>
      </c>
      <c r="D668">
        <v>4</v>
      </c>
      <c r="E668">
        <v>10</v>
      </c>
      <c r="F668" t="s">
        <v>234</v>
      </c>
      <c r="G668" t="s">
        <v>250</v>
      </c>
      <c r="H668" t="s">
        <v>241</v>
      </c>
    </row>
    <row r="669" spans="1:8">
      <c r="A669">
        <v>20241029</v>
      </c>
      <c r="B669" s="1">
        <v>45594</v>
      </c>
      <c r="C669">
        <v>2024</v>
      </c>
      <c r="D669">
        <v>4</v>
      </c>
      <c r="E669">
        <v>10</v>
      </c>
      <c r="F669" t="s">
        <v>234</v>
      </c>
      <c r="G669" t="s">
        <v>250</v>
      </c>
      <c r="H669" t="s">
        <v>241</v>
      </c>
    </row>
    <row r="670" spans="1:8">
      <c r="A670">
        <v>20241030</v>
      </c>
      <c r="B670" s="1">
        <v>45595</v>
      </c>
      <c r="C670">
        <v>2024</v>
      </c>
      <c r="D670">
        <v>4</v>
      </c>
      <c r="E670">
        <v>10</v>
      </c>
      <c r="F670" t="s">
        <v>234</v>
      </c>
      <c r="G670" t="s">
        <v>250</v>
      </c>
      <c r="H670" t="s">
        <v>241</v>
      </c>
    </row>
    <row r="671" spans="1:8">
      <c r="A671">
        <v>20241031</v>
      </c>
      <c r="B671" s="1">
        <v>45596</v>
      </c>
      <c r="C671">
        <v>2024</v>
      </c>
      <c r="D671">
        <v>4</v>
      </c>
      <c r="E671">
        <v>10</v>
      </c>
      <c r="F671" t="s">
        <v>234</v>
      </c>
      <c r="G671" t="s">
        <v>250</v>
      </c>
      <c r="H671" t="s">
        <v>241</v>
      </c>
    </row>
    <row r="672" spans="1:8">
      <c r="A672">
        <v>20241101</v>
      </c>
      <c r="B672" s="1">
        <v>45597</v>
      </c>
      <c r="C672">
        <v>2024</v>
      </c>
      <c r="D672">
        <v>4</v>
      </c>
      <c r="E672">
        <v>11</v>
      </c>
      <c r="F672" t="s">
        <v>236</v>
      </c>
      <c r="G672" t="s">
        <v>251</v>
      </c>
      <c r="H672" t="s">
        <v>241</v>
      </c>
    </row>
    <row r="673" spans="1:8">
      <c r="A673">
        <v>20241102</v>
      </c>
      <c r="B673" s="1">
        <v>45598</v>
      </c>
      <c r="C673">
        <v>2024</v>
      </c>
      <c r="D673">
        <v>4</v>
      </c>
      <c r="E673">
        <v>11</v>
      </c>
      <c r="F673" t="s">
        <v>236</v>
      </c>
      <c r="G673" t="s">
        <v>251</v>
      </c>
      <c r="H673" t="s">
        <v>241</v>
      </c>
    </row>
    <row r="674" spans="1:8">
      <c r="A674">
        <v>20241103</v>
      </c>
      <c r="B674" s="1">
        <v>45599</v>
      </c>
      <c r="C674">
        <v>2024</v>
      </c>
      <c r="D674">
        <v>4</v>
      </c>
      <c r="E674">
        <v>11</v>
      </c>
      <c r="F674" t="s">
        <v>236</v>
      </c>
      <c r="G674" t="s">
        <v>251</v>
      </c>
      <c r="H674" t="s">
        <v>241</v>
      </c>
    </row>
    <row r="675" spans="1:8">
      <c r="A675">
        <v>20241104</v>
      </c>
      <c r="B675" s="1">
        <v>45600</v>
      </c>
      <c r="C675">
        <v>2024</v>
      </c>
      <c r="D675">
        <v>4</v>
      </c>
      <c r="E675">
        <v>11</v>
      </c>
      <c r="F675" t="s">
        <v>236</v>
      </c>
      <c r="G675" t="s">
        <v>251</v>
      </c>
      <c r="H675" t="s">
        <v>241</v>
      </c>
    </row>
    <row r="676" spans="1:8">
      <c r="A676">
        <v>20241105</v>
      </c>
      <c r="B676" s="1">
        <v>45601</v>
      </c>
      <c r="C676">
        <v>2024</v>
      </c>
      <c r="D676">
        <v>4</v>
      </c>
      <c r="E676">
        <v>11</v>
      </c>
      <c r="F676" t="s">
        <v>236</v>
      </c>
      <c r="G676" t="s">
        <v>251</v>
      </c>
      <c r="H676" t="s">
        <v>241</v>
      </c>
    </row>
    <row r="677" spans="1:8">
      <c r="A677">
        <v>20241106</v>
      </c>
      <c r="B677" s="1">
        <v>45602</v>
      </c>
      <c r="C677">
        <v>2024</v>
      </c>
      <c r="D677">
        <v>4</v>
      </c>
      <c r="E677">
        <v>11</v>
      </c>
      <c r="F677" t="s">
        <v>236</v>
      </c>
      <c r="G677" t="s">
        <v>251</v>
      </c>
      <c r="H677" t="s">
        <v>241</v>
      </c>
    </row>
    <row r="678" spans="1:8">
      <c r="A678">
        <v>20241107</v>
      </c>
      <c r="B678" s="1">
        <v>45603</v>
      </c>
      <c r="C678">
        <v>2024</v>
      </c>
      <c r="D678">
        <v>4</v>
      </c>
      <c r="E678">
        <v>11</v>
      </c>
      <c r="F678" t="s">
        <v>236</v>
      </c>
      <c r="G678" t="s">
        <v>251</v>
      </c>
      <c r="H678" t="s">
        <v>241</v>
      </c>
    </row>
    <row r="679" spans="1:8">
      <c r="A679">
        <v>20241108</v>
      </c>
      <c r="B679" s="1">
        <v>45604</v>
      </c>
      <c r="C679">
        <v>2024</v>
      </c>
      <c r="D679">
        <v>4</v>
      </c>
      <c r="E679">
        <v>11</v>
      </c>
      <c r="F679" t="s">
        <v>236</v>
      </c>
      <c r="G679" t="s">
        <v>251</v>
      </c>
      <c r="H679" t="s">
        <v>241</v>
      </c>
    </row>
    <row r="680" spans="1:8">
      <c r="A680">
        <v>20241109</v>
      </c>
      <c r="B680" s="1">
        <v>45605</v>
      </c>
      <c r="C680">
        <v>2024</v>
      </c>
      <c r="D680">
        <v>4</v>
      </c>
      <c r="E680">
        <v>11</v>
      </c>
      <c r="F680" t="s">
        <v>236</v>
      </c>
      <c r="G680" t="s">
        <v>251</v>
      </c>
      <c r="H680" t="s">
        <v>241</v>
      </c>
    </row>
    <row r="681" spans="1:8">
      <c r="A681">
        <v>20241110</v>
      </c>
      <c r="B681" s="1">
        <v>45606</v>
      </c>
      <c r="C681">
        <v>2024</v>
      </c>
      <c r="D681">
        <v>4</v>
      </c>
      <c r="E681">
        <v>11</v>
      </c>
      <c r="F681" t="s">
        <v>236</v>
      </c>
      <c r="G681" t="s">
        <v>251</v>
      </c>
      <c r="H681" t="s">
        <v>241</v>
      </c>
    </row>
    <row r="682" spans="1:8">
      <c r="A682">
        <v>20241111</v>
      </c>
      <c r="B682" s="1">
        <v>45607</v>
      </c>
      <c r="C682">
        <v>2024</v>
      </c>
      <c r="D682">
        <v>4</v>
      </c>
      <c r="E682">
        <v>11</v>
      </c>
      <c r="F682" t="s">
        <v>236</v>
      </c>
      <c r="G682" t="s">
        <v>251</v>
      </c>
      <c r="H682" t="s">
        <v>241</v>
      </c>
    </row>
    <row r="683" spans="1:8">
      <c r="A683">
        <v>20241112</v>
      </c>
      <c r="B683" s="1">
        <v>45608</v>
      </c>
      <c r="C683">
        <v>2024</v>
      </c>
      <c r="D683">
        <v>4</v>
      </c>
      <c r="E683">
        <v>11</v>
      </c>
      <c r="F683" t="s">
        <v>236</v>
      </c>
      <c r="G683" t="s">
        <v>251</v>
      </c>
      <c r="H683" t="s">
        <v>241</v>
      </c>
    </row>
    <row r="684" spans="1:8">
      <c r="A684">
        <v>20241113</v>
      </c>
      <c r="B684" s="1">
        <v>45609</v>
      </c>
      <c r="C684">
        <v>2024</v>
      </c>
      <c r="D684">
        <v>4</v>
      </c>
      <c r="E684">
        <v>11</v>
      </c>
      <c r="F684" t="s">
        <v>236</v>
      </c>
      <c r="G684" t="s">
        <v>251</v>
      </c>
      <c r="H684" t="s">
        <v>241</v>
      </c>
    </row>
    <row r="685" spans="1:8">
      <c r="A685">
        <v>20241114</v>
      </c>
      <c r="B685" s="1">
        <v>45610</v>
      </c>
      <c r="C685">
        <v>2024</v>
      </c>
      <c r="D685">
        <v>4</v>
      </c>
      <c r="E685">
        <v>11</v>
      </c>
      <c r="F685" t="s">
        <v>236</v>
      </c>
      <c r="G685" t="s">
        <v>251</v>
      </c>
      <c r="H685" t="s">
        <v>241</v>
      </c>
    </row>
    <row r="686" spans="1:8">
      <c r="A686">
        <v>20241115</v>
      </c>
      <c r="B686" s="1">
        <v>45611</v>
      </c>
      <c r="C686">
        <v>2024</v>
      </c>
      <c r="D686">
        <v>4</v>
      </c>
      <c r="E686">
        <v>11</v>
      </c>
      <c r="F686" t="s">
        <v>236</v>
      </c>
      <c r="G686" t="s">
        <v>251</v>
      </c>
      <c r="H686" t="s">
        <v>241</v>
      </c>
    </row>
    <row r="687" spans="1:8">
      <c r="A687">
        <v>20241116</v>
      </c>
      <c r="B687" s="1">
        <v>45612</v>
      </c>
      <c r="C687">
        <v>2024</v>
      </c>
      <c r="D687">
        <v>4</v>
      </c>
      <c r="E687">
        <v>11</v>
      </c>
      <c r="F687" t="s">
        <v>236</v>
      </c>
      <c r="G687" t="s">
        <v>251</v>
      </c>
      <c r="H687" t="s">
        <v>241</v>
      </c>
    </row>
    <row r="688" spans="1:8">
      <c r="A688">
        <v>20241117</v>
      </c>
      <c r="B688" s="1">
        <v>45613</v>
      </c>
      <c r="C688">
        <v>2024</v>
      </c>
      <c r="D688">
        <v>4</v>
      </c>
      <c r="E688">
        <v>11</v>
      </c>
      <c r="F688" t="s">
        <v>236</v>
      </c>
      <c r="G688" t="s">
        <v>251</v>
      </c>
      <c r="H688" t="s">
        <v>241</v>
      </c>
    </row>
    <row r="689" spans="1:8">
      <c r="A689">
        <v>20241118</v>
      </c>
      <c r="B689" s="1">
        <v>45614</v>
      </c>
      <c r="C689">
        <v>2024</v>
      </c>
      <c r="D689">
        <v>4</v>
      </c>
      <c r="E689">
        <v>11</v>
      </c>
      <c r="F689" t="s">
        <v>236</v>
      </c>
      <c r="G689" t="s">
        <v>251</v>
      </c>
      <c r="H689" t="s">
        <v>241</v>
      </c>
    </row>
    <row r="690" spans="1:8">
      <c r="A690">
        <v>20241119</v>
      </c>
      <c r="B690" s="1">
        <v>45615</v>
      </c>
      <c r="C690">
        <v>2024</v>
      </c>
      <c r="D690">
        <v>4</v>
      </c>
      <c r="E690">
        <v>11</v>
      </c>
      <c r="F690" t="s">
        <v>236</v>
      </c>
      <c r="G690" t="s">
        <v>251</v>
      </c>
      <c r="H690" t="s">
        <v>241</v>
      </c>
    </row>
    <row r="691" spans="1:8">
      <c r="A691">
        <v>20241120</v>
      </c>
      <c r="B691" s="1">
        <v>45616</v>
      </c>
      <c r="C691">
        <v>2024</v>
      </c>
      <c r="D691">
        <v>4</v>
      </c>
      <c r="E691">
        <v>11</v>
      </c>
      <c r="F691" t="s">
        <v>236</v>
      </c>
      <c r="G691" t="s">
        <v>251</v>
      </c>
      <c r="H691" t="s">
        <v>241</v>
      </c>
    </row>
    <row r="692" spans="1:8">
      <c r="A692">
        <v>20241121</v>
      </c>
      <c r="B692" s="1">
        <v>45617</v>
      </c>
      <c r="C692">
        <v>2024</v>
      </c>
      <c r="D692">
        <v>4</v>
      </c>
      <c r="E692">
        <v>11</v>
      </c>
      <c r="F692" t="s">
        <v>236</v>
      </c>
      <c r="G692" t="s">
        <v>251</v>
      </c>
      <c r="H692" t="s">
        <v>241</v>
      </c>
    </row>
    <row r="693" spans="1:8">
      <c r="A693">
        <v>20241122</v>
      </c>
      <c r="B693" s="1">
        <v>45618</v>
      </c>
      <c r="C693">
        <v>2024</v>
      </c>
      <c r="D693">
        <v>4</v>
      </c>
      <c r="E693">
        <v>11</v>
      </c>
      <c r="F693" t="s">
        <v>236</v>
      </c>
      <c r="G693" t="s">
        <v>251</v>
      </c>
      <c r="H693" t="s">
        <v>241</v>
      </c>
    </row>
    <row r="694" spans="1:8">
      <c r="A694">
        <v>20241123</v>
      </c>
      <c r="B694" s="1">
        <v>45619</v>
      </c>
      <c r="C694">
        <v>2024</v>
      </c>
      <c r="D694">
        <v>4</v>
      </c>
      <c r="E694">
        <v>11</v>
      </c>
      <c r="F694" t="s">
        <v>236</v>
      </c>
      <c r="G694" t="s">
        <v>251</v>
      </c>
      <c r="H694" t="s">
        <v>241</v>
      </c>
    </row>
    <row r="695" spans="1:8">
      <c r="A695">
        <v>20241124</v>
      </c>
      <c r="B695" s="1">
        <v>45620</v>
      </c>
      <c r="C695">
        <v>2024</v>
      </c>
      <c r="D695">
        <v>4</v>
      </c>
      <c r="E695">
        <v>11</v>
      </c>
      <c r="F695" t="s">
        <v>236</v>
      </c>
      <c r="G695" t="s">
        <v>251</v>
      </c>
      <c r="H695" t="s">
        <v>241</v>
      </c>
    </row>
    <row r="696" spans="1:8">
      <c r="A696">
        <v>20241125</v>
      </c>
      <c r="B696" s="1">
        <v>45621</v>
      </c>
      <c r="C696">
        <v>2024</v>
      </c>
      <c r="D696">
        <v>4</v>
      </c>
      <c r="E696">
        <v>11</v>
      </c>
      <c r="F696" t="s">
        <v>236</v>
      </c>
      <c r="G696" t="s">
        <v>251</v>
      </c>
      <c r="H696" t="s">
        <v>241</v>
      </c>
    </row>
    <row r="697" spans="1:8">
      <c r="A697">
        <v>20241126</v>
      </c>
      <c r="B697" s="1">
        <v>45622</v>
      </c>
      <c r="C697">
        <v>2024</v>
      </c>
      <c r="D697">
        <v>4</v>
      </c>
      <c r="E697">
        <v>11</v>
      </c>
      <c r="F697" t="s">
        <v>236</v>
      </c>
      <c r="G697" t="s">
        <v>251</v>
      </c>
      <c r="H697" t="s">
        <v>241</v>
      </c>
    </row>
    <row r="698" spans="1:8">
      <c r="A698">
        <v>20241127</v>
      </c>
      <c r="B698" s="1">
        <v>45623</v>
      </c>
      <c r="C698">
        <v>2024</v>
      </c>
      <c r="D698">
        <v>4</v>
      </c>
      <c r="E698">
        <v>11</v>
      </c>
      <c r="F698" t="s">
        <v>236</v>
      </c>
      <c r="G698" t="s">
        <v>251</v>
      </c>
      <c r="H698" t="s">
        <v>241</v>
      </c>
    </row>
    <row r="699" spans="1:8">
      <c r="A699">
        <v>20241128</v>
      </c>
      <c r="B699" s="1">
        <v>45624</v>
      </c>
      <c r="C699">
        <v>2024</v>
      </c>
      <c r="D699">
        <v>4</v>
      </c>
      <c r="E699">
        <v>11</v>
      </c>
      <c r="F699" t="s">
        <v>236</v>
      </c>
      <c r="G699" t="s">
        <v>251</v>
      </c>
      <c r="H699" t="s">
        <v>241</v>
      </c>
    </row>
    <row r="700" spans="1:8">
      <c r="A700">
        <v>20241129</v>
      </c>
      <c r="B700" s="1">
        <v>45625</v>
      </c>
      <c r="C700">
        <v>2024</v>
      </c>
      <c r="D700">
        <v>4</v>
      </c>
      <c r="E700">
        <v>11</v>
      </c>
      <c r="F700" t="s">
        <v>236</v>
      </c>
      <c r="G700" t="s">
        <v>251</v>
      </c>
      <c r="H700" t="s">
        <v>241</v>
      </c>
    </row>
    <row r="701" spans="1:8">
      <c r="A701">
        <v>20241130</v>
      </c>
      <c r="B701" s="1">
        <v>45626</v>
      </c>
      <c r="C701">
        <v>2024</v>
      </c>
      <c r="D701">
        <v>4</v>
      </c>
      <c r="E701">
        <v>11</v>
      </c>
      <c r="F701" t="s">
        <v>236</v>
      </c>
      <c r="G701" t="s">
        <v>251</v>
      </c>
      <c r="H701" t="s">
        <v>241</v>
      </c>
    </row>
    <row r="702" spans="1:8">
      <c r="A702">
        <v>20241201</v>
      </c>
      <c r="B702" s="1">
        <v>45627</v>
      </c>
      <c r="C702">
        <v>2024</v>
      </c>
      <c r="D702">
        <v>4</v>
      </c>
      <c r="E702">
        <v>12</v>
      </c>
      <c r="F702" t="s">
        <v>238</v>
      </c>
      <c r="G702" t="s">
        <v>252</v>
      </c>
      <c r="H702" t="s">
        <v>241</v>
      </c>
    </row>
    <row r="703" spans="1:8">
      <c r="A703">
        <v>20241202</v>
      </c>
      <c r="B703" s="1">
        <v>45628</v>
      </c>
      <c r="C703">
        <v>2024</v>
      </c>
      <c r="D703">
        <v>4</v>
      </c>
      <c r="E703">
        <v>12</v>
      </c>
      <c r="F703" t="s">
        <v>238</v>
      </c>
      <c r="G703" t="s">
        <v>252</v>
      </c>
      <c r="H703" t="s">
        <v>241</v>
      </c>
    </row>
    <row r="704" spans="1:8">
      <c r="A704">
        <v>20241203</v>
      </c>
      <c r="B704" s="1">
        <v>45629</v>
      </c>
      <c r="C704">
        <v>2024</v>
      </c>
      <c r="D704">
        <v>4</v>
      </c>
      <c r="E704">
        <v>12</v>
      </c>
      <c r="F704" t="s">
        <v>238</v>
      </c>
      <c r="G704" t="s">
        <v>252</v>
      </c>
      <c r="H704" t="s">
        <v>241</v>
      </c>
    </row>
    <row r="705" spans="1:8">
      <c r="A705">
        <v>20241204</v>
      </c>
      <c r="B705" s="1">
        <v>45630</v>
      </c>
      <c r="C705">
        <v>2024</v>
      </c>
      <c r="D705">
        <v>4</v>
      </c>
      <c r="E705">
        <v>12</v>
      </c>
      <c r="F705" t="s">
        <v>238</v>
      </c>
      <c r="G705" t="s">
        <v>252</v>
      </c>
      <c r="H705" t="s">
        <v>241</v>
      </c>
    </row>
    <row r="706" spans="1:8">
      <c r="A706">
        <v>20241205</v>
      </c>
      <c r="B706" s="1">
        <v>45631</v>
      </c>
      <c r="C706">
        <v>2024</v>
      </c>
      <c r="D706">
        <v>4</v>
      </c>
      <c r="E706">
        <v>12</v>
      </c>
      <c r="F706" t="s">
        <v>238</v>
      </c>
      <c r="G706" t="s">
        <v>252</v>
      </c>
      <c r="H706" t="s">
        <v>241</v>
      </c>
    </row>
    <row r="707" spans="1:8">
      <c r="A707">
        <v>20241206</v>
      </c>
      <c r="B707" s="1">
        <v>45632</v>
      </c>
      <c r="C707">
        <v>2024</v>
      </c>
      <c r="D707">
        <v>4</v>
      </c>
      <c r="E707">
        <v>12</v>
      </c>
      <c r="F707" t="s">
        <v>238</v>
      </c>
      <c r="G707" t="s">
        <v>252</v>
      </c>
      <c r="H707" t="s">
        <v>241</v>
      </c>
    </row>
    <row r="708" spans="1:8">
      <c r="A708">
        <v>20241207</v>
      </c>
      <c r="B708" s="1">
        <v>45633</v>
      </c>
      <c r="C708">
        <v>2024</v>
      </c>
      <c r="D708">
        <v>4</v>
      </c>
      <c r="E708">
        <v>12</v>
      </c>
      <c r="F708" t="s">
        <v>238</v>
      </c>
      <c r="G708" t="s">
        <v>252</v>
      </c>
      <c r="H708" t="s">
        <v>241</v>
      </c>
    </row>
    <row r="709" spans="1:8">
      <c r="A709">
        <v>20241208</v>
      </c>
      <c r="B709" s="1">
        <v>45634</v>
      </c>
      <c r="C709">
        <v>2024</v>
      </c>
      <c r="D709">
        <v>4</v>
      </c>
      <c r="E709">
        <v>12</v>
      </c>
      <c r="F709" t="s">
        <v>238</v>
      </c>
      <c r="G709" t="s">
        <v>252</v>
      </c>
      <c r="H709" t="s">
        <v>241</v>
      </c>
    </row>
    <row r="710" spans="1:8">
      <c r="A710">
        <v>20241209</v>
      </c>
      <c r="B710" s="1">
        <v>45635</v>
      </c>
      <c r="C710">
        <v>2024</v>
      </c>
      <c r="D710">
        <v>4</v>
      </c>
      <c r="E710">
        <v>12</v>
      </c>
      <c r="F710" t="s">
        <v>238</v>
      </c>
      <c r="G710" t="s">
        <v>252</v>
      </c>
      <c r="H710" t="s">
        <v>241</v>
      </c>
    </row>
    <row r="711" spans="1:8">
      <c r="A711">
        <v>20241210</v>
      </c>
      <c r="B711" s="1">
        <v>45636</v>
      </c>
      <c r="C711">
        <v>2024</v>
      </c>
      <c r="D711">
        <v>4</v>
      </c>
      <c r="E711">
        <v>12</v>
      </c>
      <c r="F711" t="s">
        <v>238</v>
      </c>
      <c r="G711" t="s">
        <v>252</v>
      </c>
      <c r="H711" t="s">
        <v>241</v>
      </c>
    </row>
    <row r="712" spans="1:8">
      <c r="A712">
        <v>20241211</v>
      </c>
      <c r="B712" s="1">
        <v>45637</v>
      </c>
      <c r="C712">
        <v>2024</v>
      </c>
      <c r="D712">
        <v>4</v>
      </c>
      <c r="E712">
        <v>12</v>
      </c>
      <c r="F712" t="s">
        <v>238</v>
      </c>
      <c r="G712" t="s">
        <v>252</v>
      </c>
      <c r="H712" t="s">
        <v>241</v>
      </c>
    </row>
    <row r="713" spans="1:8">
      <c r="A713">
        <v>20241212</v>
      </c>
      <c r="B713" s="1">
        <v>45638</v>
      </c>
      <c r="C713">
        <v>2024</v>
      </c>
      <c r="D713">
        <v>4</v>
      </c>
      <c r="E713">
        <v>12</v>
      </c>
      <c r="F713" t="s">
        <v>238</v>
      </c>
      <c r="G713" t="s">
        <v>252</v>
      </c>
      <c r="H713" t="s">
        <v>241</v>
      </c>
    </row>
    <row r="714" spans="1:8">
      <c r="A714">
        <v>20241213</v>
      </c>
      <c r="B714" s="1">
        <v>45639</v>
      </c>
      <c r="C714">
        <v>2024</v>
      </c>
      <c r="D714">
        <v>4</v>
      </c>
      <c r="E714">
        <v>12</v>
      </c>
      <c r="F714" t="s">
        <v>238</v>
      </c>
      <c r="G714" t="s">
        <v>252</v>
      </c>
      <c r="H714" t="s">
        <v>241</v>
      </c>
    </row>
    <row r="715" spans="1:8">
      <c r="A715">
        <v>20241214</v>
      </c>
      <c r="B715" s="1">
        <v>45640</v>
      </c>
      <c r="C715">
        <v>2024</v>
      </c>
      <c r="D715">
        <v>4</v>
      </c>
      <c r="E715">
        <v>12</v>
      </c>
      <c r="F715" t="s">
        <v>238</v>
      </c>
      <c r="G715" t="s">
        <v>252</v>
      </c>
      <c r="H715" t="s">
        <v>241</v>
      </c>
    </row>
    <row r="716" spans="1:8">
      <c r="A716">
        <v>20241215</v>
      </c>
      <c r="B716" s="1">
        <v>45641</v>
      </c>
      <c r="C716">
        <v>2024</v>
      </c>
      <c r="D716">
        <v>4</v>
      </c>
      <c r="E716">
        <v>12</v>
      </c>
      <c r="F716" t="s">
        <v>238</v>
      </c>
      <c r="G716" t="s">
        <v>252</v>
      </c>
      <c r="H716" t="s">
        <v>241</v>
      </c>
    </row>
    <row r="717" spans="1:8">
      <c r="A717">
        <v>20241216</v>
      </c>
      <c r="B717" s="1">
        <v>45642</v>
      </c>
      <c r="C717">
        <v>2024</v>
      </c>
      <c r="D717">
        <v>4</v>
      </c>
      <c r="E717">
        <v>12</v>
      </c>
      <c r="F717" t="s">
        <v>238</v>
      </c>
      <c r="G717" t="s">
        <v>252</v>
      </c>
      <c r="H717" t="s">
        <v>241</v>
      </c>
    </row>
    <row r="718" spans="1:8">
      <c r="A718">
        <v>20241217</v>
      </c>
      <c r="B718" s="1">
        <v>45643</v>
      </c>
      <c r="C718">
        <v>2024</v>
      </c>
      <c r="D718">
        <v>4</v>
      </c>
      <c r="E718">
        <v>12</v>
      </c>
      <c r="F718" t="s">
        <v>238</v>
      </c>
      <c r="G718" t="s">
        <v>252</v>
      </c>
      <c r="H718" t="s">
        <v>241</v>
      </c>
    </row>
    <row r="719" spans="1:8">
      <c r="A719">
        <v>20241218</v>
      </c>
      <c r="B719" s="1">
        <v>45644</v>
      </c>
      <c r="C719">
        <v>2024</v>
      </c>
      <c r="D719">
        <v>4</v>
      </c>
      <c r="E719">
        <v>12</v>
      </c>
      <c r="F719" t="s">
        <v>238</v>
      </c>
      <c r="G719" t="s">
        <v>252</v>
      </c>
      <c r="H719" t="s">
        <v>241</v>
      </c>
    </row>
    <row r="720" spans="1:8">
      <c r="A720">
        <v>20241219</v>
      </c>
      <c r="B720" s="1">
        <v>45645</v>
      </c>
      <c r="C720">
        <v>2024</v>
      </c>
      <c r="D720">
        <v>4</v>
      </c>
      <c r="E720">
        <v>12</v>
      </c>
      <c r="F720" t="s">
        <v>238</v>
      </c>
      <c r="G720" t="s">
        <v>252</v>
      </c>
      <c r="H720" t="s">
        <v>241</v>
      </c>
    </row>
    <row r="721" spans="1:8">
      <c r="A721">
        <v>20241220</v>
      </c>
      <c r="B721" s="1">
        <v>45646</v>
      </c>
      <c r="C721">
        <v>2024</v>
      </c>
      <c r="D721">
        <v>4</v>
      </c>
      <c r="E721">
        <v>12</v>
      </c>
      <c r="F721" t="s">
        <v>238</v>
      </c>
      <c r="G721" t="s">
        <v>252</v>
      </c>
      <c r="H721" t="s">
        <v>241</v>
      </c>
    </row>
    <row r="722" spans="1:8">
      <c r="A722">
        <v>20241221</v>
      </c>
      <c r="B722" s="1">
        <v>45647</v>
      </c>
      <c r="C722">
        <v>2024</v>
      </c>
      <c r="D722">
        <v>4</v>
      </c>
      <c r="E722">
        <v>12</v>
      </c>
      <c r="F722" t="s">
        <v>238</v>
      </c>
      <c r="G722" t="s">
        <v>252</v>
      </c>
      <c r="H722" t="s">
        <v>241</v>
      </c>
    </row>
    <row r="723" spans="1:8">
      <c r="A723">
        <v>20241222</v>
      </c>
      <c r="B723" s="1">
        <v>45648</v>
      </c>
      <c r="C723">
        <v>2024</v>
      </c>
      <c r="D723">
        <v>4</v>
      </c>
      <c r="E723">
        <v>12</v>
      </c>
      <c r="F723" t="s">
        <v>238</v>
      </c>
      <c r="G723" t="s">
        <v>252</v>
      </c>
      <c r="H723" t="s">
        <v>241</v>
      </c>
    </row>
    <row r="724" spans="1:8">
      <c r="A724">
        <v>20241223</v>
      </c>
      <c r="B724" s="1">
        <v>45649</v>
      </c>
      <c r="C724">
        <v>2024</v>
      </c>
      <c r="D724">
        <v>4</v>
      </c>
      <c r="E724">
        <v>12</v>
      </c>
      <c r="F724" t="s">
        <v>238</v>
      </c>
      <c r="G724" t="s">
        <v>252</v>
      </c>
      <c r="H724" t="s">
        <v>241</v>
      </c>
    </row>
    <row r="725" spans="1:8">
      <c r="A725">
        <v>20241224</v>
      </c>
      <c r="B725" s="1">
        <v>45650</v>
      </c>
      <c r="C725">
        <v>2024</v>
      </c>
      <c r="D725">
        <v>4</v>
      </c>
      <c r="E725">
        <v>12</v>
      </c>
      <c r="F725" t="s">
        <v>238</v>
      </c>
      <c r="G725" t="s">
        <v>252</v>
      </c>
      <c r="H725" t="s">
        <v>241</v>
      </c>
    </row>
    <row r="726" spans="1:8">
      <c r="A726">
        <v>20241225</v>
      </c>
      <c r="B726" s="1">
        <v>45651</v>
      </c>
      <c r="C726">
        <v>2024</v>
      </c>
      <c r="D726">
        <v>4</v>
      </c>
      <c r="E726">
        <v>12</v>
      </c>
      <c r="F726" t="s">
        <v>238</v>
      </c>
      <c r="G726" t="s">
        <v>252</v>
      </c>
      <c r="H726" t="s">
        <v>241</v>
      </c>
    </row>
    <row r="727" spans="1:8">
      <c r="A727">
        <v>20241226</v>
      </c>
      <c r="B727" s="1">
        <v>45652</v>
      </c>
      <c r="C727">
        <v>2024</v>
      </c>
      <c r="D727">
        <v>4</v>
      </c>
      <c r="E727">
        <v>12</v>
      </c>
      <c r="F727" t="s">
        <v>238</v>
      </c>
      <c r="G727" t="s">
        <v>252</v>
      </c>
      <c r="H727" t="s">
        <v>241</v>
      </c>
    </row>
    <row r="728" spans="1:8">
      <c r="A728">
        <v>20241227</v>
      </c>
      <c r="B728" s="1">
        <v>45653</v>
      </c>
      <c r="C728">
        <v>2024</v>
      </c>
      <c r="D728">
        <v>4</v>
      </c>
      <c r="E728">
        <v>12</v>
      </c>
      <c r="F728" t="s">
        <v>238</v>
      </c>
      <c r="G728" t="s">
        <v>252</v>
      </c>
      <c r="H728" t="s">
        <v>241</v>
      </c>
    </row>
    <row r="729" spans="1:8">
      <c r="A729">
        <v>20241228</v>
      </c>
      <c r="B729" s="1">
        <v>45654</v>
      </c>
      <c r="C729">
        <v>2024</v>
      </c>
      <c r="D729">
        <v>4</v>
      </c>
      <c r="E729">
        <v>12</v>
      </c>
      <c r="F729" t="s">
        <v>238</v>
      </c>
      <c r="G729" t="s">
        <v>252</v>
      </c>
      <c r="H729" t="s">
        <v>241</v>
      </c>
    </row>
    <row r="730" spans="1:8">
      <c r="A730">
        <v>20241229</v>
      </c>
      <c r="B730" s="1">
        <v>45655</v>
      </c>
      <c r="C730">
        <v>2024</v>
      </c>
      <c r="D730">
        <v>4</v>
      </c>
      <c r="E730">
        <v>12</v>
      </c>
      <c r="F730" t="s">
        <v>238</v>
      </c>
      <c r="G730" t="s">
        <v>252</v>
      </c>
      <c r="H730" t="s">
        <v>241</v>
      </c>
    </row>
    <row r="731" spans="1:8">
      <c r="A731">
        <v>20241230</v>
      </c>
      <c r="B731" s="1">
        <v>45656</v>
      </c>
      <c r="C731">
        <v>2024</v>
      </c>
      <c r="D731">
        <v>4</v>
      </c>
      <c r="E731">
        <v>12</v>
      </c>
      <c r="F731" t="s">
        <v>238</v>
      </c>
      <c r="G731" t="s">
        <v>252</v>
      </c>
      <c r="H731" t="s">
        <v>241</v>
      </c>
    </row>
    <row r="732" spans="1:8">
      <c r="A732">
        <v>20241231</v>
      </c>
      <c r="B732" s="1">
        <v>45657</v>
      </c>
      <c r="C732">
        <v>2024</v>
      </c>
      <c r="D732">
        <v>4</v>
      </c>
      <c r="E732">
        <v>12</v>
      </c>
      <c r="F732" t="s">
        <v>238</v>
      </c>
      <c r="G732" t="s">
        <v>252</v>
      </c>
      <c r="H732" t="s">
        <v>241</v>
      </c>
    </row>
    <row r="733" spans="1:8">
      <c r="A733">
        <v>20250101</v>
      </c>
      <c r="B733" s="1">
        <v>45658</v>
      </c>
      <c r="C733">
        <v>2025</v>
      </c>
      <c r="D733">
        <v>1</v>
      </c>
      <c r="E733">
        <v>1</v>
      </c>
      <c r="F733" t="s">
        <v>215</v>
      </c>
      <c r="G733" t="s">
        <v>253</v>
      </c>
      <c r="H733" t="s">
        <v>254</v>
      </c>
    </row>
    <row r="734" spans="1:8">
      <c r="A734">
        <v>20250102</v>
      </c>
      <c r="B734" s="1">
        <v>45659</v>
      </c>
      <c r="C734">
        <v>2025</v>
      </c>
      <c r="D734">
        <v>1</v>
      </c>
      <c r="E734">
        <v>1</v>
      </c>
      <c r="F734" t="s">
        <v>215</v>
      </c>
      <c r="G734" t="s">
        <v>253</v>
      </c>
      <c r="H734" t="s">
        <v>254</v>
      </c>
    </row>
    <row r="735" spans="1:8">
      <c r="A735">
        <v>20250103</v>
      </c>
      <c r="B735" s="1">
        <v>45660</v>
      </c>
      <c r="C735">
        <v>2025</v>
      </c>
      <c r="D735">
        <v>1</v>
      </c>
      <c r="E735">
        <v>1</v>
      </c>
      <c r="F735" t="s">
        <v>215</v>
      </c>
      <c r="G735" t="s">
        <v>253</v>
      </c>
      <c r="H735" t="s">
        <v>254</v>
      </c>
    </row>
    <row r="736" spans="1:8">
      <c r="A736">
        <v>20250104</v>
      </c>
      <c r="B736" s="1">
        <v>45661</v>
      </c>
      <c r="C736">
        <v>2025</v>
      </c>
      <c r="D736">
        <v>1</v>
      </c>
      <c r="E736">
        <v>1</v>
      </c>
      <c r="F736" t="s">
        <v>215</v>
      </c>
      <c r="G736" t="s">
        <v>253</v>
      </c>
      <c r="H736" t="s">
        <v>254</v>
      </c>
    </row>
    <row r="737" spans="1:8">
      <c r="A737">
        <v>20250105</v>
      </c>
      <c r="B737" s="1">
        <v>45662</v>
      </c>
      <c r="C737">
        <v>2025</v>
      </c>
      <c r="D737">
        <v>1</v>
      </c>
      <c r="E737">
        <v>1</v>
      </c>
      <c r="F737" t="s">
        <v>215</v>
      </c>
      <c r="G737" t="s">
        <v>253</v>
      </c>
      <c r="H737" t="s">
        <v>254</v>
      </c>
    </row>
    <row r="738" spans="1:8">
      <c r="A738">
        <v>20250106</v>
      </c>
      <c r="B738" s="1">
        <v>45663</v>
      </c>
      <c r="C738">
        <v>2025</v>
      </c>
      <c r="D738">
        <v>1</v>
      </c>
      <c r="E738">
        <v>1</v>
      </c>
      <c r="F738" t="s">
        <v>215</v>
      </c>
      <c r="G738" t="s">
        <v>253</v>
      </c>
      <c r="H738" t="s">
        <v>254</v>
      </c>
    </row>
    <row r="739" spans="1:8">
      <c r="A739">
        <v>20250107</v>
      </c>
      <c r="B739" s="1">
        <v>45664</v>
      </c>
      <c r="C739">
        <v>2025</v>
      </c>
      <c r="D739">
        <v>1</v>
      </c>
      <c r="E739">
        <v>1</v>
      </c>
      <c r="F739" t="s">
        <v>215</v>
      </c>
      <c r="G739" t="s">
        <v>253</v>
      </c>
      <c r="H739" t="s">
        <v>254</v>
      </c>
    </row>
    <row r="740" spans="1:8">
      <c r="A740">
        <v>20250108</v>
      </c>
      <c r="B740" s="1">
        <v>45665</v>
      </c>
      <c r="C740">
        <v>2025</v>
      </c>
      <c r="D740">
        <v>1</v>
      </c>
      <c r="E740">
        <v>1</v>
      </c>
      <c r="F740" t="s">
        <v>215</v>
      </c>
      <c r="G740" t="s">
        <v>253</v>
      </c>
      <c r="H740" t="s">
        <v>254</v>
      </c>
    </row>
    <row r="741" spans="1:8">
      <c r="A741">
        <v>20250109</v>
      </c>
      <c r="B741" s="1">
        <v>45666</v>
      </c>
      <c r="C741">
        <v>2025</v>
      </c>
      <c r="D741">
        <v>1</v>
      </c>
      <c r="E741">
        <v>1</v>
      </c>
      <c r="F741" t="s">
        <v>215</v>
      </c>
      <c r="G741" t="s">
        <v>253</v>
      </c>
      <c r="H741" t="s">
        <v>254</v>
      </c>
    </row>
    <row r="742" spans="1:8">
      <c r="A742">
        <v>20250110</v>
      </c>
      <c r="B742" s="1">
        <v>45667</v>
      </c>
      <c r="C742">
        <v>2025</v>
      </c>
      <c r="D742">
        <v>1</v>
      </c>
      <c r="E742">
        <v>1</v>
      </c>
      <c r="F742" t="s">
        <v>215</v>
      </c>
      <c r="G742" t="s">
        <v>253</v>
      </c>
      <c r="H742" t="s">
        <v>254</v>
      </c>
    </row>
    <row r="743" spans="1:8">
      <c r="A743">
        <v>20250111</v>
      </c>
      <c r="B743" s="1">
        <v>45668</v>
      </c>
      <c r="C743">
        <v>2025</v>
      </c>
      <c r="D743">
        <v>1</v>
      </c>
      <c r="E743">
        <v>1</v>
      </c>
      <c r="F743" t="s">
        <v>215</v>
      </c>
      <c r="G743" t="s">
        <v>253</v>
      </c>
      <c r="H743" t="s">
        <v>254</v>
      </c>
    </row>
    <row r="744" spans="1:8">
      <c r="A744">
        <v>20250112</v>
      </c>
      <c r="B744" s="1">
        <v>45669</v>
      </c>
      <c r="C744">
        <v>2025</v>
      </c>
      <c r="D744">
        <v>1</v>
      </c>
      <c r="E744">
        <v>1</v>
      </c>
      <c r="F744" t="s">
        <v>215</v>
      </c>
      <c r="G744" t="s">
        <v>253</v>
      </c>
      <c r="H744" t="s">
        <v>254</v>
      </c>
    </row>
    <row r="745" spans="1:8">
      <c r="A745">
        <v>20250113</v>
      </c>
      <c r="B745" s="1">
        <v>45670</v>
      </c>
      <c r="C745">
        <v>2025</v>
      </c>
      <c r="D745">
        <v>1</v>
      </c>
      <c r="E745">
        <v>1</v>
      </c>
      <c r="F745" t="s">
        <v>215</v>
      </c>
      <c r="G745" t="s">
        <v>253</v>
      </c>
      <c r="H745" t="s">
        <v>254</v>
      </c>
    </row>
    <row r="746" spans="1:8">
      <c r="A746">
        <v>20250114</v>
      </c>
      <c r="B746" s="1">
        <v>45671</v>
      </c>
      <c r="C746">
        <v>2025</v>
      </c>
      <c r="D746">
        <v>1</v>
      </c>
      <c r="E746">
        <v>1</v>
      </c>
      <c r="F746" t="s">
        <v>215</v>
      </c>
      <c r="G746" t="s">
        <v>253</v>
      </c>
      <c r="H746" t="s">
        <v>254</v>
      </c>
    </row>
    <row r="747" spans="1:8">
      <c r="A747">
        <v>20250115</v>
      </c>
      <c r="B747" s="1">
        <v>45672</v>
      </c>
      <c r="C747">
        <v>2025</v>
      </c>
      <c r="D747">
        <v>1</v>
      </c>
      <c r="E747">
        <v>1</v>
      </c>
      <c r="F747" t="s">
        <v>215</v>
      </c>
      <c r="G747" t="s">
        <v>253</v>
      </c>
      <c r="H747" t="s">
        <v>254</v>
      </c>
    </row>
    <row r="748" spans="1:8">
      <c r="A748">
        <v>20250116</v>
      </c>
      <c r="B748" s="1">
        <v>45673</v>
      </c>
      <c r="C748">
        <v>2025</v>
      </c>
      <c r="D748">
        <v>1</v>
      </c>
      <c r="E748">
        <v>1</v>
      </c>
      <c r="F748" t="s">
        <v>215</v>
      </c>
      <c r="G748" t="s">
        <v>253</v>
      </c>
      <c r="H748" t="s">
        <v>254</v>
      </c>
    </row>
    <row r="749" spans="1:8">
      <c r="A749">
        <v>20250117</v>
      </c>
      <c r="B749" s="1">
        <v>45674</v>
      </c>
      <c r="C749">
        <v>2025</v>
      </c>
      <c r="D749">
        <v>1</v>
      </c>
      <c r="E749">
        <v>1</v>
      </c>
      <c r="F749" t="s">
        <v>215</v>
      </c>
      <c r="G749" t="s">
        <v>253</v>
      </c>
      <c r="H749" t="s">
        <v>254</v>
      </c>
    </row>
    <row r="750" spans="1:8">
      <c r="A750">
        <v>20250118</v>
      </c>
      <c r="B750" s="1">
        <v>45675</v>
      </c>
      <c r="C750">
        <v>2025</v>
      </c>
      <c r="D750">
        <v>1</v>
      </c>
      <c r="E750">
        <v>1</v>
      </c>
      <c r="F750" t="s">
        <v>215</v>
      </c>
      <c r="G750" t="s">
        <v>253</v>
      </c>
      <c r="H750" t="s">
        <v>254</v>
      </c>
    </row>
    <row r="751" spans="1:8">
      <c r="A751">
        <v>20250119</v>
      </c>
      <c r="B751" s="1">
        <v>45676</v>
      </c>
      <c r="C751">
        <v>2025</v>
      </c>
      <c r="D751">
        <v>1</v>
      </c>
      <c r="E751">
        <v>1</v>
      </c>
      <c r="F751" t="s">
        <v>215</v>
      </c>
      <c r="G751" t="s">
        <v>253</v>
      </c>
      <c r="H751" t="s">
        <v>254</v>
      </c>
    </row>
    <row r="752" spans="1:8">
      <c r="A752">
        <v>20250120</v>
      </c>
      <c r="B752" s="1">
        <v>45677</v>
      </c>
      <c r="C752">
        <v>2025</v>
      </c>
      <c r="D752">
        <v>1</v>
      </c>
      <c r="E752">
        <v>1</v>
      </c>
      <c r="F752" t="s">
        <v>215</v>
      </c>
      <c r="G752" t="s">
        <v>253</v>
      </c>
      <c r="H752" t="s">
        <v>254</v>
      </c>
    </row>
    <row r="753" spans="1:8">
      <c r="A753">
        <v>20250121</v>
      </c>
      <c r="B753" s="1">
        <v>45678</v>
      </c>
      <c r="C753">
        <v>2025</v>
      </c>
      <c r="D753">
        <v>1</v>
      </c>
      <c r="E753">
        <v>1</v>
      </c>
      <c r="F753" t="s">
        <v>215</v>
      </c>
      <c r="G753" t="s">
        <v>253</v>
      </c>
      <c r="H753" t="s">
        <v>254</v>
      </c>
    </row>
    <row r="754" spans="1:8">
      <c r="A754">
        <v>20250122</v>
      </c>
      <c r="B754" s="1">
        <v>45679</v>
      </c>
      <c r="C754">
        <v>2025</v>
      </c>
      <c r="D754">
        <v>1</v>
      </c>
      <c r="E754">
        <v>1</v>
      </c>
      <c r="F754" t="s">
        <v>215</v>
      </c>
      <c r="G754" t="s">
        <v>253</v>
      </c>
      <c r="H754" t="s">
        <v>254</v>
      </c>
    </row>
    <row r="755" spans="1:8">
      <c r="A755">
        <v>20250123</v>
      </c>
      <c r="B755" s="1">
        <v>45680</v>
      </c>
      <c r="C755">
        <v>2025</v>
      </c>
      <c r="D755">
        <v>1</v>
      </c>
      <c r="E755">
        <v>1</v>
      </c>
      <c r="F755" t="s">
        <v>215</v>
      </c>
      <c r="G755" t="s">
        <v>253</v>
      </c>
      <c r="H755" t="s">
        <v>254</v>
      </c>
    </row>
    <row r="756" spans="1:8">
      <c r="A756">
        <v>20250124</v>
      </c>
      <c r="B756" s="1">
        <v>45681</v>
      </c>
      <c r="C756">
        <v>2025</v>
      </c>
      <c r="D756">
        <v>1</v>
      </c>
      <c r="E756">
        <v>1</v>
      </c>
      <c r="F756" t="s">
        <v>215</v>
      </c>
      <c r="G756" t="s">
        <v>253</v>
      </c>
      <c r="H756" t="s">
        <v>254</v>
      </c>
    </row>
    <row r="757" spans="1:8">
      <c r="A757">
        <v>20250125</v>
      </c>
      <c r="B757" s="1">
        <v>45682</v>
      </c>
      <c r="C757">
        <v>2025</v>
      </c>
      <c r="D757">
        <v>1</v>
      </c>
      <c r="E757">
        <v>1</v>
      </c>
      <c r="F757" t="s">
        <v>215</v>
      </c>
      <c r="G757" t="s">
        <v>253</v>
      </c>
      <c r="H757" t="s">
        <v>254</v>
      </c>
    </row>
    <row r="758" spans="1:8">
      <c r="A758">
        <v>20250126</v>
      </c>
      <c r="B758" s="1">
        <v>45683</v>
      </c>
      <c r="C758">
        <v>2025</v>
      </c>
      <c r="D758">
        <v>1</v>
      </c>
      <c r="E758">
        <v>1</v>
      </c>
      <c r="F758" t="s">
        <v>215</v>
      </c>
      <c r="G758" t="s">
        <v>253</v>
      </c>
      <c r="H758" t="s">
        <v>254</v>
      </c>
    </row>
    <row r="759" spans="1:8">
      <c r="A759">
        <v>20250127</v>
      </c>
      <c r="B759" s="1">
        <v>45684</v>
      </c>
      <c r="C759">
        <v>2025</v>
      </c>
      <c r="D759">
        <v>1</v>
      </c>
      <c r="E759">
        <v>1</v>
      </c>
      <c r="F759" t="s">
        <v>215</v>
      </c>
      <c r="G759" t="s">
        <v>253</v>
      </c>
      <c r="H759" t="s">
        <v>254</v>
      </c>
    </row>
    <row r="760" spans="1:8">
      <c r="A760">
        <v>20250128</v>
      </c>
      <c r="B760" s="1">
        <v>45685</v>
      </c>
      <c r="C760">
        <v>2025</v>
      </c>
      <c r="D760">
        <v>1</v>
      </c>
      <c r="E760">
        <v>1</v>
      </c>
      <c r="F760" t="s">
        <v>215</v>
      </c>
      <c r="G760" t="s">
        <v>253</v>
      </c>
      <c r="H760" t="s">
        <v>254</v>
      </c>
    </row>
    <row r="761" spans="1:8">
      <c r="A761">
        <v>20250129</v>
      </c>
      <c r="B761" s="1">
        <v>45686</v>
      </c>
      <c r="C761">
        <v>2025</v>
      </c>
      <c r="D761">
        <v>1</v>
      </c>
      <c r="E761">
        <v>1</v>
      </c>
      <c r="F761" t="s">
        <v>215</v>
      </c>
      <c r="G761" t="s">
        <v>253</v>
      </c>
      <c r="H761" t="s">
        <v>254</v>
      </c>
    </row>
    <row r="762" spans="1:8">
      <c r="A762">
        <v>20250130</v>
      </c>
      <c r="B762" s="1">
        <v>45687</v>
      </c>
      <c r="C762">
        <v>2025</v>
      </c>
      <c r="D762">
        <v>1</v>
      </c>
      <c r="E762">
        <v>1</v>
      </c>
      <c r="F762" t="s">
        <v>215</v>
      </c>
      <c r="G762" t="s">
        <v>253</v>
      </c>
      <c r="H762" t="s">
        <v>254</v>
      </c>
    </row>
    <row r="763" spans="1:8">
      <c r="A763">
        <v>20250131</v>
      </c>
      <c r="B763" s="1">
        <v>45688</v>
      </c>
      <c r="C763">
        <v>2025</v>
      </c>
      <c r="D763">
        <v>1</v>
      </c>
      <c r="E763">
        <v>1</v>
      </c>
      <c r="F763" t="s">
        <v>215</v>
      </c>
      <c r="G763" t="s">
        <v>253</v>
      </c>
      <c r="H763" t="s">
        <v>254</v>
      </c>
    </row>
    <row r="764" spans="1:8">
      <c r="A764">
        <v>20250201</v>
      </c>
      <c r="B764" s="1">
        <v>45689</v>
      </c>
      <c r="C764">
        <v>2025</v>
      </c>
      <c r="D764">
        <v>1</v>
      </c>
      <c r="E764">
        <v>2</v>
      </c>
      <c r="F764" t="s">
        <v>218</v>
      </c>
      <c r="G764" t="s">
        <v>255</v>
      </c>
      <c r="H764" t="s">
        <v>254</v>
      </c>
    </row>
    <row r="765" spans="1:8">
      <c r="A765">
        <v>20250202</v>
      </c>
      <c r="B765" s="1">
        <v>45690</v>
      </c>
      <c r="C765">
        <v>2025</v>
      </c>
      <c r="D765">
        <v>1</v>
      </c>
      <c r="E765">
        <v>2</v>
      </c>
      <c r="F765" t="s">
        <v>218</v>
      </c>
      <c r="G765" t="s">
        <v>255</v>
      </c>
      <c r="H765" t="s">
        <v>254</v>
      </c>
    </row>
    <row r="766" spans="1:8">
      <c r="A766">
        <v>20250203</v>
      </c>
      <c r="B766" s="1">
        <v>45691</v>
      </c>
      <c r="C766">
        <v>2025</v>
      </c>
      <c r="D766">
        <v>1</v>
      </c>
      <c r="E766">
        <v>2</v>
      </c>
      <c r="F766" t="s">
        <v>218</v>
      </c>
      <c r="G766" t="s">
        <v>255</v>
      </c>
      <c r="H766" t="s">
        <v>254</v>
      </c>
    </row>
    <row r="767" spans="1:8">
      <c r="A767">
        <v>20250204</v>
      </c>
      <c r="B767" s="1">
        <v>45692</v>
      </c>
      <c r="C767">
        <v>2025</v>
      </c>
      <c r="D767">
        <v>1</v>
      </c>
      <c r="E767">
        <v>2</v>
      </c>
      <c r="F767" t="s">
        <v>218</v>
      </c>
      <c r="G767" t="s">
        <v>255</v>
      </c>
      <c r="H767" t="s">
        <v>254</v>
      </c>
    </row>
    <row r="768" spans="1:8">
      <c r="A768">
        <v>20250205</v>
      </c>
      <c r="B768" s="1">
        <v>45693</v>
      </c>
      <c r="C768">
        <v>2025</v>
      </c>
      <c r="D768">
        <v>1</v>
      </c>
      <c r="E768">
        <v>2</v>
      </c>
      <c r="F768" t="s">
        <v>218</v>
      </c>
      <c r="G768" t="s">
        <v>255</v>
      </c>
      <c r="H768" t="s">
        <v>254</v>
      </c>
    </row>
    <row r="769" spans="1:8">
      <c r="A769">
        <v>20250206</v>
      </c>
      <c r="B769" s="1">
        <v>45694</v>
      </c>
      <c r="C769">
        <v>2025</v>
      </c>
      <c r="D769">
        <v>1</v>
      </c>
      <c r="E769">
        <v>2</v>
      </c>
      <c r="F769" t="s">
        <v>218</v>
      </c>
      <c r="G769" t="s">
        <v>255</v>
      </c>
      <c r="H769" t="s">
        <v>254</v>
      </c>
    </row>
    <row r="770" spans="1:8">
      <c r="A770">
        <v>20250207</v>
      </c>
      <c r="B770" s="1">
        <v>45695</v>
      </c>
      <c r="C770">
        <v>2025</v>
      </c>
      <c r="D770">
        <v>1</v>
      </c>
      <c r="E770">
        <v>2</v>
      </c>
      <c r="F770" t="s">
        <v>218</v>
      </c>
      <c r="G770" t="s">
        <v>255</v>
      </c>
      <c r="H770" t="s">
        <v>254</v>
      </c>
    </row>
    <row r="771" spans="1:8">
      <c r="A771">
        <v>20250208</v>
      </c>
      <c r="B771" s="1">
        <v>45696</v>
      </c>
      <c r="C771">
        <v>2025</v>
      </c>
      <c r="D771">
        <v>1</v>
      </c>
      <c r="E771">
        <v>2</v>
      </c>
      <c r="F771" t="s">
        <v>218</v>
      </c>
      <c r="G771" t="s">
        <v>255</v>
      </c>
      <c r="H771" t="s">
        <v>254</v>
      </c>
    </row>
    <row r="772" spans="1:8">
      <c r="A772">
        <v>20250209</v>
      </c>
      <c r="B772" s="1">
        <v>45697</v>
      </c>
      <c r="C772">
        <v>2025</v>
      </c>
      <c r="D772">
        <v>1</v>
      </c>
      <c r="E772">
        <v>2</v>
      </c>
      <c r="F772" t="s">
        <v>218</v>
      </c>
      <c r="G772" t="s">
        <v>255</v>
      </c>
      <c r="H772" t="s">
        <v>254</v>
      </c>
    </row>
    <row r="773" spans="1:8">
      <c r="A773">
        <v>20250210</v>
      </c>
      <c r="B773" s="1">
        <v>45698</v>
      </c>
      <c r="C773">
        <v>2025</v>
      </c>
      <c r="D773">
        <v>1</v>
      </c>
      <c r="E773">
        <v>2</v>
      </c>
      <c r="F773" t="s">
        <v>218</v>
      </c>
      <c r="G773" t="s">
        <v>255</v>
      </c>
      <c r="H773" t="s">
        <v>254</v>
      </c>
    </row>
    <row r="774" spans="1:8">
      <c r="A774">
        <v>20250211</v>
      </c>
      <c r="B774" s="1">
        <v>45699</v>
      </c>
      <c r="C774">
        <v>2025</v>
      </c>
      <c r="D774">
        <v>1</v>
      </c>
      <c r="E774">
        <v>2</v>
      </c>
      <c r="F774" t="s">
        <v>218</v>
      </c>
      <c r="G774" t="s">
        <v>255</v>
      </c>
      <c r="H774" t="s">
        <v>254</v>
      </c>
    </row>
    <row r="775" spans="1:8">
      <c r="A775">
        <v>20250212</v>
      </c>
      <c r="B775" s="1">
        <v>45700</v>
      </c>
      <c r="C775">
        <v>2025</v>
      </c>
      <c r="D775">
        <v>1</v>
      </c>
      <c r="E775">
        <v>2</v>
      </c>
      <c r="F775" t="s">
        <v>218</v>
      </c>
      <c r="G775" t="s">
        <v>255</v>
      </c>
      <c r="H775" t="s">
        <v>254</v>
      </c>
    </row>
    <row r="776" spans="1:8">
      <c r="A776">
        <v>20250213</v>
      </c>
      <c r="B776" s="1">
        <v>45701</v>
      </c>
      <c r="C776">
        <v>2025</v>
      </c>
      <c r="D776">
        <v>1</v>
      </c>
      <c r="E776">
        <v>2</v>
      </c>
      <c r="F776" t="s">
        <v>218</v>
      </c>
      <c r="G776" t="s">
        <v>255</v>
      </c>
      <c r="H776" t="s">
        <v>254</v>
      </c>
    </row>
    <row r="777" spans="1:8">
      <c r="A777">
        <v>20250214</v>
      </c>
      <c r="B777" s="1">
        <v>45702</v>
      </c>
      <c r="C777">
        <v>2025</v>
      </c>
      <c r="D777">
        <v>1</v>
      </c>
      <c r="E777">
        <v>2</v>
      </c>
      <c r="F777" t="s">
        <v>218</v>
      </c>
      <c r="G777" t="s">
        <v>255</v>
      </c>
      <c r="H777" t="s">
        <v>254</v>
      </c>
    </row>
    <row r="778" spans="1:8">
      <c r="A778">
        <v>20250215</v>
      </c>
      <c r="B778" s="1">
        <v>45703</v>
      </c>
      <c r="C778">
        <v>2025</v>
      </c>
      <c r="D778">
        <v>1</v>
      </c>
      <c r="E778">
        <v>2</v>
      </c>
      <c r="F778" t="s">
        <v>218</v>
      </c>
      <c r="G778" t="s">
        <v>255</v>
      </c>
      <c r="H778" t="s">
        <v>254</v>
      </c>
    </row>
    <row r="779" spans="1:8">
      <c r="A779">
        <v>20250216</v>
      </c>
      <c r="B779" s="1">
        <v>45704</v>
      </c>
      <c r="C779">
        <v>2025</v>
      </c>
      <c r="D779">
        <v>1</v>
      </c>
      <c r="E779">
        <v>2</v>
      </c>
      <c r="F779" t="s">
        <v>218</v>
      </c>
      <c r="G779" t="s">
        <v>255</v>
      </c>
      <c r="H779" t="s">
        <v>254</v>
      </c>
    </row>
    <row r="780" spans="1:8">
      <c r="A780">
        <v>20250217</v>
      </c>
      <c r="B780" s="1">
        <v>45705</v>
      </c>
      <c r="C780">
        <v>2025</v>
      </c>
      <c r="D780">
        <v>1</v>
      </c>
      <c r="E780">
        <v>2</v>
      </c>
      <c r="F780" t="s">
        <v>218</v>
      </c>
      <c r="G780" t="s">
        <v>255</v>
      </c>
      <c r="H780" t="s">
        <v>254</v>
      </c>
    </row>
    <row r="781" spans="1:8">
      <c r="A781">
        <v>20250218</v>
      </c>
      <c r="B781" s="1">
        <v>45706</v>
      </c>
      <c r="C781">
        <v>2025</v>
      </c>
      <c r="D781">
        <v>1</v>
      </c>
      <c r="E781">
        <v>2</v>
      </c>
      <c r="F781" t="s">
        <v>218</v>
      </c>
      <c r="G781" t="s">
        <v>255</v>
      </c>
      <c r="H781" t="s">
        <v>254</v>
      </c>
    </row>
    <row r="782" spans="1:8">
      <c r="A782">
        <v>20250219</v>
      </c>
      <c r="B782" s="1">
        <v>45707</v>
      </c>
      <c r="C782">
        <v>2025</v>
      </c>
      <c r="D782">
        <v>1</v>
      </c>
      <c r="E782">
        <v>2</v>
      </c>
      <c r="F782" t="s">
        <v>218</v>
      </c>
      <c r="G782" t="s">
        <v>255</v>
      </c>
      <c r="H782" t="s">
        <v>254</v>
      </c>
    </row>
    <row r="783" spans="1:8">
      <c r="A783">
        <v>20250220</v>
      </c>
      <c r="B783" s="1">
        <v>45708</v>
      </c>
      <c r="C783">
        <v>2025</v>
      </c>
      <c r="D783">
        <v>1</v>
      </c>
      <c r="E783">
        <v>2</v>
      </c>
      <c r="F783" t="s">
        <v>218</v>
      </c>
      <c r="G783" t="s">
        <v>255</v>
      </c>
      <c r="H783" t="s">
        <v>254</v>
      </c>
    </row>
    <row r="784" spans="1:8">
      <c r="A784">
        <v>20250221</v>
      </c>
      <c r="B784" s="1">
        <v>45709</v>
      </c>
      <c r="C784">
        <v>2025</v>
      </c>
      <c r="D784">
        <v>1</v>
      </c>
      <c r="E784">
        <v>2</v>
      </c>
      <c r="F784" t="s">
        <v>218</v>
      </c>
      <c r="G784" t="s">
        <v>255</v>
      </c>
      <c r="H784" t="s">
        <v>254</v>
      </c>
    </row>
    <row r="785" spans="1:8">
      <c r="A785">
        <v>20250222</v>
      </c>
      <c r="B785" s="1">
        <v>45710</v>
      </c>
      <c r="C785">
        <v>2025</v>
      </c>
      <c r="D785">
        <v>1</v>
      </c>
      <c r="E785">
        <v>2</v>
      </c>
      <c r="F785" t="s">
        <v>218</v>
      </c>
      <c r="G785" t="s">
        <v>255</v>
      </c>
      <c r="H785" t="s">
        <v>254</v>
      </c>
    </row>
    <row r="786" spans="1:8">
      <c r="A786">
        <v>20250223</v>
      </c>
      <c r="B786" s="1">
        <v>45711</v>
      </c>
      <c r="C786">
        <v>2025</v>
      </c>
      <c r="D786">
        <v>1</v>
      </c>
      <c r="E786">
        <v>2</v>
      </c>
      <c r="F786" t="s">
        <v>218</v>
      </c>
      <c r="G786" t="s">
        <v>255</v>
      </c>
      <c r="H786" t="s">
        <v>254</v>
      </c>
    </row>
    <row r="787" spans="1:8">
      <c r="A787">
        <v>20250224</v>
      </c>
      <c r="B787" s="1">
        <v>45712</v>
      </c>
      <c r="C787">
        <v>2025</v>
      </c>
      <c r="D787">
        <v>1</v>
      </c>
      <c r="E787">
        <v>2</v>
      </c>
      <c r="F787" t="s">
        <v>218</v>
      </c>
      <c r="G787" t="s">
        <v>255</v>
      </c>
      <c r="H787" t="s">
        <v>254</v>
      </c>
    </row>
    <row r="788" spans="1:8">
      <c r="A788">
        <v>20250225</v>
      </c>
      <c r="B788" s="1">
        <v>45713</v>
      </c>
      <c r="C788">
        <v>2025</v>
      </c>
      <c r="D788">
        <v>1</v>
      </c>
      <c r="E788">
        <v>2</v>
      </c>
      <c r="F788" t="s">
        <v>218</v>
      </c>
      <c r="G788" t="s">
        <v>255</v>
      </c>
      <c r="H788" t="s">
        <v>254</v>
      </c>
    </row>
    <row r="789" spans="1:8">
      <c r="A789">
        <v>20250226</v>
      </c>
      <c r="B789" s="1">
        <v>45714</v>
      </c>
      <c r="C789">
        <v>2025</v>
      </c>
      <c r="D789">
        <v>1</v>
      </c>
      <c r="E789">
        <v>2</v>
      </c>
      <c r="F789" t="s">
        <v>218</v>
      </c>
      <c r="G789" t="s">
        <v>255</v>
      </c>
      <c r="H789" t="s">
        <v>254</v>
      </c>
    </row>
    <row r="790" spans="1:8">
      <c r="A790">
        <v>20250227</v>
      </c>
      <c r="B790" s="1">
        <v>45715</v>
      </c>
      <c r="C790">
        <v>2025</v>
      </c>
      <c r="D790">
        <v>1</v>
      </c>
      <c r="E790">
        <v>2</v>
      </c>
      <c r="F790" t="s">
        <v>218</v>
      </c>
      <c r="G790" t="s">
        <v>255</v>
      </c>
      <c r="H790" t="s">
        <v>254</v>
      </c>
    </row>
    <row r="791" spans="1:8">
      <c r="A791">
        <v>20250228</v>
      </c>
      <c r="B791" s="1">
        <v>45716</v>
      </c>
      <c r="C791">
        <v>2025</v>
      </c>
      <c r="D791">
        <v>1</v>
      </c>
      <c r="E791">
        <v>2</v>
      </c>
      <c r="F791" t="s">
        <v>218</v>
      </c>
      <c r="G791" t="s">
        <v>255</v>
      </c>
      <c r="H791" t="s">
        <v>254</v>
      </c>
    </row>
    <row r="792" spans="1:8">
      <c r="A792">
        <v>20250301</v>
      </c>
      <c r="B792" s="1">
        <v>45717</v>
      </c>
      <c r="C792">
        <v>2025</v>
      </c>
      <c r="D792">
        <v>1</v>
      </c>
      <c r="E792">
        <v>3</v>
      </c>
      <c r="F792" t="s">
        <v>220</v>
      </c>
      <c r="G792" t="s">
        <v>256</v>
      </c>
      <c r="H792" t="s">
        <v>254</v>
      </c>
    </row>
    <row r="793" spans="1:8">
      <c r="A793">
        <v>20250302</v>
      </c>
      <c r="B793" s="1">
        <v>45718</v>
      </c>
      <c r="C793">
        <v>2025</v>
      </c>
      <c r="D793">
        <v>1</v>
      </c>
      <c r="E793">
        <v>3</v>
      </c>
      <c r="F793" t="s">
        <v>220</v>
      </c>
      <c r="G793" t="s">
        <v>256</v>
      </c>
      <c r="H793" t="s">
        <v>254</v>
      </c>
    </row>
    <row r="794" spans="1:8">
      <c r="A794">
        <v>20250303</v>
      </c>
      <c r="B794" s="1">
        <v>45719</v>
      </c>
      <c r="C794">
        <v>2025</v>
      </c>
      <c r="D794">
        <v>1</v>
      </c>
      <c r="E794">
        <v>3</v>
      </c>
      <c r="F794" t="s">
        <v>220</v>
      </c>
      <c r="G794" t="s">
        <v>256</v>
      </c>
      <c r="H794" t="s">
        <v>254</v>
      </c>
    </row>
    <row r="795" spans="1:8">
      <c r="A795">
        <v>20250304</v>
      </c>
      <c r="B795" s="1">
        <v>45720</v>
      </c>
      <c r="C795">
        <v>2025</v>
      </c>
      <c r="D795">
        <v>1</v>
      </c>
      <c r="E795">
        <v>3</v>
      </c>
      <c r="F795" t="s">
        <v>220</v>
      </c>
      <c r="G795" t="s">
        <v>256</v>
      </c>
      <c r="H795" t="s">
        <v>254</v>
      </c>
    </row>
    <row r="796" spans="1:8">
      <c r="A796">
        <v>20250305</v>
      </c>
      <c r="B796" s="1">
        <v>45721</v>
      </c>
      <c r="C796">
        <v>2025</v>
      </c>
      <c r="D796">
        <v>1</v>
      </c>
      <c r="E796">
        <v>3</v>
      </c>
      <c r="F796" t="s">
        <v>220</v>
      </c>
      <c r="G796" t="s">
        <v>256</v>
      </c>
      <c r="H796" t="s">
        <v>254</v>
      </c>
    </row>
    <row r="797" spans="1:8">
      <c r="A797">
        <v>20250306</v>
      </c>
      <c r="B797" s="1">
        <v>45722</v>
      </c>
      <c r="C797">
        <v>2025</v>
      </c>
      <c r="D797">
        <v>1</v>
      </c>
      <c r="E797">
        <v>3</v>
      </c>
      <c r="F797" t="s">
        <v>220</v>
      </c>
      <c r="G797" t="s">
        <v>256</v>
      </c>
      <c r="H797" t="s">
        <v>254</v>
      </c>
    </row>
    <row r="798" spans="1:8">
      <c r="A798">
        <v>20250307</v>
      </c>
      <c r="B798" s="1">
        <v>45723</v>
      </c>
      <c r="C798">
        <v>2025</v>
      </c>
      <c r="D798">
        <v>1</v>
      </c>
      <c r="E798">
        <v>3</v>
      </c>
      <c r="F798" t="s">
        <v>220</v>
      </c>
      <c r="G798" t="s">
        <v>256</v>
      </c>
      <c r="H798" t="s">
        <v>254</v>
      </c>
    </row>
    <row r="799" spans="1:8">
      <c r="A799">
        <v>20250308</v>
      </c>
      <c r="B799" s="1">
        <v>45724</v>
      </c>
      <c r="C799">
        <v>2025</v>
      </c>
      <c r="D799">
        <v>1</v>
      </c>
      <c r="E799">
        <v>3</v>
      </c>
      <c r="F799" t="s">
        <v>220</v>
      </c>
      <c r="G799" t="s">
        <v>256</v>
      </c>
      <c r="H799" t="s">
        <v>254</v>
      </c>
    </row>
    <row r="800" spans="1:8">
      <c r="A800">
        <v>20250309</v>
      </c>
      <c r="B800" s="1">
        <v>45725</v>
      </c>
      <c r="C800">
        <v>2025</v>
      </c>
      <c r="D800">
        <v>1</v>
      </c>
      <c r="E800">
        <v>3</v>
      </c>
      <c r="F800" t="s">
        <v>220</v>
      </c>
      <c r="G800" t="s">
        <v>256</v>
      </c>
      <c r="H800" t="s">
        <v>254</v>
      </c>
    </row>
    <row r="801" spans="1:8">
      <c r="A801">
        <v>20250310</v>
      </c>
      <c r="B801" s="1">
        <v>45726</v>
      </c>
      <c r="C801">
        <v>2025</v>
      </c>
      <c r="D801">
        <v>1</v>
      </c>
      <c r="E801">
        <v>3</v>
      </c>
      <c r="F801" t="s">
        <v>220</v>
      </c>
      <c r="G801" t="s">
        <v>256</v>
      </c>
      <c r="H801" t="s">
        <v>254</v>
      </c>
    </row>
    <row r="802" spans="1:8">
      <c r="A802">
        <v>20250311</v>
      </c>
      <c r="B802" s="1">
        <v>45727</v>
      </c>
      <c r="C802">
        <v>2025</v>
      </c>
      <c r="D802">
        <v>1</v>
      </c>
      <c r="E802">
        <v>3</v>
      </c>
      <c r="F802" t="s">
        <v>220</v>
      </c>
      <c r="G802" t="s">
        <v>256</v>
      </c>
      <c r="H802" t="s">
        <v>254</v>
      </c>
    </row>
    <row r="803" spans="1:8">
      <c r="A803">
        <v>20250312</v>
      </c>
      <c r="B803" s="1">
        <v>45728</v>
      </c>
      <c r="C803">
        <v>2025</v>
      </c>
      <c r="D803">
        <v>1</v>
      </c>
      <c r="E803">
        <v>3</v>
      </c>
      <c r="F803" t="s">
        <v>220</v>
      </c>
      <c r="G803" t="s">
        <v>256</v>
      </c>
      <c r="H803" t="s">
        <v>254</v>
      </c>
    </row>
    <row r="804" spans="1:8">
      <c r="A804">
        <v>20250313</v>
      </c>
      <c r="B804" s="1">
        <v>45729</v>
      </c>
      <c r="C804">
        <v>2025</v>
      </c>
      <c r="D804">
        <v>1</v>
      </c>
      <c r="E804">
        <v>3</v>
      </c>
      <c r="F804" t="s">
        <v>220</v>
      </c>
      <c r="G804" t="s">
        <v>256</v>
      </c>
      <c r="H804" t="s">
        <v>254</v>
      </c>
    </row>
    <row r="805" spans="1:8">
      <c r="A805">
        <v>20250314</v>
      </c>
      <c r="B805" s="1">
        <v>45730</v>
      </c>
      <c r="C805">
        <v>2025</v>
      </c>
      <c r="D805">
        <v>1</v>
      </c>
      <c r="E805">
        <v>3</v>
      </c>
      <c r="F805" t="s">
        <v>220</v>
      </c>
      <c r="G805" t="s">
        <v>256</v>
      </c>
      <c r="H805" t="s">
        <v>254</v>
      </c>
    </row>
    <row r="806" spans="1:8">
      <c r="A806">
        <v>20250315</v>
      </c>
      <c r="B806" s="1">
        <v>45731</v>
      </c>
      <c r="C806">
        <v>2025</v>
      </c>
      <c r="D806">
        <v>1</v>
      </c>
      <c r="E806">
        <v>3</v>
      </c>
      <c r="F806" t="s">
        <v>220</v>
      </c>
      <c r="G806" t="s">
        <v>256</v>
      </c>
      <c r="H806" t="s">
        <v>254</v>
      </c>
    </row>
    <row r="807" spans="1:8">
      <c r="A807">
        <v>20250316</v>
      </c>
      <c r="B807" s="1">
        <v>45732</v>
      </c>
      <c r="C807">
        <v>2025</v>
      </c>
      <c r="D807">
        <v>1</v>
      </c>
      <c r="E807">
        <v>3</v>
      </c>
      <c r="F807" t="s">
        <v>220</v>
      </c>
      <c r="G807" t="s">
        <v>256</v>
      </c>
      <c r="H807" t="s">
        <v>254</v>
      </c>
    </row>
    <row r="808" spans="1:8">
      <c r="A808">
        <v>20250317</v>
      </c>
      <c r="B808" s="1">
        <v>45733</v>
      </c>
      <c r="C808">
        <v>2025</v>
      </c>
      <c r="D808">
        <v>1</v>
      </c>
      <c r="E808">
        <v>3</v>
      </c>
      <c r="F808" t="s">
        <v>220</v>
      </c>
      <c r="G808" t="s">
        <v>256</v>
      </c>
      <c r="H808" t="s">
        <v>254</v>
      </c>
    </row>
    <row r="809" spans="1:8">
      <c r="A809">
        <v>20250318</v>
      </c>
      <c r="B809" s="1">
        <v>45734</v>
      </c>
      <c r="C809">
        <v>2025</v>
      </c>
      <c r="D809">
        <v>1</v>
      </c>
      <c r="E809">
        <v>3</v>
      </c>
      <c r="F809" t="s">
        <v>220</v>
      </c>
      <c r="G809" t="s">
        <v>256</v>
      </c>
      <c r="H809" t="s">
        <v>254</v>
      </c>
    </row>
    <row r="810" spans="1:8">
      <c r="A810">
        <v>20250319</v>
      </c>
      <c r="B810" s="1">
        <v>45735</v>
      </c>
      <c r="C810">
        <v>2025</v>
      </c>
      <c r="D810">
        <v>1</v>
      </c>
      <c r="E810">
        <v>3</v>
      </c>
      <c r="F810" t="s">
        <v>220</v>
      </c>
      <c r="G810" t="s">
        <v>256</v>
      </c>
      <c r="H810" t="s">
        <v>254</v>
      </c>
    </row>
    <row r="811" spans="1:8">
      <c r="A811">
        <v>20250320</v>
      </c>
      <c r="B811" s="1">
        <v>45736</v>
      </c>
      <c r="C811">
        <v>2025</v>
      </c>
      <c r="D811">
        <v>1</v>
      </c>
      <c r="E811">
        <v>3</v>
      </c>
      <c r="F811" t="s">
        <v>220</v>
      </c>
      <c r="G811" t="s">
        <v>256</v>
      </c>
      <c r="H811" t="s">
        <v>254</v>
      </c>
    </row>
    <row r="812" spans="1:8">
      <c r="A812">
        <v>20250321</v>
      </c>
      <c r="B812" s="1">
        <v>45737</v>
      </c>
      <c r="C812">
        <v>2025</v>
      </c>
      <c r="D812">
        <v>1</v>
      </c>
      <c r="E812">
        <v>3</v>
      </c>
      <c r="F812" t="s">
        <v>220</v>
      </c>
      <c r="G812" t="s">
        <v>256</v>
      </c>
      <c r="H812" t="s">
        <v>254</v>
      </c>
    </row>
    <row r="813" spans="1:8">
      <c r="A813">
        <v>20250322</v>
      </c>
      <c r="B813" s="1">
        <v>45738</v>
      </c>
      <c r="C813">
        <v>2025</v>
      </c>
      <c r="D813">
        <v>1</v>
      </c>
      <c r="E813">
        <v>3</v>
      </c>
      <c r="F813" t="s">
        <v>220</v>
      </c>
      <c r="G813" t="s">
        <v>256</v>
      </c>
      <c r="H813" t="s">
        <v>254</v>
      </c>
    </row>
    <row r="814" spans="1:8">
      <c r="A814">
        <v>20250323</v>
      </c>
      <c r="B814" s="1">
        <v>45739</v>
      </c>
      <c r="C814">
        <v>2025</v>
      </c>
      <c r="D814">
        <v>1</v>
      </c>
      <c r="E814">
        <v>3</v>
      </c>
      <c r="F814" t="s">
        <v>220</v>
      </c>
      <c r="G814" t="s">
        <v>256</v>
      </c>
      <c r="H814" t="s">
        <v>254</v>
      </c>
    </row>
    <row r="815" spans="1:8">
      <c r="A815">
        <v>20250324</v>
      </c>
      <c r="B815" s="1">
        <v>45740</v>
      </c>
      <c r="C815">
        <v>2025</v>
      </c>
      <c r="D815">
        <v>1</v>
      </c>
      <c r="E815">
        <v>3</v>
      </c>
      <c r="F815" t="s">
        <v>220</v>
      </c>
      <c r="G815" t="s">
        <v>256</v>
      </c>
      <c r="H815" t="s">
        <v>254</v>
      </c>
    </row>
    <row r="816" spans="1:8">
      <c r="A816">
        <v>20250325</v>
      </c>
      <c r="B816" s="1">
        <v>45741</v>
      </c>
      <c r="C816">
        <v>2025</v>
      </c>
      <c r="D816">
        <v>1</v>
      </c>
      <c r="E816">
        <v>3</v>
      </c>
      <c r="F816" t="s">
        <v>220</v>
      </c>
      <c r="G816" t="s">
        <v>256</v>
      </c>
      <c r="H816" t="s">
        <v>254</v>
      </c>
    </row>
    <row r="817" spans="1:8">
      <c r="A817">
        <v>20250326</v>
      </c>
      <c r="B817" s="1">
        <v>45742</v>
      </c>
      <c r="C817">
        <v>2025</v>
      </c>
      <c r="D817">
        <v>1</v>
      </c>
      <c r="E817">
        <v>3</v>
      </c>
      <c r="F817" t="s">
        <v>220</v>
      </c>
      <c r="G817" t="s">
        <v>256</v>
      </c>
      <c r="H817" t="s">
        <v>254</v>
      </c>
    </row>
    <row r="818" spans="1:8">
      <c r="A818">
        <v>20250327</v>
      </c>
      <c r="B818" s="1">
        <v>45743</v>
      </c>
      <c r="C818">
        <v>2025</v>
      </c>
      <c r="D818">
        <v>1</v>
      </c>
      <c r="E818">
        <v>3</v>
      </c>
      <c r="F818" t="s">
        <v>220</v>
      </c>
      <c r="G818" t="s">
        <v>256</v>
      </c>
      <c r="H818" t="s">
        <v>254</v>
      </c>
    </row>
    <row r="819" spans="1:8">
      <c r="A819">
        <v>20250328</v>
      </c>
      <c r="B819" s="1">
        <v>45744</v>
      </c>
      <c r="C819">
        <v>2025</v>
      </c>
      <c r="D819">
        <v>1</v>
      </c>
      <c r="E819">
        <v>3</v>
      </c>
      <c r="F819" t="s">
        <v>220</v>
      </c>
      <c r="G819" t="s">
        <v>256</v>
      </c>
      <c r="H819" t="s">
        <v>254</v>
      </c>
    </row>
    <row r="820" spans="1:8">
      <c r="A820">
        <v>20250329</v>
      </c>
      <c r="B820" s="1">
        <v>45745</v>
      </c>
      <c r="C820">
        <v>2025</v>
      </c>
      <c r="D820">
        <v>1</v>
      </c>
      <c r="E820">
        <v>3</v>
      </c>
      <c r="F820" t="s">
        <v>220</v>
      </c>
      <c r="G820" t="s">
        <v>256</v>
      </c>
      <c r="H820" t="s">
        <v>254</v>
      </c>
    </row>
    <row r="821" spans="1:8">
      <c r="A821">
        <v>20250330</v>
      </c>
      <c r="B821" s="1">
        <v>45746</v>
      </c>
      <c r="C821">
        <v>2025</v>
      </c>
      <c r="D821">
        <v>1</v>
      </c>
      <c r="E821">
        <v>3</v>
      </c>
      <c r="F821" t="s">
        <v>220</v>
      </c>
      <c r="G821" t="s">
        <v>256</v>
      </c>
      <c r="H821" t="s">
        <v>254</v>
      </c>
    </row>
    <row r="822" spans="1:8">
      <c r="A822">
        <v>20250331</v>
      </c>
      <c r="B822" s="1">
        <v>45747</v>
      </c>
      <c r="C822">
        <v>2025</v>
      </c>
      <c r="D822">
        <v>1</v>
      </c>
      <c r="E822">
        <v>3</v>
      </c>
      <c r="F822" t="s">
        <v>220</v>
      </c>
      <c r="G822" t="s">
        <v>256</v>
      </c>
      <c r="H822" t="s">
        <v>254</v>
      </c>
    </row>
    <row r="823" spans="1:8">
      <c r="A823">
        <v>20250401</v>
      </c>
      <c r="B823" s="1">
        <v>45748</v>
      </c>
      <c r="C823">
        <v>2025</v>
      </c>
      <c r="D823">
        <v>2</v>
      </c>
      <c r="E823">
        <v>4</v>
      </c>
      <c r="F823" t="s">
        <v>222</v>
      </c>
      <c r="G823" t="s">
        <v>257</v>
      </c>
      <c r="H823" t="s">
        <v>254</v>
      </c>
    </row>
    <row r="824" spans="1:8">
      <c r="A824">
        <v>20250402</v>
      </c>
      <c r="B824" s="1">
        <v>45749</v>
      </c>
      <c r="C824">
        <v>2025</v>
      </c>
      <c r="D824">
        <v>2</v>
      </c>
      <c r="E824">
        <v>4</v>
      </c>
      <c r="F824" t="s">
        <v>222</v>
      </c>
      <c r="G824" t="s">
        <v>257</v>
      </c>
      <c r="H824" t="s">
        <v>254</v>
      </c>
    </row>
    <row r="825" spans="1:8">
      <c r="A825">
        <v>20250403</v>
      </c>
      <c r="B825" s="1">
        <v>45750</v>
      </c>
      <c r="C825">
        <v>2025</v>
      </c>
      <c r="D825">
        <v>2</v>
      </c>
      <c r="E825">
        <v>4</v>
      </c>
      <c r="F825" t="s">
        <v>222</v>
      </c>
      <c r="G825" t="s">
        <v>257</v>
      </c>
      <c r="H825" t="s">
        <v>254</v>
      </c>
    </row>
    <row r="826" spans="1:8">
      <c r="A826">
        <v>20250404</v>
      </c>
      <c r="B826" s="1">
        <v>45751</v>
      </c>
      <c r="C826">
        <v>2025</v>
      </c>
      <c r="D826">
        <v>2</v>
      </c>
      <c r="E826">
        <v>4</v>
      </c>
      <c r="F826" t="s">
        <v>222</v>
      </c>
      <c r="G826" t="s">
        <v>257</v>
      </c>
      <c r="H826" t="s">
        <v>254</v>
      </c>
    </row>
    <row r="827" spans="1:8">
      <c r="A827">
        <v>20250405</v>
      </c>
      <c r="B827" s="1">
        <v>45752</v>
      </c>
      <c r="C827">
        <v>2025</v>
      </c>
      <c r="D827">
        <v>2</v>
      </c>
      <c r="E827">
        <v>4</v>
      </c>
      <c r="F827" t="s">
        <v>222</v>
      </c>
      <c r="G827" t="s">
        <v>257</v>
      </c>
      <c r="H827" t="s">
        <v>254</v>
      </c>
    </row>
    <row r="828" spans="1:8">
      <c r="A828">
        <v>20250406</v>
      </c>
      <c r="B828" s="1">
        <v>45753</v>
      </c>
      <c r="C828">
        <v>2025</v>
      </c>
      <c r="D828">
        <v>2</v>
      </c>
      <c r="E828">
        <v>4</v>
      </c>
      <c r="F828" t="s">
        <v>222</v>
      </c>
      <c r="G828" t="s">
        <v>257</v>
      </c>
      <c r="H828" t="s">
        <v>254</v>
      </c>
    </row>
    <row r="829" spans="1:8">
      <c r="A829">
        <v>20250407</v>
      </c>
      <c r="B829" s="1">
        <v>45754</v>
      </c>
      <c r="C829">
        <v>2025</v>
      </c>
      <c r="D829">
        <v>2</v>
      </c>
      <c r="E829">
        <v>4</v>
      </c>
      <c r="F829" t="s">
        <v>222</v>
      </c>
      <c r="G829" t="s">
        <v>257</v>
      </c>
      <c r="H829" t="s">
        <v>254</v>
      </c>
    </row>
    <row r="830" spans="1:8">
      <c r="A830">
        <v>20250408</v>
      </c>
      <c r="B830" s="1">
        <v>45755</v>
      </c>
      <c r="C830">
        <v>2025</v>
      </c>
      <c r="D830">
        <v>2</v>
      </c>
      <c r="E830">
        <v>4</v>
      </c>
      <c r="F830" t="s">
        <v>222</v>
      </c>
      <c r="G830" t="s">
        <v>257</v>
      </c>
      <c r="H830" t="s">
        <v>254</v>
      </c>
    </row>
    <row r="831" spans="1:8">
      <c r="A831">
        <v>20250409</v>
      </c>
      <c r="B831" s="1">
        <v>45756</v>
      </c>
      <c r="C831">
        <v>2025</v>
      </c>
      <c r="D831">
        <v>2</v>
      </c>
      <c r="E831">
        <v>4</v>
      </c>
      <c r="F831" t="s">
        <v>222</v>
      </c>
      <c r="G831" t="s">
        <v>257</v>
      </c>
      <c r="H831" t="s">
        <v>254</v>
      </c>
    </row>
    <row r="832" spans="1:8">
      <c r="A832">
        <v>20250410</v>
      </c>
      <c r="B832" s="1">
        <v>45757</v>
      </c>
      <c r="C832">
        <v>2025</v>
      </c>
      <c r="D832">
        <v>2</v>
      </c>
      <c r="E832">
        <v>4</v>
      </c>
      <c r="F832" t="s">
        <v>222</v>
      </c>
      <c r="G832" t="s">
        <v>257</v>
      </c>
      <c r="H832" t="s">
        <v>254</v>
      </c>
    </row>
    <row r="833" spans="1:8">
      <c r="A833">
        <v>20250411</v>
      </c>
      <c r="B833" s="1">
        <v>45758</v>
      </c>
      <c r="C833">
        <v>2025</v>
      </c>
      <c r="D833">
        <v>2</v>
      </c>
      <c r="E833">
        <v>4</v>
      </c>
      <c r="F833" t="s">
        <v>222</v>
      </c>
      <c r="G833" t="s">
        <v>257</v>
      </c>
      <c r="H833" t="s">
        <v>254</v>
      </c>
    </row>
    <row r="834" spans="1:8">
      <c r="A834">
        <v>20250412</v>
      </c>
      <c r="B834" s="1">
        <v>45759</v>
      </c>
      <c r="C834">
        <v>2025</v>
      </c>
      <c r="D834">
        <v>2</v>
      </c>
      <c r="E834">
        <v>4</v>
      </c>
      <c r="F834" t="s">
        <v>222</v>
      </c>
      <c r="G834" t="s">
        <v>257</v>
      </c>
      <c r="H834" t="s">
        <v>254</v>
      </c>
    </row>
    <row r="835" spans="1:8">
      <c r="A835">
        <v>20250413</v>
      </c>
      <c r="B835" s="1">
        <v>45760</v>
      </c>
      <c r="C835">
        <v>2025</v>
      </c>
      <c r="D835">
        <v>2</v>
      </c>
      <c r="E835">
        <v>4</v>
      </c>
      <c r="F835" t="s">
        <v>222</v>
      </c>
      <c r="G835" t="s">
        <v>257</v>
      </c>
      <c r="H835" t="s">
        <v>254</v>
      </c>
    </row>
    <row r="836" spans="1:8">
      <c r="A836">
        <v>20250414</v>
      </c>
      <c r="B836" s="1">
        <v>45761</v>
      </c>
      <c r="C836">
        <v>2025</v>
      </c>
      <c r="D836">
        <v>2</v>
      </c>
      <c r="E836">
        <v>4</v>
      </c>
      <c r="F836" t="s">
        <v>222</v>
      </c>
      <c r="G836" t="s">
        <v>257</v>
      </c>
      <c r="H836" t="s">
        <v>254</v>
      </c>
    </row>
    <row r="837" spans="1:8">
      <c r="A837">
        <v>20250415</v>
      </c>
      <c r="B837" s="1">
        <v>45762</v>
      </c>
      <c r="C837">
        <v>2025</v>
      </c>
      <c r="D837">
        <v>2</v>
      </c>
      <c r="E837">
        <v>4</v>
      </c>
      <c r="F837" t="s">
        <v>222</v>
      </c>
      <c r="G837" t="s">
        <v>257</v>
      </c>
      <c r="H837" t="s">
        <v>254</v>
      </c>
    </row>
    <row r="838" spans="1:8">
      <c r="A838">
        <v>20250416</v>
      </c>
      <c r="B838" s="1">
        <v>45763</v>
      </c>
      <c r="C838">
        <v>2025</v>
      </c>
      <c r="D838">
        <v>2</v>
      </c>
      <c r="E838">
        <v>4</v>
      </c>
      <c r="F838" t="s">
        <v>222</v>
      </c>
      <c r="G838" t="s">
        <v>257</v>
      </c>
      <c r="H838" t="s">
        <v>254</v>
      </c>
    </row>
    <row r="839" spans="1:8">
      <c r="A839">
        <v>20250417</v>
      </c>
      <c r="B839" s="1">
        <v>45764</v>
      </c>
      <c r="C839">
        <v>2025</v>
      </c>
      <c r="D839">
        <v>2</v>
      </c>
      <c r="E839">
        <v>4</v>
      </c>
      <c r="F839" t="s">
        <v>222</v>
      </c>
      <c r="G839" t="s">
        <v>257</v>
      </c>
      <c r="H839" t="s">
        <v>254</v>
      </c>
    </row>
    <row r="840" spans="1:8">
      <c r="A840">
        <v>20250418</v>
      </c>
      <c r="B840" s="1">
        <v>45765</v>
      </c>
      <c r="C840">
        <v>2025</v>
      </c>
      <c r="D840">
        <v>2</v>
      </c>
      <c r="E840">
        <v>4</v>
      </c>
      <c r="F840" t="s">
        <v>222</v>
      </c>
      <c r="G840" t="s">
        <v>257</v>
      </c>
      <c r="H840" t="s">
        <v>254</v>
      </c>
    </row>
    <row r="841" spans="1:8">
      <c r="A841">
        <v>20250419</v>
      </c>
      <c r="B841" s="1">
        <v>45766</v>
      </c>
      <c r="C841">
        <v>2025</v>
      </c>
      <c r="D841">
        <v>2</v>
      </c>
      <c r="E841">
        <v>4</v>
      </c>
      <c r="F841" t="s">
        <v>222</v>
      </c>
      <c r="G841" t="s">
        <v>257</v>
      </c>
      <c r="H841" t="s">
        <v>254</v>
      </c>
    </row>
    <row r="842" spans="1:8">
      <c r="A842">
        <v>20250420</v>
      </c>
      <c r="B842" s="1">
        <v>45767</v>
      </c>
      <c r="C842">
        <v>2025</v>
      </c>
      <c r="D842">
        <v>2</v>
      </c>
      <c r="E842">
        <v>4</v>
      </c>
      <c r="F842" t="s">
        <v>222</v>
      </c>
      <c r="G842" t="s">
        <v>257</v>
      </c>
      <c r="H842" t="s">
        <v>254</v>
      </c>
    </row>
    <row r="843" spans="1:8">
      <c r="A843">
        <v>20250421</v>
      </c>
      <c r="B843" s="1">
        <v>45768</v>
      </c>
      <c r="C843">
        <v>2025</v>
      </c>
      <c r="D843">
        <v>2</v>
      </c>
      <c r="E843">
        <v>4</v>
      </c>
      <c r="F843" t="s">
        <v>222</v>
      </c>
      <c r="G843" t="s">
        <v>257</v>
      </c>
      <c r="H843" t="s">
        <v>254</v>
      </c>
    </row>
    <row r="844" spans="1:8">
      <c r="A844">
        <v>20250422</v>
      </c>
      <c r="B844" s="1">
        <v>45769</v>
      </c>
      <c r="C844">
        <v>2025</v>
      </c>
      <c r="D844">
        <v>2</v>
      </c>
      <c r="E844">
        <v>4</v>
      </c>
      <c r="F844" t="s">
        <v>222</v>
      </c>
      <c r="G844" t="s">
        <v>257</v>
      </c>
      <c r="H844" t="s">
        <v>254</v>
      </c>
    </row>
    <row r="845" spans="1:8">
      <c r="A845">
        <v>20250423</v>
      </c>
      <c r="B845" s="1">
        <v>45770</v>
      </c>
      <c r="C845">
        <v>2025</v>
      </c>
      <c r="D845">
        <v>2</v>
      </c>
      <c r="E845">
        <v>4</v>
      </c>
      <c r="F845" t="s">
        <v>222</v>
      </c>
      <c r="G845" t="s">
        <v>257</v>
      </c>
      <c r="H845" t="s">
        <v>254</v>
      </c>
    </row>
    <row r="846" spans="1:8">
      <c r="A846">
        <v>20250424</v>
      </c>
      <c r="B846" s="1">
        <v>45771</v>
      </c>
      <c r="C846">
        <v>2025</v>
      </c>
      <c r="D846">
        <v>2</v>
      </c>
      <c r="E846">
        <v>4</v>
      </c>
      <c r="F846" t="s">
        <v>222</v>
      </c>
      <c r="G846" t="s">
        <v>257</v>
      </c>
      <c r="H846" t="s">
        <v>254</v>
      </c>
    </row>
    <row r="847" spans="1:8">
      <c r="A847">
        <v>20250425</v>
      </c>
      <c r="B847" s="1">
        <v>45772</v>
      </c>
      <c r="C847">
        <v>2025</v>
      </c>
      <c r="D847">
        <v>2</v>
      </c>
      <c r="E847">
        <v>4</v>
      </c>
      <c r="F847" t="s">
        <v>222</v>
      </c>
      <c r="G847" t="s">
        <v>257</v>
      </c>
      <c r="H847" t="s">
        <v>254</v>
      </c>
    </row>
    <row r="848" spans="1:8">
      <c r="A848">
        <v>20250426</v>
      </c>
      <c r="B848" s="1">
        <v>45773</v>
      </c>
      <c r="C848">
        <v>2025</v>
      </c>
      <c r="D848">
        <v>2</v>
      </c>
      <c r="E848">
        <v>4</v>
      </c>
      <c r="F848" t="s">
        <v>222</v>
      </c>
      <c r="G848" t="s">
        <v>257</v>
      </c>
      <c r="H848" t="s">
        <v>254</v>
      </c>
    </row>
    <row r="849" spans="1:8">
      <c r="A849">
        <v>20250427</v>
      </c>
      <c r="B849" s="1">
        <v>45774</v>
      </c>
      <c r="C849">
        <v>2025</v>
      </c>
      <c r="D849">
        <v>2</v>
      </c>
      <c r="E849">
        <v>4</v>
      </c>
      <c r="F849" t="s">
        <v>222</v>
      </c>
      <c r="G849" t="s">
        <v>257</v>
      </c>
      <c r="H849" t="s">
        <v>254</v>
      </c>
    </row>
    <row r="850" spans="1:8">
      <c r="A850">
        <v>20250428</v>
      </c>
      <c r="B850" s="1">
        <v>45775</v>
      </c>
      <c r="C850">
        <v>2025</v>
      </c>
      <c r="D850">
        <v>2</v>
      </c>
      <c r="E850">
        <v>4</v>
      </c>
      <c r="F850" t="s">
        <v>222</v>
      </c>
      <c r="G850" t="s">
        <v>257</v>
      </c>
      <c r="H850" t="s">
        <v>254</v>
      </c>
    </row>
    <row r="851" spans="1:8">
      <c r="A851">
        <v>20250429</v>
      </c>
      <c r="B851" s="1">
        <v>45776</v>
      </c>
      <c r="C851">
        <v>2025</v>
      </c>
      <c r="D851">
        <v>2</v>
      </c>
      <c r="E851">
        <v>4</v>
      </c>
      <c r="F851" t="s">
        <v>222</v>
      </c>
      <c r="G851" t="s">
        <v>257</v>
      </c>
      <c r="H851" t="s">
        <v>254</v>
      </c>
    </row>
    <row r="852" spans="1:8">
      <c r="A852">
        <v>20250430</v>
      </c>
      <c r="B852" s="1">
        <v>45777</v>
      </c>
      <c r="C852">
        <v>2025</v>
      </c>
      <c r="D852">
        <v>2</v>
      </c>
      <c r="E852">
        <v>4</v>
      </c>
      <c r="F852" t="s">
        <v>222</v>
      </c>
      <c r="G852" t="s">
        <v>257</v>
      </c>
      <c r="H852" t="s">
        <v>254</v>
      </c>
    </row>
    <row r="853" spans="1:8">
      <c r="A853">
        <v>20250501</v>
      </c>
      <c r="B853" s="1">
        <v>45778</v>
      </c>
      <c r="C853">
        <v>2025</v>
      </c>
      <c r="D853">
        <v>2</v>
      </c>
      <c r="E853">
        <v>5</v>
      </c>
      <c r="F853" t="s">
        <v>224</v>
      </c>
      <c r="G853" t="s">
        <v>258</v>
      </c>
      <c r="H853" t="s">
        <v>254</v>
      </c>
    </row>
    <row r="854" spans="1:8">
      <c r="A854">
        <v>20250502</v>
      </c>
      <c r="B854" s="1">
        <v>45779</v>
      </c>
      <c r="C854">
        <v>2025</v>
      </c>
      <c r="D854">
        <v>2</v>
      </c>
      <c r="E854">
        <v>5</v>
      </c>
      <c r="F854" t="s">
        <v>224</v>
      </c>
      <c r="G854" t="s">
        <v>258</v>
      </c>
      <c r="H854" t="s">
        <v>254</v>
      </c>
    </row>
    <row r="855" spans="1:8">
      <c r="A855">
        <v>20250503</v>
      </c>
      <c r="B855" s="1">
        <v>45780</v>
      </c>
      <c r="C855">
        <v>2025</v>
      </c>
      <c r="D855">
        <v>2</v>
      </c>
      <c r="E855">
        <v>5</v>
      </c>
      <c r="F855" t="s">
        <v>224</v>
      </c>
      <c r="G855" t="s">
        <v>258</v>
      </c>
      <c r="H855" t="s">
        <v>254</v>
      </c>
    </row>
    <row r="856" spans="1:8">
      <c r="A856">
        <v>20250504</v>
      </c>
      <c r="B856" s="1">
        <v>45781</v>
      </c>
      <c r="C856">
        <v>2025</v>
      </c>
      <c r="D856">
        <v>2</v>
      </c>
      <c r="E856">
        <v>5</v>
      </c>
      <c r="F856" t="s">
        <v>224</v>
      </c>
      <c r="G856" t="s">
        <v>258</v>
      </c>
      <c r="H856" t="s">
        <v>254</v>
      </c>
    </row>
    <row r="857" spans="1:8">
      <c r="A857">
        <v>20250505</v>
      </c>
      <c r="B857" s="1">
        <v>45782</v>
      </c>
      <c r="C857">
        <v>2025</v>
      </c>
      <c r="D857">
        <v>2</v>
      </c>
      <c r="E857">
        <v>5</v>
      </c>
      <c r="F857" t="s">
        <v>224</v>
      </c>
      <c r="G857" t="s">
        <v>258</v>
      </c>
      <c r="H857" t="s">
        <v>254</v>
      </c>
    </row>
    <row r="858" spans="1:8">
      <c r="A858">
        <v>20250506</v>
      </c>
      <c r="B858" s="1">
        <v>45783</v>
      </c>
      <c r="C858">
        <v>2025</v>
      </c>
      <c r="D858">
        <v>2</v>
      </c>
      <c r="E858">
        <v>5</v>
      </c>
      <c r="F858" t="s">
        <v>224</v>
      </c>
      <c r="G858" t="s">
        <v>258</v>
      </c>
      <c r="H858" t="s">
        <v>254</v>
      </c>
    </row>
    <row r="859" spans="1:8">
      <c r="A859">
        <v>20250507</v>
      </c>
      <c r="B859" s="1">
        <v>45784</v>
      </c>
      <c r="C859">
        <v>2025</v>
      </c>
      <c r="D859">
        <v>2</v>
      </c>
      <c r="E859">
        <v>5</v>
      </c>
      <c r="F859" t="s">
        <v>224</v>
      </c>
      <c r="G859" t="s">
        <v>258</v>
      </c>
      <c r="H859" t="s">
        <v>254</v>
      </c>
    </row>
    <row r="860" spans="1:8">
      <c r="A860">
        <v>20250508</v>
      </c>
      <c r="B860" s="1">
        <v>45785</v>
      </c>
      <c r="C860">
        <v>2025</v>
      </c>
      <c r="D860">
        <v>2</v>
      </c>
      <c r="E860">
        <v>5</v>
      </c>
      <c r="F860" t="s">
        <v>224</v>
      </c>
      <c r="G860" t="s">
        <v>258</v>
      </c>
      <c r="H860" t="s">
        <v>254</v>
      </c>
    </row>
    <row r="861" spans="1:8">
      <c r="A861">
        <v>20250509</v>
      </c>
      <c r="B861" s="1">
        <v>45786</v>
      </c>
      <c r="C861">
        <v>2025</v>
      </c>
      <c r="D861">
        <v>2</v>
      </c>
      <c r="E861">
        <v>5</v>
      </c>
      <c r="F861" t="s">
        <v>224</v>
      </c>
      <c r="G861" t="s">
        <v>258</v>
      </c>
      <c r="H861" t="s">
        <v>254</v>
      </c>
    </row>
    <row r="862" spans="1:8">
      <c r="A862">
        <v>20250510</v>
      </c>
      <c r="B862" s="1">
        <v>45787</v>
      </c>
      <c r="C862">
        <v>2025</v>
      </c>
      <c r="D862">
        <v>2</v>
      </c>
      <c r="E862">
        <v>5</v>
      </c>
      <c r="F862" t="s">
        <v>224</v>
      </c>
      <c r="G862" t="s">
        <v>258</v>
      </c>
      <c r="H862" t="s">
        <v>254</v>
      </c>
    </row>
    <row r="863" spans="1:8">
      <c r="A863">
        <v>20250511</v>
      </c>
      <c r="B863" s="1">
        <v>45788</v>
      </c>
      <c r="C863">
        <v>2025</v>
      </c>
      <c r="D863">
        <v>2</v>
      </c>
      <c r="E863">
        <v>5</v>
      </c>
      <c r="F863" t="s">
        <v>224</v>
      </c>
      <c r="G863" t="s">
        <v>258</v>
      </c>
      <c r="H863" t="s">
        <v>254</v>
      </c>
    </row>
    <row r="864" spans="1:8">
      <c r="A864">
        <v>20250512</v>
      </c>
      <c r="B864" s="1">
        <v>45789</v>
      </c>
      <c r="C864">
        <v>2025</v>
      </c>
      <c r="D864">
        <v>2</v>
      </c>
      <c r="E864">
        <v>5</v>
      </c>
      <c r="F864" t="s">
        <v>224</v>
      </c>
      <c r="G864" t="s">
        <v>258</v>
      </c>
      <c r="H864" t="s">
        <v>254</v>
      </c>
    </row>
    <row r="865" spans="1:8">
      <c r="A865">
        <v>20250513</v>
      </c>
      <c r="B865" s="1">
        <v>45790</v>
      </c>
      <c r="C865">
        <v>2025</v>
      </c>
      <c r="D865">
        <v>2</v>
      </c>
      <c r="E865">
        <v>5</v>
      </c>
      <c r="F865" t="s">
        <v>224</v>
      </c>
      <c r="G865" t="s">
        <v>258</v>
      </c>
      <c r="H865" t="s">
        <v>254</v>
      </c>
    </row>
    <row r="866" spans="1:8">
      <c r="A866">
        <v>20250514</v>
      </c>
      <c r="B866" s="1">
        <v>45791</v>
      </c>
      <c r="C866">
        <v>2025</v>
      </c>
      <c r="D866">
        <v>2</v>
      </c>
      <c r="E866">
        <v>5</v>
      </c>
      <c r="F866" t="s">
        <v>224</v>
      </c>
      <c r="G866" t="s">
        <v>258</v>
      </c>
      <c r="H866" t="s">
        <v>254</v>
      </c>
    </row>
    <row r="867" spans="1:8">
      <c r="A867">
        <v>20250515</v>
      </c>
      <c r="B867" s="1">
        <v>45792</v>
      </c>
      <c r="C867">
        <v>2025</v>
      </c>
      <c r="D867">
        <v>2</v>
      </c>
      <c r="E867">
        <v>5</v>
      </c>
      <c r="F867" t="s">
        <v>224</v>
      </c>
      <c r="G867" t="s">
        <v>258</v>
      </c>
      <c r="H867" t="s">
        <v>254</v>
      </c>
    </row>
    <row r="868" spans="1:8">
      <c r="A868">
        <v>20250516</v>
      </c>
      <c r="B868" s="1">
        <v>45793</v>
      </c>
      <c r="C868">
        <v>2025</v>
      </c>
      <c r="D868">
        <v>2</v>
      </c>
      <c r="E868">
        <v>5</v>
      </c>
      <c r="F868" t="s">
        <v>224</v>
      </c>
      <c r="G868" t="s">
        <v>258</v>
      </c>
      <c r="H868" t="s">
        <v>254</v>
      </c>
    </row>
    <row r="869" spans="1:8">
      <c r="A869">
        <v>20250517</v>
      </c>
      <c r="B869" s="1">
        <v>45794</v>
      </c>
      <c r="C869">
        <v>2025</v>
      </c>
      <c r="D869">
        <v>2</v>
      </c>
      <c r="E869">
        <v>5</v>
      </c>
      <c r="F869" t="s">
        <v>224</v>
      </c>
      <c r="G869" t="s">
        <v>258</v>
      </c>
      <c r="H869" t="s">
        <v>254</v>
      </c>
    </row>
    <row r="870" spans="1:8">
      <c r="A870">
        <v>20250518</v>
      </c>
      <c r="B870" s="1">
        <v>45795</v>
      </c>
      <c r="C870">
        <v>2025</v>
      </c>
      <c r="D870">
        <v>2</v>
      </c>
      <c r="E870">
        <v>5</v>
      </c>
      <c r="F870" t="s">
        <v>224</v>
      </c>
      <c r="G870" t="s">
        <v>258</v>
      </c>
      <c r="H870" t="s">
        <v>254</v>
      </c>
    </row>
    <row r="871" spans="1:8">
      <c r="A871">
        <v>20250519</v>
      </c>
      <c r="B871" s="1">
        <v>45796</v>
      </c>
      <c r="C871">
        <v>2025</v>
      </c>
      <c r="D871">
        <v>2</v>
      </c>
      <c r="E871">
        <v>5</v>
      </c>
      <c r="F871" t="s">
        <v>224</v>
      </c>
      <c r="G871" t="s">
        <v>258</v>
      </c>
      <c r="H871" t="s">
        <v>254</v>
      </c>
    </row>
    <row r="872" spans="1:8">
      <c r="A872">
        <v>20250520</v>
      </c>
      <c r="B872" s="1">
        <v>45797</v>
      </c>
      <c r="C872">
        <v>2025</v>
      </c>
      <c r="D872">
        <v>2</v>
      </c>
      <c r="E872">
        <v>5</v>
      </c>
      <c r="F872" t="s">
        <v>224</v>
      </c>
      <c r="G872" t="s">
        <v>258</v>
      </c>
      <c r="H872" t="s">
        <v>254</v>
      </c>
    </row>
    <row r="873" spans="1:8">
      <c r="A873">
        <v>20250521</v>
      </c>
      <c r="B873" s="1">
        <v>45798</v>
      </c>
      <c r="C873">
        <v>2025</v>
      </c>
      <c r="D873">
        <v>2</v>
      </c>
      <c r="E873">
        <v>5</v>
      </c>
      <c r="F873" t="s">
        <v>224</v>
      </c>
      <c r="G873" t="s">
        <v>258</v>
      </c>
      <c r="H873" t="s">
        <v>254</v>
      </c>
    </row>
    <row r="874" spans="1:8">
      <c r="A874">
        <v>20250522</v>
      </c>
      <c r="B874" s="1">
        <v>45799</v>
      </c>
      <c r="C874">
        <v>2025</v>
      </c>
      <c r="D874">
        <v>2</v>
      </c>
      <c r="E874">
        <v>5</v>
      </c>
      <c r="F874" t="s">
        <v>224</v>
      </c>
      <c r="G874" t="s">
        <v>258</v>
      </c>
      <c r="H874" t="s">
        <v>254</v>
      </c>
    </row>
    <row r="875" spans="1:8">
      <c r="A875">
        <v>20250523</v>
      </c>
      <c r="B875" s="1">
        <v>45800</v>
      </c>
      <c r="C875">
        <v>2025</v>
      </c>
      <c r="D875">
        <v>2</v>
      </c>
      <c r="E875">
        <v>5</v>
      </c>
      <c r="F875" t="s">
        <v>224</v>
      </c>
      <c r="G875" t="s">
        <v>258</v>
      </c>
      <c r="H875" t="s">
        <v>254</v>
      </c>
    </row>
    <row r="876" spans="1:8">
      <c r="A876">
        <v>20250524</v>
      </c>
      <c r="B876" s="1">
        <v>45801</v>
      </c>
      <c r="C876">
        <v>2025</v>
      </c>
      <c r="D876">
        <v>2</v>
      </c>
      <c r="E876">
        <v>5</v>
      </c>
      <c r="F876" t="s">
        <v>224</v>
      </c>
      <c r="G876" t="s">
        <v>258</v>
      </c>
      <c r="H876" t="s">
        <v>254</v>
      </c>
    </row>
    <row r="877" spans="1:8">
      <c r="A877">
        <v>20250525</v>
      </c>
      <c r="B877" s="1">
        <v>45802</v>
      </c>
      <c r="C877">
        <v>2025</v>
      </c>
      <c r="D877">
        <v>2</v>
      </c>
      <c r="E877">
        <v>5</v>
      </c>
      <c r="F877" t="s">
        <v>224</v>
      </c>
      <c r="G877" t="s">
        <v>258</v>
      </c>
      <c r="H877" t="s">
        <v>254</v>
      </c>
    </row>
    <row r="878" spans="1:8">
      <c r="A878">
        <v>20250526</v>
      </c>
      <c r="B878" s="1">
        <v>45803</v>
      </c>
      <c r="C878">
        <v>2025</v>
      </c>
      <c r="D878">
        <v>2</v>
      </c>
      <c r="E878">
        <v>5</v>
      </c>
      <c r="F878" t="s">
        <v>224</v>
      </c>
      <c r="G878" t="s">
        <v>258</v>
      </c>
      <c r="H878" t="s">
        <v>254</v>
      </c>
    </row>
    <row r="879" spans="1:8">
      <c r="A879">
        <v>20250527</v>
      </c>
      <c r="B879" s="1">
        <v>45804</v>
      </c>
      <c r="C879">
        <v>2025</v>
      </c>
      <c r="D879">
        <v>2</v>
      </c>
      <c r="E879">
        <v>5</v>
      </c>
      <c r="F879" t="s">
        <v>224</v>
      </c>
      <c r="G879" t="s">
        <v>258</v>
      </c>
      <c r="H879" t="s">
        <v>254</v>
      </c>
    </row>
    <row r="880" spans="1:8">
      <c r="A880">
        <v>20250528</v>
      </c>
      <c r="B880" s="1">
        <v>45805</v>
      </c>
      <c r="C880">
        <v>2025</v>
      </c>
      <c r="D880">
        <v>2</v>
      </c>
      <c r="E880">
        <v>5</v>
      </c>
      <c r="F880" t="s">
        <v>224</v>
      </c>
      <c r="G880" t="s">
        <v>258</v>
      </c>
      <c r="H880" t="s">
        <v>254</v>
      </c>
    </row>
    <row r="881" spans="1:8">
      <c r="A881">
        <v>20250529</v>
      </c>
      <c r="B881" s="1">
        <v>45806</v>
      </c>
      <c r="C881">
        <v>2025</v>
      </c>
      <c r="D881">
        <v>2</v>
      </c>
      <c r="E881">
        <v>5</v>
      </c>
      <c r="F881" t="s">
        <v>224</v>
      </c>
      <c r="G881" t="s">
        <v>258</v>
      </c>
      <c r="H881" t="s">
        <v>254</v>
      </c>
    </row>
    <row r="882" spans="1:8">
      <c r="A882">
        <v>20250530</v>
      </c>
      <c r="B882" s="1">
        <v>45807</v>
      </c>
      <c r="C882">
        <v>2025</v>
      </c>
      <c r="D882">
        <v>2</v>
      </c>
      <c r="E882">
        <v>5</v>
      </c>
      <c r="F882" t="s">
        <v>224</v>
      </c>
      <c r="G882" t="s">
        <v>258</v>
      </c>
      <c r="H882" t="s">
        <v>254</v>
      </c>
    </row>
    <row r="883" spans="1:8">
      <c r="A883">
        <v>20250531</v>
      </c>
      <c r="B883" s="1">
        <v>45808</v>
      </c>
      <c r="C883">
        <v>2025</v>
      </c>
      <c r="D883">
        <v>2</v>
      </c>
      <c r="E883">
        <v>5</v>
      </c>
      <c r="F883" t="s">
        <v>224</v>
      </c>
      <c r="G883" t="s">
        <v>258</v>
      </c>
      <c r="H883" t="s">
        <v>254</v>
      </c>
    </row>
    <row r="884" spans="1:8">
      <c r="A884">
        <v>20250601</v>
      </c>
      <c r="B884" s="1">
        <v>45809</v>
      </c>
      <c r="C884">
        <v>2025</v>
      </c>
      <c r="D884">
        <v>2</v>
      </c>
      <c r="E884">
        <v>6</v>
      </c>
      <c r="F884" t="s">
        <v>226</v>
      </c>
      <c r="G884" t="s">
        <v>259</v>
      </c>
      <c r="H884" t="s">
        <v>254</v>
      </c>
    </row>
    <row r="885" spans="1:8">
      <c r="A885">
        <v>20250602</v>
      </c>
      <c r="B885" s="1">
        <v>45810</v>
      </c>
      <c r="C885">
        <v>2025</v>
      </c>
      <c r="D885">
        <v>2</v>
      </c>
      <c r="E885">
        <v>6</v>
      </c>
      <c r="F885" t="s">
        <v>226</v>
      </c>
      <c r="G885" t="s">
        <v>259</v>
      </c>
      <c r="H885" t="s">
        <v>254</v>
      </c>
    </row>
    <row r="886" spans="1:8">
      <c r="A886">
        <v>20250603</v>
      </c>
      <c r="B886" s="1">
        <v>45811</v>
      </c>
      <c r="C886">
        <v>2025</v>
      </c>
      <c r="D886">
        <v>2</v>
      </c>
      <c r="E886">
        <v>6</v>
      </c>
      <c r="F886" t="s">
        <v>226</v>
      </c>
      <c r="G886" t="s">
        <v>259</v>
      </c>
      <c r="H886" t="s">
        <v>254</v>
      </c>
    </row>
    <row r="887" spans="1:8">
      <c r="A887">
        <v>20250604</v>
      </c>
      <c r="B887" s="1">
        <v>45812</v>
      </c>
      <c r="C887">
        <v>2025</v>
      </c>
      <c r="D887">
        <v>2</v>
      </c>
      <c r="E887">
        <v>6</v>
      </c>
      <c r="F887" t="s">
        <v>226</v>
      </c>
      <c r="G887" t="s">
        <v>259</v>
      </c>
      <c r="H887" t="s">
        <v>254</v>
      </c>
    </row>
    <row r="888" spans="1:8">
      <c r="A888">
        <v>20250605</v>
      </c>
      <c r="B888" s="1">
        <v>45813</v>
      </c>
      <c r="C888">
        <v>2025</v>
      </c>
      <c r="D888">
        <v>2</v>
      </c>
      <c r="E888">
        <v>6</v>
      </c>
      <c r="F888" t="s">
        <v>226</v>
      </c>
      <c r="G888" t="s">
        <v>259</v>
      </c>
      <c r="H888" t="s">
        <v>254</v>
      </c>
    </row>
    <row r="889" spans="1:8">
      <c r="A889">
        <v>20250606</v>
      </c>
      <c r="B889" s="1">
        <v>45814</v>
      </c>
      <c r="C889">
        <v>2025</v>
      </c>
      <c r="D889">
        <v>2</v>
      </c>
      <c r="E889">
        <v>6</v>
      </c>
      <c r="F889" t="s">
        <v>226</v>
      </c>
      <c r="G889" t="s">
        <v>259</v>
      </c>
      <c r="H889" t="s">
        <v>254</v>
      </c>
    </row>
    <row r="890" spans="1:8">
      <c r="A890">
        <v>20250607</v>
      </c>
      <c r="B890" s="1">
        <v>45815</v>
      </c>
      <c r="C890">
        <v>2025</v>
      </c>
      <c r="D890">
        <v>2</v>
      </c>
      <c r="E890">
        <v>6</v>
      </c>
      <c r="F890" t="s">
        <v>226</v>
      </c>
      <c r="G890" t="s">
        <v>259</v>
      </c>
      <c r="H890" t="s">
        <v>254</v>
      </c>
    </row>
    <row r="891" spans="1:8">
      <c r="A891">
        <v>20250608</v>
      </c>
      <c r="B891" s="1">
        <v>45816</v>
      </c>
      <c r="C891">
        <v>2025</v>
      </c>
      <c r="D891">
        <v>2</v>
      </c>
      <c r="E891">
        <v>6</v>
      </c>
      <c r="F891" t="s">
        <v>226</v>
      </c>
      <c r="G891" t="s">
        <v>259</v>
      </c>
      <c r="H891" t="s">
        <v>254</v>
      </c>
    </row>
    <row r="892" spans="1:8">
      <c r="A892">
        <v>20250609</v>
      </c>
      <c r="B892" s="1">
        <v>45817</v>
      </c>
      <c r="C892">
        <v>2025</v>
      </c>
      <c r="D892">
        <v>2</v>
      </c>
      <c r="E892">
        <v>6</v>
      </c>
      <c r="F892" t="s">
        <v>226</v>
      </c>
      <c r="G892" t="s">
        <v>259</v>
      </c>
      <c r="H892" t="s">
        <v>254</v>
      </c>
    </row>
    <row r="893" spans="1:8">
      <c r="A893">
        <v>20250610</v>
      </c>
      <c r="B893" s="1">
        <v>45818</v>
      </c>
      <c r="C893">
        <v>2025</v>
      </c>
      <c r="D893">
        <v>2</v>
      </c>
      <c r="E893">
        <v>6</v>
      </c>
      <c r="F893" t="s">
        <v>226</v>
      </c>
      <c r="G893" t="s">
        <v>259</v>
      </c>
      <c r="H893" t="s">
        <v>254</v>
      </c>
    </row>
    <row r="894" spans="1:8">
      <c r="A894">
        <v>20250611</v>
      </c>
      <c r="B894" s="1">
        <v>45819</v>
      </c>
      <c r="C894">
        <v>2025</v>
      </c>
      <c r="D894">
        <v>2</v>
      </c>
      <c r="E894">
        <v>6</v>
      </c>
      <c r="F894" t="s">
        <v>226</v>
      </c>
      <c r="G894" t="s">
        <v>259</v>
      </c>
      <c r="H894" t="s">
        <v>254</v>
      </c>
    </row>
    <row r="895" spans="1:8">
      <c r="A895">
        <v>20250612</v>
      </c>
      <c r="B895" s="1">
        <v>45820</v>
      </c>
      <c r="C895">
        <v>2025</v>
      </c>
      <c r="D895">
        <v>2</v>
      </c>
      <c r="E895">
        <v>6</v>
      </c>
      <c r="F895" t="s">
        <v>226</v>
      </c>
      <c r="G895" t="s">
        <v>259</v>
      </c>
      <c r="H895" t="s">
        <v>254</v>
      </c>
    </row>
    <row r="896" spans="1:8">
      <c r="A896">
        <v>20250613</v>
      </c>
      <c r="B896" s="1">
        <v>45821</v>
      </c>
      <c r="C896">
        <v>2025</v>
      </c>
      <c r="D896">
        <v>2</v>
      </c>
      <c r="E896">
        <v>6</v>
      </c>
      <c r="F896" t="s">
        <v>226</v>
      </c>
      <c r="G896" t="s">
        <v>259</v>
      </c>
      <c r="H896" t="s">
        <v>254</v>
      </c>
    </row>
    <row r="897" spans="1:8">
      <c r="A897">
        <v>20250614</v>
      </c>
      <c r="B897" s="1">
        <v>45822</v>
      </c>
      <c r="C897">
        <v>2025</v>
      </c>
      <c r="D897">
        <v>2</v>
      </c>
      <c r="E897">
        <v>6</v>
      </c>
      <c r="F897" t="s">
        <v>226</v>
      </c>
      <c r="G897" t="s">
        <v>259</v>
      </c>
      <c r="H897" t="s">
        <v>254</v>
      </c>
    </row>
    <row r="898" spans="1:8">
      <c r="A898">
        <v>20250615</v>
      </c>
      <c r="B898" s="1">
        <v>45823</v>
      </c>
      <c r="C898">
        <v>2025</v>
      </c>
      <c r="D898">
        <v>2</v>
      </c>
      <c r="E898">
        <v>6</v>
      </c>
      <c r="F898" t="s">
        <v>226</v>
      </c>
      <c r="G898" t="s">
        <v>259</v>
      </c>
      <c r="H898" t="s">
        <v>254</v>
      </c>
    </row>
    <row r="899" spans="1:8">
      <c r="A899">
        <v>20250616</v>
      </c>
      <c r="B899" s="1">
        <v>45824</v>
      </c>
      <c r="C899">
        <v>2025</v>
      </c>
      <c r="D899">
        <v>2</v>
      </c>
      <c r="E899">
        <v>6</v>
      </c>
      <c r="F899" t="s">
        <v>226</v>
      </c>
      <c r="G899" t="s">
        <v>259</v>
      </c>
      <c r="H899" t="s">
        <v>254</v>
      </c>
    </row>
    <row r="900" spans="1:8">
      <c r="A900">
        <v>20250617</v>
      </c>
      <c r="B900" s="1">
        <v>45825</v>
      </c>
      <c r="C900">
        <v>2025</v>
      </c>
      <c r="D900">
        <v>2</v>
      </c>
      <c r="E900">
        <v>6</v>
      </c>
      <c r="F900" t="s">
        <v>226</v>
      </c>
      <c r="G900" t="s">
        <v>259</v>
      </c>
      <c r="H900" t="s">
        <v>254</v>
      </c>
    </row>
    <row r="901" spans="1:8">
      <c r="A901">
        <v>20250618</v>
      </c>
      <c r="B901" s="1">
        <v>45826</v>
      </c>
      <c r="C901">
        <v>2025</v>
      </c>
      <c r="D901">
        <v>2</v>
      </c>
      <c r="E901">
        <v>6</v>
      </c>
      <c r="F901" t="s">
        <v>226</v>
      </c>
      <c r="G901" t="s">
        <v>259</v>
      </c>
      <c r="H901" t="s">
        <v>254</v>
      </c>
    </row>
    <row r="902" spans="1:8">
      <c r="A902">
        <v>20250619</v>
      </c>
      <c r="B902" s="1">
        <v>45827</v>
      </c>
      <c r="C902">
        <v>2025</v>
      </c>
      <c r="D902">
        <v>2</v>
      </c>
      <c r="E902">
        <v>6</v>
      </c>
      <c r="F902" t="s">
        <v>226</v>
      </c>
      <c r="G902" t="s">
        <v>259</v>
      </c>
      <c r="H902" t="s">
        <v>254</v>
      </c>
    </row>
    <row r="903" spans="1:8">
      <c r="A903">
        <v>20250620</v>
      </c>
      <c r="B903" s="1">
        <v>45828</v>
      </c>
      <c r="C903">
        <v>2025</v>
      </c>
      <c r="D903">
        <v>2</v>
      </c>
      <c r="E903">
        <v>6</v>
      </c>
      <c r="F903" t="s">
        <v>226</v>
      </c>
      <c r="G903" t="s">
        <v>259</v>
      </c>
      <c r="H903" t="s">
        <v>254</v>
      </c>
    </row>
    <row r="904" spans="1:8">
      <c r="A904">
        <v>20250621</v>
      </c>
      <c r="B904" s="1">
        <v>45829</v>
      </c>
      <c r="C904">
        <v>2025</v>
      </c>
      <c r="D904">
        <v>2</v>
      </c>
      <c r="E904">
        <v>6</v>
      </c>
      <c r="F904" t="s">
        <v>226</v>
      </c>
      <c r="G904" t="s">
        <v>259</v>
      </c>
      <c r="H904" t="s">
        <v>254</v>
      </c>
    </row>
    <row r="905" spans="1:8">
      <c r="A905">
        <v>20250622</v>
      </c>
      <c r="B905" s="1">
        <v>45830</v>
      </c>
      <c r="C905">
        <v>2025</v>
      </c>
      <c r="D905">
        <v>2</v>
      </c>
      <c r="E905">
        <v>6</v>
      </c>
      <c r="F905" t="s">
        <v>226</v>
      </c>
      <c r="G905" t="s">
        <v>259</v>
      </c>
      <c r="H905" t="s">
        <v>254</v>
      </c>
    </row>
    <row r="906" spans="1:8">
      <c r="A906">
        <v>20250623</v>
      </c>
      <c r="B906" s="1">
        <v>45831</v>
      </c>
      <c r="C906">
        <v>2025</v>
      </c>
      <c r="D906">
        <v>2</v>
      </c>
      <c r="E906">
        <v>6</v>
      </c>
      <c r="F906" t="s">
        <v>226</v>
      </c>
      <c r="G906" t="s">
        <v>259</v>
      </c>
      <c r="H906" t="s">
        <v>254</v>
      </c>
    </row>
    <row r="907" spans="1:8">
      <c r="A907">
        <v>20250624</v>
      </c>
      <c r="B907" s="1">
        <v>45832</v>
      </c>
      <c r="C907">
        <v>2025</v>
      </c>
      <c r="D907">
        <v>2</v>
      </c>
      <c r="E907">
        <v>6</v>
      </c>
      <c r="F907" t="s">
        <v>226</v>
      </c>
      <c r="G907" t="s">
        <v>259</v>
      </c>
      <c r="H907" t="s">
        <v>254</v>
      </c>
    </row>
    <row r="908" spans="1:8">
      <c r="A908">
        <v>20250625</v>
      </c>
      <c r="B908" s="1">
        <v>45833</v>
      </c>
      <c r="C908">
        <v>2025</v>
      </c>
      <c r="D908">
        <v>2</v>
      </c>
      <c r="E908">
        <v>6</v>
      </c>
      <c r="F908" t="s">
        <v>226</v>
      </c>
      <c r="G908" t="s">
        <v>259</v>
      </c>
      <c r="H908" t="s">
        <v>254</v>
      </c>
    </row>
    <row r="909" spans="1:8">
      <c r="A909">
        <v>20250626</v>
      </c>
      <c r="B909" s="1">
        <v>45834</v>
      </c>
      <c r="C909">
        <v>2025</v>
      </c>
      <c r="D909">
        <v>2</v>
      </c>
      <c r="E909">
        <v>6</v>
      </c>
      <c r="F909" t="s">
        <v>226</v>
      </c>
      <c r="G909" t="s">
        <v>259</v>
      </c>
      <c r="H909" t="s">
        <v>254</v>
      </c>
    </row>
    <row r="910" spans="1:8">
      <c r="A910">
        <v>20250627</v>
      </c>
      <c r="B910" s="1">
        <v>45835</v>
      </c>
      <c r="C910">
        <v>2025</v>
      </c>
      <c r="D910">
        <v>2</v>
      </c>
      <c r="E910">
        <v>6</v>
      </c>
      <c r="F910" t="s">
        <v>226</v>
      </c>
      <c r="G910" t="s">
        <v>259</v>
      </c>
      <c r="H910" t="s">
        <v>254</v>
      </c>
    </row>
    <row r="911" spans="1:8">
      <c r="A911">
        <v>20250628</v>
      </c>
      <c r="B911" s="1">
        <v>45836</v>
      </c>
      <c r="C911">
        <v>2025</v>
      </c>
      <c r="D911">
        <v>2</v>
      </c>
      <c r="E911">
        <v>6</v>
      </c>
      <c r="F911" t="s">
        <v>226</v>
      </c>
      <c r="G911" t="s">
        <v>259</v>
      </c>
      <c r="H911" t="s">
        <v>254</v>
      </c>
    </row>
    <row r="912" spans="1:8">
      <c r="A912">
        <v>20250629</v>
      </c>
      <c r="B912" s="1">
        <v>45837</v>
      </c>
      <c r="C912">
        <v>2025</v>
      </c>
      <c r="D912">
        <v>2</v>
      </c>
      <c r="E912">
        <v>6</v>
      </c>
      <c r="F912" t="s">
        <v>226</v>
      </c>
      <c r="G912" t="s">
        <v>259</v>
      </c>
      <c r="H912" t="s">
        <v>254</v>
      </c>
    </row>
    <row r="913" spans="1:8">
      <c r="A913">
        <v>20250630</v>
      </c>
      <c r="B913" s="1">
        <v>45838</v>
      </c>
      <c r="C913">
        <v>2025</v>
      </c>
      <c r="D913">
        <v>2</v>
      </c>
      <c r="E913">
        <v>6</v>
      </c>
      <c r="F913" t="s">
        <v>226</v>
      </c>
      <c r="G913" t="s">
        <v>259</v>
      </c>
      <c r="H913" t="s">
        <v>254</v>
      </c>
    </row>
    <row r="914" spans="1:8">
      <c r="A914">
        <v>20250701</v>
      </c>
      <c r="B914" s="1">
        <v>45839</v>
      </c>
      <c r="C914">
        <v>2025</v>
      </c>
      <c r="D914">
        <v>3</v>
      </c>
      <c r="E914">
        <v>7</v>
      </c>
      <c r="F914" t="s">
        <v>228</v>
      </c>
      <c r="G914" t="s">
        <v>260</v>
      </c>
      <c r="H914" t="s">
        <v>254</v>
      </c>
    </row>
    <row r="915" spans="1:8">
      <c r="A915">
        <v>20250702</v>
      </c>
      <c r="B915" s="1">
        <v>45840</v>
      </c>
      <c r="C915">
        <v>2025</v>
      </c>
      <c r="D915">
        <v>3</v>
      </c>
      <c r="E915">
        <v>7</v>
      </c>
      <c r="F915" t="s">
        <v>228</v>
      </c>
      <c r="G915" t="s">
        <v>260</v>
      </c>
      <c r="H915" t="s">
        <v>254</v>
      </c>
    </row>
    <row r="916" spans="1:8">
      <c r="A916">
        <v>20250703</v>
      </c>
      <c r="B916" s="1">
        <v>45841</v>
      </c>
      <c r="C916">
        <v>2025</v>
      </c>
      <c r="D916">
        <v>3</v>
      </c>
      <c r="E916">
        <v>7</v>
      </c>
      <c r="F916" t="s">
        <v>228</v>
      </c>
      <c r="G916" t="s">
        <v>260</v>
      </c>
      <c r="H916" t="s">
        <v>254</v>
      </c>
    </row>
    <row r="917" spans="1:8">
      <c r="A917">
        <v>20250704</v>
      </c>
      <c r="B917" s="1">
        <v>45842</v>
      </c>
      <c r="C917">
        <v>2025</v>
      </c>
      <c r="D917">
        <v>3</v>
      </c>
      <c r="E917">
        <v>7</v>
      </c>
      <c r="F917" t="s">
        <v>228</v>
      </c>
      <c r="G917" t="s">
        <v>260</v>
      </c>
      <c r="H917" t="s">
        <v>254</v>
      </c>
    </row>
    <row r="918" spans="1:8">
      <c r="A918">
        <v>20250705</v>
      </c>
      <c r="B918" s="1">
        <v>45843</v>
      </c>
      <c r="C918">
        <v>2025</v>
      </c>
      <c r="D918">
        <v>3</v>
      </c>
      <c r="E918">
        <v>7</v>
      </c>
      <c r="F918" t="s">
        <v>228</v>
      </c>
      <c r="G918" t="s">
        <v>260</v>
      </c>
      <c r="H918" t="s">
        <v>254</v>
      </c>
    </row>
    <row r="919" spans="1:8">
      <c r="A919">
        <v>20250706</v>
      </c>
      <c r="B919" s="1">
        <v>45844</v>
      </c>
      <c r="C919">
        <v>2025</v>
      </c>
      <c r="D919">
        <v>3</v>
      </c>
      <c r="E919">
        <v>7</v>
      </c>
      <c r="F919" t="s">
        <v>228</v>
      </c>
      <c r="G919" t="s">
        <v>260</v>
      </c>
      <c r="H919" t="s">
        <v>254</v>
      </c>
    </row>
    <row r="920" spans="1:8">
      <c r="A920">
        <v>20250707</v>
      </c>
      <c r="B920" s="1">
        <v>45845</v>
      </c>
      <c r="C920">
        <v>2025</v>
      </c>
      <c r="D920">
        <v>3</v>
      </c>
      <c r="E920">
        <v>7</v>
      </c>
      <c r="F920" t="s">
        <v>228</v>
      </c>
      <c r="G920" t="s">
        <v>260</v>
      </c>
      <c r="H920" t="s">
        <v>254</v>
      </c>
    </row>
    <row r="921" spans="1:8">
      <c r="A921">
        <v>20250708</v>
      </c>
      <c r="B921" s="1">
        <v>45846</v>
      </c>
      <c r="C921">
        <v>2025</v>
      </c>
      <c r="D921">
        <v>3</v>
      </c>
      <c r="E921">
        <v>7</v>
      </c>
      <c r="F921" t="s">
        <v>228</v>
      </c>
      <c r="G921" t="s">
        <v>260</v>
      </c>
      <c r="H921" t="s">
        <v>254</v>
      </c>
    </row>
    <row r="922" spans="1:8">
      <c r="A922">
        <v>20250709</v>
      </c>
      <c r="B922" s="1">
        <v>45847</v>
      </c>
      <c r="C922">
        <v>2025</v>
      </c>
      <c r="D922">
        <v>3</v>
      </c>
      <c r="E922">
        <v>7</v>
      </c>
      <c r="F922" t="s">
        <v>228</v>
      </c>
      <c r="G922" t="s">
        <v>260</v>
      </c>
      <c r="H922" t="s">
        <v>254</v>
      </c>
    </row>
    <row r="923" spans="1:8">
      <c r="A923">
        <v>20250710</v>
      </c>
      <c r="B923" s="1">
        <v>45848</v>
      </c>
      <c r="C923">
        <v>2025</v>
      </c>
      <c r="D923">
        <v>3</v>
      </c>
      <c r="E923">
        <v>7</v>
      </c>
      <c r="F923" t="s">
        <v>228</v>
      </c>
      <c r="G923" t="s">
        <v>260</v>
      </c>
      <c r="H923" t="s">
        <v>254</v>
      </c>
    </row>
    <row r="924" spans="1:8">
      <c r="A924">
        <v>20250711</v>
      </c>
      <c r="B924" s="1">
        <v>45849</v>
      </c>
      <c r="C924">
        <v>2025</v>
      </c>
      <c r="D924">
        <v>3</v>
      </c>
      <c r="E924">
        <v>7</v>
      </c>
      <c r="F924" t="s">
        <v>228</v>
      </c>
      <c r="G924" t="s">
        <v>260</v>
      </c>
      <c r="H924" t="s">
        <v>254</v>
      </c>
    </row>
    <row r="925" spans="1:8">
      <c r="A925">
        <v>20250712</v>
      </c>
      <c r="B925" s="1">
        <v>45850</v>
      </c>
      <c r="C925">
        <v>2025</v>
      </c>
      <c r="D925">
        <v>3</v>
      </c>
      <c r="E925">
        <v>7</v>
      </c>
      <c r="F925" t="s">
        <v>228</v>
      </c>
      <c r="G925" t="s">
        <v>260</v>
      </c>
      <c r="H925" t="s">
        <v>254</v>
      </c>
    </row>
    <row r="926" spans="1:8">
      <c r="A926">
        <v>20250713</v>
      </c>
      <c r="B926" s="1">
        <v>45851</v>
      </c>
      <c r="C926">
        <v>2025</v>
      </c>
      <c r="D926">
        <v>3</v>
      </c>
      <c r="E926">
        <v>7</v>
      </c>
      <c r="F926" t="s">
        <v>228</v>
      </c>
      <c r="G926" t="s">
        <v>260</v>
      </c>
      <c r="H926" t="s">
        <v>254</v>
      </c>
    </row>
    <row r="927" spans="1:8">
      <c r="A927">
        <v>20250714</v>
      </c>
      <c r="B927" s="1">
        <v>45852</v>
      </c>
      <c r="C927">
        <v>2025</v>
      </c>
      <c r="D927">
        <v>3</v>
      </c>
      <c r="E927">
        <v>7</v>
      </c>
      <c r="F927" t="s">
        <v>228</v>
      </c>
      <c r="G927" t="s">
        <v>260</v>
      </c>
      <c r="H927" t="s">
        <v>254</v>
      </c>
    </row>
    <row r="928" spans="1:8">
      <c r="A928">
        <v>20250715</v>
      </c>
      <c r="B928" s="1">
        <v>45853</v>
      </c>
      <c r="C928">
        <v>2025</v>
      </c>
      <c r="D928">
        <v>3</v>
      </c>
      <c r="E928">
        <v>7</v>
      </c>
      <c r="F928" t="s">
        <v>228</v>
      </c>
      <c r="G928" t="s">
        <v>260</v>
      </c>
      <c r="H928" t="s">
        <v>254</v>
      </c>
    </row>
    <row r="929" spans="1:8">
      <c r="A929">
        <v>20250716</v>
      </c>
      <c r="B929" s="1">
        <v>45854</v>
      </c>
      <c r="C929">
        <v>2025</v>
      </c>
      <c r="D929">
        <v>3</v>
      </c>
      <c r="E929">
        <v>7</v>
      </c>
      <c r="F929" t="s">
        <v>228</v>
      </c>
      <c r="G929" t="s">
        <v>260</v>
      </c>
      <c r="H929" t="s">
        <v>254</v>
      </c>
    </row>
    <row r="930" spans="1:8">
      <c r="A930">
        <v>20250717</v>
      </c>
      <c r="B930" s="1">
        <v>45855</v>
      </c>
      <c r="C930">
        <v>2025</v>
      </c>
      <c r="D930">
        <v>3</v>
      </c>
      <c r="E930">
        <v>7</v>
      </c>
      <c r="F930" t="s">
        <v>228</v>
      </c>
      <c r="G930" t="s">
        <v>260</v>
      </c>
      <c r="H930" t="s">
        <v>254</v>
      </c>
    </row>
    <row r="931" spans="1:8">
      <c r="A931">
        <v>20250718</v>
      </c>
      <c r="B931" s="1">
        <v>45856</v>
      </c>
      <c r="C931">
        <v>2025</v>
      </c>
      <c r="D931">
        <v>3</v>
      </c>
      <c r="E931">
        <v>7</v>
      </c>
      <c r="F931" t="s">
        <v>228</v>
      </c>
      <c r="G931" t="s">
        <v>260</v>
      </c>
      <c r="H931" t="s">
        <v>254</v>
      </c>
    </row>
    <row r="932" spans="1:8">
      <c r="A932">
        <v>20250719</v>
      </c>
      <c r="B932" s="1">
        <v>45857</v>
      </c>
      <c r="C932">
        <v>2025</v>
      </c>
      <c r="D932">
        <v>3</v>
      </c>
      <c r="E932">
        <v>7</v>
      </c>
      <c r="F932" t="s">
        <v>228</v>
      </c>
      <c r="G932" t="s">
        <v>260</v>
      </c>
      <c r="H932" t="s">
        <v>254</v>
      </c>
    </row>
    <row r="933" spans="1:8">
      <c r="A933">
        <v>20250720</v>
      </c>
      <c r="B933" s="1">
        <v>45858</v>
      </c>
      <c r="C933">
        <v>2025</v>
      </c>
      <c r="D933">
        <v>3</v>
      </c>
      <c r="E933">
        <v>7</v>
      </c>
      <c r="F933" t="s">
        <v>228</v>
      </c>
      <c r="G933" t="s">
        <v>260</v>
      </c>
      <c r="H933" t="s">
        <v>254</v>
      </c>
    </row>
    <row r="934" spans="1:8">
      <c r="A934">
        <v>20250721</v>
      </c>
      <c r="B934" s="1">
        <v>45859</v>
      </c>
      <c r="C934">
        <v>2025</v>
      </c>
      <c r="D934">
        <v>3</v>
      </c>
      <c r="E934">
        <v>7</v>
      </c>
      <c r="F934" t="s">
        <v>228</v>
      </c>
      <c r="G934" t="s">
        <v>260</v>
      </c>
      <c r="H934" t="s">
        <v>254</v>
      </c>
    </row>
    <row r="935" spans="1:8">
      <c r="A935">
        <v>20250722</v>
      </c>
      <c r="B935" s="1">
        <v>45860</v>
      </c>
      <c r="C935">
        <v>2025</v>
      </c>
      <c r="D935">
        <v>3</v>
      </c>
      <c r="E935">
        <v>7</v>
      </c>
      <c r="F935" t="s">
        <v>228</v>
      </c>
      <c r="G935" t="s">
        <v>260</v>
      </c>
      <c r="H935" t="s">
        <v>254</v>
      </c>
    </row>
    <row r="936" spans="1:8">
      <c r="A936">
        <v>20250723</v>
      </c>
      <c r="B936" s="1">
        <v>45861</v>
      </c>
      <c r="C936">
        <v>2025</v>
      </c>
      <c r="D936">
        <v>3</v>
      </c>
      <c r="E936">
        <v>7</v>
      </c>
      <c r="F936" t="s">
        <v>228</v>
      </c>
      <c r="G936" t="s">
        <v>260</v>
      </c>
      <c r="H936" t="s">
        <v>254</v>
      </c>
    </row>
    <row r="937" spans="1:8">
      <c r="A937">
        <v>20250724</v>
      </c>
      <c r="B937" s="1">
        <v>45862</v>
      </c>
      <c r="C937">
        <v>2025</v>
      </c>
      <c r="D937">
        <v>3</v>
      </c>
      <c r="E937">
        <v>7</v>
      </c>
      <c r="F937" t="s">
        <v>228</v>
      </c>
      <c r="G937" t="s">
        <v>260</v>
      </c>
      <c r="H937" t="s">
        <v>254</v>
      </c>
    </row>
    <row r="938" spans="1:8">
      <c r="A938">
        <v>20250725</v>
      </c>
      <c r="B938" s="1">
        <v>45863</v>
      </c>
      <c r="C938">
        <v>2025</v>
      </c>
      <c r="D938">
        <v>3</v>
      </c>
      <c r="E938">
        <v>7</v>
      </c>
      <c r="F938" t="s">
        <v>228</v>
      </c>
      <c r="G938" t="s">
        <v>260</v>
      </c>
      <c r="H938" t="s">
        <v>254</v>
      </c>
    </row>
    <row r="939" spans="1:8">
      <c r="A939">
        <v>20250726</v>
      </c>
      <c r="B939" s="1">
        <v>45864</v>
      </c>
      <c r="C939">
        <v>2025</v>
      </c>
      <c r="D939">
        <v>3</v>
      </c>
      <c r="E939">
        <v>7</v>
      </c>
      <c r="F939" t="s">
        <v>228</v>
      </c>
      <c r="G939" t="s">
        <v>260</v>
      </c>
      <c r="H939" t="s">
        <v>254</v>
      </c>
    </row>
    <row r="940" spans="1:8">
      <c r="A940">
        <v>20250727</v>
      </c>
      <c r="B940" s="1">
        <v>45865</v>
      </c>
      <c r="C940">
        <v>2025</v>
      </c>
      <c r="D940">
        <v>3</v>
      </c>
      <c r="E940">
        <v>7</v>
      </c>
      <c r="F940" t="s">
        <v>228</v>
      </c>
      <c r="G940" t="s">
        <v>260</v>
      </c>
      <c r="H940" t="s">
        <v>254</v>
      </c>
    </row>
    <row r="941" spans="1:8">
      <c r="A941">
        <v>20250728</v>
      </c>
      <c r="B941" s="1">
        <v>45866</v>
      </c>
      <c r="C941">
        <v>2025</v>
      </c>
      <c r="D941">
        <v>3</v>
      </c>
      <c r="E941">
        <v>7</v>
      </c>
      <c r="F941" t="s">
        <v>228</v>
      </c>
      <c r="G941" t="s">
        <v>260</v>
      </c>
      <c r="H941" t="s">
        <v>254</v>
      </c>
    </row>
    <row r="942" spans="1:8">
      <c r="A942">
        <v>20250729</v>
      </c>
      <c r="B942" s="1">
        <v>45867</v>
      </c>
      <c r="C942">
        <v>2025</v>
      </c>
      <c r="D942">
        <v>3</v>
      </c>
      <c r="E942">
        <v>7</v>
      </c>
      <c r="F942" t="s">
        <v>228</v>
      </c>
      <c r="G942" t="s">
        <v>260</v>
      </c>
      <c r="H942" t="s">
        <v>254</v>
      </c>
    </row>
    <row r="943" spans="1:8">
      <c r="A943">
        <v>20250730</v>
      </c>
      <c r="B943" s="1">
        <v>45868</v>
      </c>
      <c r="C943">
        <v>2025</v>
      </c>
      <c r="D943">
        <v>3</v>
      </c>
      <c r="E943">
        <v>7</v>
      </c>
      <c r="F943" t="s">
        <v>228</v>
      </c>
      <c r="G943" t="s">
        <v>260</v>
      </c>
      <c r="H943" t="s">
        <v>254</v>
      </c>
    </row>
    <row r="944" spans="1:8">
      <c r="A944">
        <v>20250731</v>
      </c>
      <c r="B944" s="1">
        <v>45869</v>
      </c>
      <c r="C944">
        <v>2025</v>
      </c>
      <c r="D944">
        <v>3</v>
      </c>
      <c r="E944">
        <v>7</v>
      </c>
      <c r="F944" t="s">
        <v>228</v>
      </c>
      <c r="G944" t="s">
        <v>260</v>
      </c>
      <c r="H944" t="s">
        <v>254</v>
      </c>
    </row>
    <row r="945" spans="1:8">
      <c r="A945">
        <v>20250801</v>
      </c>
      <c r="B945" s="1">
        <v>45870</v>
      </c>
      <c r="C945">
        <v>2025</v>
      </c>
      <c r="D945">
        <v>3</v>
      </c>
      <c r="E945">
        <v>8</v>
      </c>
      <c r="F945" t="s">
        <v>230</v>
      </c>
      <c r="G945" t="s">
        <v>261</v>
      </c>
      <c r="H945" t="s">
        <v>254</v>
      </c>
    </row>
    <row r="946" spans="1:8">
      <c r="A946">
        <v>20250802</v>
      </c>
      <c r="B946" s="1">
        <v>45871</v>
      </c>
      <c r="C946">
        <v>2025</v>
      </c>
      <c r="D946">
        <v>3</v>
      </c>
      <c r="E946">
        <v>8</v>
      </c>
      <c r="F946" t="s">
        <v>230</v>
      </c>
      <c r="G946" t="s">
        <v>261</v>
      </c>
      <c r="H946" t="s">
        <v>254</v>
      </c>
    </row>
    <row r="947" spans="1:8">
      <c r="A947">
        <v>20250803</v>
      </c>
      <c r="B947" s="1">
        <v>45872</v>
      </c>
      <c r="C947">
        <v>2025</v>
      </c>
      <c r="D947">
        <v>3</v>
      </c>
      <c r="E947">
        <v>8</v>
      </c>
      <c r="F947" t="s">
        <v>230</v>
      </c>
      <c r="G947" t="s">
        <v>261</v>
      </c>
      <c r="H947" t="s">
        <v>254</v>
      </c>
    </row>
    <row r="948" spans="1:8">
      <c r="A948">
        <v>20250804</v>
      </c>
      <c r="B948" s="1">
        <v>45873</v>
      </c>
      <c r="C948">
        <v>2025</v>
      </c>
      <c r="D948">
        <v>3</v>
      </c>
      <c r="E948">
        <v>8</v>
      </c>
      <c r="F948" t="s">
        <v>230</v>
      </c>
      <c r="G948" t="s">
        <v>261</v>
      </c>
      <c r="H948" t="s">
        <v>254</v>
      </c>
    </row>
    <row r="949" spans="1:8">
      <c r="A949">
        <v>20250805</v>
      </c>
      <c r="B949" s="1">
        <v>45874</v>
      </c>
      <c r="C949">
        <v>2025</v>
      </c>
      <c r="D949">
        <v>3</v>
      </c>
      <c r="E949">
        <v>8</v>
      </c>
      <c r="F949" t="s">
        <v>230</v>
      </c>
      <c r="G949" t="s">
        <v>261</v>
      </c>
      <c r="H949" t="s">
        <v>254</v>
      </c>
    </row>
    <row r="950" spans="1:8">
      <c r="A950">
        <v>20250806</v>
      </c>
      <c r="B950" s="1">
        <v>45875</v>
      </c>
      <c r="C950">
        <v>2025</v>
      </c>
      <c r="D950">
        <v>3</v>
      </c>
      <c r="E950">
        <v>8</v>
      </c>
      <c r="F950" t="s">
        <v>230</v>
      </c>
      <c r="G950" t="s">
        <v>261</v>
      </c>
      <c r="H950" t="s">
        <v>254</v>
      </c>
    </row>
    <row r="951" spans="1:8">
      <c r="A951">
        <v>20250807</v>
      </c>
      <c r="B951" s="1">
        <v>45876</v>
      </c>
      <c r="C951">
        <v>2025</v>
      </c>
      <c r="D951">
        <v>3</v>
      </c>
      <c r="E951">
        <v>8</v>
      </c>
      <c r="F951" t="s">
        <v>230</v>
      </c>
      <c r="G951" t="s">
        <v>261</v>
      </c>
      <c r="H951" t="s">
        <v>254</v>
      </c>
    </row>
    <row r="952" spans="1:8">
      <c r="A952">
        <v>20250808</v>
      </c>
      <c r="B952" s="1">
        <v>45877</v>
      </c>
      <c r="C952">
        <v>2025</v>
      </c>
      <c r="D952">
        <v>3</v>
      </c>
      <c r="E952">
        <v>8</v>
      </c>
      <c r="F952" t="s">
        <v>230</v>
      </c>
      <c r="G952" t="s">
        <v>261</v>
      </c>
      <c r="H952" t="s">
        <v>254</v>
      </c>
    </row>
    <row r="953" spans="1:8">
      <c r="A953">
        <v>20250809</v>
      </c>
      <c r="B953" s="1">
        <v>45878</v>
      </c>
      <c r="C953">
        <v>2025</v>
      </c>
      <c r="D953">
        <v>3</v>
      </c>
      <c r="E953">
        <v>8</v>
      </c>
      <c r="F953" t="s">
        <v>230</v>
      </c>
      <c r="G953" t="s">
        <v>261</v>
      </c>
      <c r="H953" t="s">
        <v>254</v>
      </c>
    </row>
    <row r="954" spans="1:8">
      <c r="A954">
        <v>20250810</v>
      </c>
      <c r="B954" s="1">
        <v>45879</v>
      </c>
      <c r="C954">
        <v>2025</v>
      </c>
      <c r="D954">
        <v>3</v>
      </c>
      <c r="E954">
        <v>8</v>
      </c>
      <c r="F954" t="s">
        <v>230</v>
      </c>
      <c r="G954" t="s">
        <v>261</v>
      </c>
      <c r="H954" t="s">
        <v>254</v>
      </c>
    </row>
    <row r="955" spans="1:8">
      <c r="A955">
        <v>20250811</v>
      </c>
      <c r="B955" s="1">
        <v>45880</v>
      </c>
      <c r="C955">
        <v>2025</v>
      </c>
      <c r="D955">
        <v>3</v>
      </c>
      <c r="E955">
        <v>8</v>
      </c>
      <c r="F955" t="s">
        <v>230</v>
      </c>
      <c r="G955" t="s">
        <v>261</v>
      </c>
      <c r="H955" t="s">
        <v>254</v>
      </c>
    </row>
    <row r="956" spans="1:8">
      <c r="A956">
        <v>20250812</v>
      </c>
      <c r="B956" s="1">
        <v>45881</v>
      </c>
      <c r="C956">
        <v>2025</v>
      </c>
      <c r="D956">
        <v>3</v>
      </c>
      <c r="E956">
        <v>8</v>
      </c>
      <c r="F956" t="s">
        <v>230</v>
      </c>
      <c r="G956" t="s">
        <v>261</v>
      </c>
      <c r="H956" t="s">
        <v>254</v>
      </c>
    </row>
    <row r="957" spans="1:8">
      <c r="A957">
        <v>20250813</v>
      </c>
      <c r="B957" s="1">
        <v>45882</v>
      </c>
      <c r="C957">
        <v>2025</v>
      </c>
      <c r="D957">
        <v>3</v>
      </c>
      <c r="E957">
        <v>8</v>
      </c>
      <c r="F957" t="s">
        <v>230</v>
      </c>
      <c r="G957" t="s">
        <v>261</v>
      </c>
      <c r="H957" t="s">
        <v>254</v>
      </c>
    </row>
    <row r="958" spans="1:8">
      <c r="A958">
        <v>20250814</v>
      </c>
      <c r="B958" s="1">
        <v>45883</v>
      </c>
      <c r="C958">
        <v>2025</v>
      </c>
      <c r="D958">
        <v>3</v>
      </c>
      <c r="E958">
        <v>8</v>
      </c>
      <c r="F958" t="s">
        <v>230</v>
      </c>
      <c r="G958" t="s">
        <v>261</v>
      </c>
      <c r="H958" t="s">
        <v>254</v>
      </c>
    </row>
    <row r="959" spans="1:8">
      <c r="A959">
        <v>20250815</v>
      </c>
      <c r="B959" s="1">
        <v>45884</v>
      </c>
      <c r="C959">
        <v>2025</v>
      </c>
      <c r="D959">
        <v>3</v>
      </c>
      <c r="E959">
        <v>8</v>
      </c>
      <c r="F959" t="s">
        <v>230</v>
      </c>
      <c r="G959" t="s">
        <v>261</v>
      </c>
      <c r="H959" t="s">
        <v>254</v>
      </c>
    </row>
    <row r="960" spans="1:8">
      <c r="A960">
        <v>20250816</v>
      </c>
      <c r="B960" s="1">
        <v>45885</v>
      </c>
      <c r="C960">
        <v>2025</v>
      </c>
      <c r="D960">
        <v>3</v>
      </c>
      <c r="E960">
        <v>8</v>
      </c>
      <c r="F960" t="s">
        <v>230</v>
      </c>
      <c r="G960" t="s">
        <v>261</v>
      </c>
      <c r="H960" t="s">
        <v>254</v>
      </c>
    </row>
    <row r="961" spans="1:8">
      <c r="A961">
        <v>20250817</v>
      </c>
      <c r="B961" s="1">
        <v>45886</v>
      </c>
      <c r="C961">
        <v>2025</v>
      </c>
      <c r="D961">
        <v>3</v>
      </c>
      <c r="E961">
        <v>8</v>
      </c>
      <c r="F961" t="s">
        <v>230</v>
      </c>
      <c r="G961" t="s">
        <v>261</v>
      </c>
      <c r="H961" t="s">
        <v>254</v>
      </c>
    </row>
    <row r="962" spans="1:8">
      <c r="A962">
        <v>20250818</v>
      </c>
      <c r="B962" s="1">
        <v>45887</v>
      </c>
      <c r="C962">
        <v>2025</v>
      </c>
      <c r="D962">
        <v>3</v>
      </c>
      <c r="E962">
        <v>8</v>
      </c>
      <c r="F962" t="s">
        <v>230</v>
      </c>
      <c r="G962" t="s">
        <v>261</v>
      </c>
      <c r="H962" t="s">
        <v>254</v>
      </c>
    </row>
    <row r="963" spans="1:8">
      <c r="A963">
        <v>20250819</v>
      </c>
      <c r="B963" s="1">
        <v>45888</v>
      </c>
      <c r="C963">
        <v>2025</v>
      </c>
      <c r="D963">
        <v>3</v>
      </c>
      <c r="E963">
        <v>8</v>
      </c>
      <c r="F963" t="s">
        <v>230</v>
      </c>
      <c r="G963" t="s">
        <v>261</v>
      </c>
      <c r="H963" t="s">
        <v>254</v>
      </c>
    </row>
    <row r="964" spans="1:8">
      <c r="A964">
        <v>20250820</v>
      </c>
      <c r="B964" s="1">
        <v>45889</v>
      </c>
      <c r="C964">
        <v>2025</v>
      </c>
      <c r="D964">
        <v>3</v>
      </c>
      <c r="E964">
        <v>8</v>
      </c>
      <c r="F964" t="s">
        <v>230</v>
      </c>
      <c r="G964" t="s">
        <v>261</v>
      </c>
      <c r="H964" t="s">
        <v>254</v>
      </c>
    </row>
    <row r="965" spans="1:8">
      <c r="A965">
        <v>20250821</v>
      </c>
      <c r="B965" s="1">
        <v>45890</v>
      </c>
      <c r="C965">
        <v>2025</v>
      </c>
      <c r="D965">
        <v>3</v>
      </c>
      <c r="E965">
        <v>8</v>
      </c>
      <c r="F965" t="s">
        <v>230</v>
      </c>
      <c r="G965" t="s">
        <v>261</v>
      </c>
      <c r="H965" t="s">
        <v>254</v>
      </c>
    </row>
    <row r="966" spans="1:8">
      <c r="A966">
        <v>20250822</v>
      </c>
      <c r="B966" s="1">
        <v>45891</v>
      </c>
      <c r="C966">
        <v>2025</v>
      </c>
      <c r="D966">
        <v>3</v>
      </c>
      <c r="E966">
        <v>8</v>
      </c>
      <c r="F966" t="s">
        <v>230</v>
      </c>
      <c r="G966" t="s">
        <v>261</v>
      </c>
      <c r="H966" t="s">
        <v>254</v>
      </c>
    </row>
    <row r="967" spans="1:8">
      <c r="A967">
        <v>20250823</v>
      </c>
      <c r="B967" s="1">
        <v>45892</v>
      </c>
      <c r="C967">
        <v>2025</v>
      </c>
      <c r="D967">
        <v>3</v>
      </c>
      <c r="E967">
        <v>8</v>
      </c>
      <c r="F967" t="s">
        <v>230</v>
      </c>
      <c r="G967" t="s">
        <v>261</v>
      </c>
      <c r="H967" t="s">
        <v>254</v>
      </c>
    </row>
    <row r="968" spans="1:8">
      <c r="A968">
        <v>20250824</v>
      </c>
      <c r="B968" s="1">
        <v>45893</v>
      </c>
      <c r="C968">
        <v>2025</v>
      </c>
      <c r="D968">
        <v>3</v>
      </c>
      <c r="E968">
        <v>8</v>
      </c>
      <c r="F968" t="s">
        <v>230</v>
      </c>
      <c r="G968" t="s">
        <v>261</v>
      </c>
      <c r="H968" t="s">
        <v>254</v>
      </c>
    </row>
    <row r="969" spans="1:8">
      <c r="A969">
        <v>20250825</v>
      </c>
      <c r="B969" s="1">
        <v>45894</v>
      </c>
      <c r="C969">
        <v>2025</v>
      </c>
      <c r="D969">
        <v>3</v>
      </c>
      <c r="E969">
        <v>8</v>
      </c>
      <c r="F969" t="s">
        <v>230</v>
      </c>
      <c r="G969" t="s">
        <v>261</v>
      </c>
      <c r="H969" t="s">
        <v>254</v>
      </c>
    </row>
    <row r="970" spans="1:8">
      <c r="A970">
        <v>20250826</v>
      </c>
      <c r="B970" s="1">
        <v>45895</v>
      </c>
      <c r="C970">
        <v>2025</v>
      </c>
      <c r="D970">
        <v>3</v>
      </c>
      <c r="E970">
        <v>8</v>
      </c>
      <c r="F970" t="s">
        <v>230</v>
      </c>
      <c r="G970" t="s">
        <v>261</v>
      </c>
      <c r="H970" t="s">
        <v>254</v>
      </c>
    </row>
    <row r="971" spans="1:8">
      <c r="A971">
        <v>20250827</v>
      </c>
      <c r="B971" s="1">
        <v>45896</v>
      </c>
      <c r="C971">
        <v>2025</v>
      </c>
      <c r="D971">
        <v>3</v>
      </c>
      <c r="E971">
        <v>8</v>
      </c>
      <c r="F971" t="s">
        <v>230</v>
      </c>
      <c r="G971" t="s">
        <v>261</v>
      </c>
      <c r="H971" t="s">
        <v>254</v>
      </c>
    </row>
    <row r="972" spans="1:8">
      <c r="A972">
        <v>20250828</v>
      </c>
      <c r="B972" s="1">
        <v>45897</v>
      </c>
      <c r="C972">
        <v>2025</v>
      </c>
      <c r="D972">
        <v>3</v>
      </c>
      <c r="E972">
        <v>8</v>
      </c>
      <c r="F972" t="s">
        <v>230</v>
      </c>
      <c r="G972" t="s">
        <v>261</v>
      </c>
      <c r="H972" t="s">
        <v>254</v>
      </c>
    </row>
    <row r="973" spans="1:8">
      <c r="A973">
        <v>20250829</v>
      </c>
      <c r="B973" s="1">
        <v>45898</v>
      </c>
      <c r="C973">
        <v>2025</v>
      </c>
      <c r="D973">
        <v>3</v>
      </c>
      <c r="E973">
        <v>8</v>
      </c>
      <c r="F973" t="s">
        <v>230</v>
      </c>
      <c r="G973" t="s">
        <v>261</v>
      </c>
      <c r="H973" t="s">
        <v>254</v>
      </c>
    </row>
    <row r="974" spans="1:8">
      <c r="A974">
        <v>20250830</v>
      </c>
      <c r="B974" s="1">
        <v>45899</v>
      </c>
      <c r="C974">
        <v>2025</v>
      </c>
      <c r="D974">
        <v>3</v>
      </c>
      <c r="E974">
        <v>8</v>
      </c>
      <c r="F974" t="s">
        <v>230</v>
      </c>
      <c r="G974" t="s">
        <v>261</v>
      </c>
      <c r="H974" t="s">
        <v>254</v>
      </c>
    </row>
    <row r="975" spans="1:8">
      <c r="A975">
        <v>20250831</v>
      </c>
      <c r="B975" s="1">
        <v>45900</v>
      </c>
      <c r="C975">
        <v>2025</v>
      </c>
      <c r="D975">
        <v>3</v>
      </c>
      <c r="E975">
        <v>8</v>
      </c>
      <c r="F975" t="s">
        <v>230</v>
      </c>
      <c r="G975" t="s">
        <v>261</v>
      </c>
      <c r="H975" t="s">
        <v>254</v>
      </c>
    </row>
    <row r="976" spans="1:8">
      <c r="A976">
        <v>20250901</v>
      </c>
      <c r="B976" s="1">
        <v>45901</v>
      </c>
      <c r="C976">
        <v>2025</v>
      </c>
      <c r="D976">
        <v>3</v>
      </c>
      <c r="E976">
        <v>9</v>
      </c>
      <c r="F976" t="s">
        <v>232</v>
      </c>
      <c r="G976" t="s">
        <v>262</v>
      </c>
      <c r="H976" t="s">
        <v>254</v>
      </c>
    </row>
    <row r="977" spans="1:8">
      <c r="A977">
        <v>20250902</v>
      </c>
      <c r="B977" s="1">
        <v>45902</v>
      </c>
      <c r="C977">
        <v>2025</v>
      </c>
      <c r="D977">
        <v>3</v>
      </c>
      <c r="E977">
        <v>9</v>
      </c>
      <c r="F977" t="s">
        <v>232</v>
      </c>
      <c r="G977" t="s">
        <v>262</v>
      </c>
      <c r="H977" t="s">
        <v>254</v>
      </c>
    </row>
    <row r="978" spans="1:8">
      <c r="A978">
        <v>20250903</v>
      </c>
      <c r="B978" s="1">
        <v>45903</v>
      </c>
      <c r="C978">
        <v>2025</v>
      </c>
      <c r="D978">
        <v>3</v>
      </c>
      <c r="E978">
        <v>9</v>
      </c>
      <c r="F978" t="s">
        <v>232</v>
      </c>
      <c r="G978" t="s">
        <v>262</v>
      </c>
      <c r="H978" t="s">
        <v>254</v>
      </c>
    </row>
    <row r="979" spans="1:8">
      <c r="A979">
        <v>20250904</v>
      </c>
      <c r="B979" s="1">
        <v>45904</v>
      </c>
      <c r="C979">
        <v>2025</v>
      </c>
      <c r="D979">
        <v>3</v>
      </c>
      <c r="E979">
        <v>9</v>
      </c>
      <c r="F979" t="s">
        <v>232</v>
      </c>
      <c r="G979" t="s">
        <v>262</v>
      </c>
      <c r="H979" t="s">
        <v>254</v>
      </c>
    </row>
    <row r="980" spans="1:8">
      <c r="A980">
        <v>20250905</v>
      </c>
      <c r="B980" s="1">
        <v>45905</v>
      </c>
      <c r="C980">
        <v>2025</v>
      </c>
      <c r="D980">
        <v>3</v>
      </c>
      <c r="E980">
        <v>9</v>
      </c>
      <c r="F980" t="s">
        <v>232</v>
      </c>
      <c r="G980" t="s">
        <v>262</v>
      </c>
      <c r="H980" t="s">
        <v>254</v>
      </c>
    </row>
    <row r="981" spans="1:8">
      <c r="A981">
        <v>20250906</v>
      </c>
      <c r="B981" s="1">
        <v>45906</v>
      </c>
      <c r="C981">
        <v>2025</v>
      </c>
      <c r="D981">
        <v>3</v>
      </c>
      <c r="E981">
        <v>9</v>
      </c>
      <c r="F981" t="s">
        <v>232</v>
      </c>
      <c r="G981" t="s">
        <v>262</v>
      </c>
      <c r="H981" t="s">
        <v>254</v>
      </c>
    </row>
    <row r="982" spans="1:8">
      <c r="A982">
        <v>20250907</v>
      </c>
      <c r="B982" s="1">
        <v>45907</v>
      </c>
      <c r="C982">
        <v>2025</v>
      </c>
      <c r="D982">
        <v>3</v>
      </c>
      <c r="E982">
        <v>9</v>
      </c>
      <c r="F982" t="s">
        <v>232</v>
      </c>
      <c r="G982" t="s">
        <v>262</v>
      </c>
      <c r="H982" t="s">
        <v>254</v>
      </c>
    </row>
    <row r="983" spans="1:8">
      <c r="A983">
        <v>20250908</v>
      </c>
      <c r="B983" s="1">
        <v>45908</v>
      </c>
      <c r="C983">
        <v>2025</v>
      </c>
      <c r="D983">
        <v>3</v>
      </c>
      <c r="E983">
        <v>9</v>
      </c>
      <c r="F983" t="s">
        <v>232</v>
      </c>
      <c r="G983" t="s">
        <v>262</v>
      </c>
      <c r="H983" t="s">
        <v>254</v>
      </c>
    </row>
    <row r="984" spans="1:8">
      <c r="A984">
        <v>20250909</v>
      </c>
      <c r="B984" s="1">
        <v>45909</v>
      </c>
      <c r="C984">
        <v>2025</v>
      </c>
      <c r="D984">
        <v>3</v>
      </c>
      <c r="E984">
        <v>9</v>
      </c>
      <c r="F984" t="s">
        <v>232</v>
      </c>
      <c r="G984" t="s">
        <v>262</v>
      </c>
      <c r="H984" t="s">
        <v>254</v>
      </c>
    </row>
    <row r="985" spans="1:8">
      <c r="A985">
        <v>20250910</v>
      </c>
      <c r="B985" s="1">
        <v>45910</v>
      </c>
      <c r="C985">
        <v>2025</v>
      </c>
      <c r="D985">
        <v>3</v>
      </c>
      <c r="E985">
        <v>9</v>
      </c>
      <c r="F985" t="s">
        <v>232</v>
      </c>
      <c r="G985" t="s">
        <v>262</v>
      </c>
      <c r="H985" t="s">
        <v>254</v>
      </c>
    </row>
    <row r="986" spans="1:8">
      <c r="A986">
        <v>20250911</v>
      </c>
      <c r="B986" s="1">
        <v>45911</v>
      </c>
      <c r="C986">
        <v>2025</v>
      </c>
      <c r="D986">
        <v>3</v>
      </c>
      <c r="E986">
        <v>9</v>
      </c>
      <c r="F986" t="s">
        <v>232</v>
      </c>
      <c r="G986" t="s">
        <v>262</v>
      </c>
      <c r="H986" t="s">
        <v>254</v>
      </c>
    </row>
    <row r="987" spans="1:8">
      <c r="A987">
        <v>20250912</v>
      </c>
      <c r="B987" s="1">
        <v>45912</v>
      </c>
      <c r="C987">
        <v>2025</v>
      </c>
      <c r="D987">
        <v>3</v>
      </c>
      <c r="E987">
        <v>9</v>
      </c>
      <c r="F987" t="s">
        <v>232</v>
      </c>
      <c r="G987" t="s">
        <v>262</v>
      </c>
      <c r="H987" t="s">
        <v>254</v>
      </c>
    </row>
    <row r="988" spans="1:8">
      <c r="A988">
        <v>20250913</v>
      </c>
      <c r="B988" s="1">
        <v>45913</v>
      </c>
      <c r="C988">
        <v>2025</v>
      </c>
      <c r="D988">
        <v>3</v>
      </c>
      <c r="E988">
        <v>9</v>
      </c>
      <c r="F988" t="s">
        <v>232</v>
      </c>
      <c r="G988" t="s">
        <v>262</v>
      </c>
      <c r="H988" t="s">
        <v>254</v>
      </c>
    </row>
    <row r="989" spans="1:8">
      <c r="A989">
        <v>20250914</v>
      </c>
      <c r="B989" s="1">
        <v>45914</v>
      </c>
      <c r="C989">
        <v>2025</v>
      </c>
      <c r="D989">
        <v>3</v>
      </c>
      <c r="E989">
        <v>9</v>
      </c>
      <c r="F989" t="s">
        <v>232</v>
      </c>
      <c r="G989" t="s">
        <v>262</v>
      </c>
      <c r="H989" t="s">
        <v>254</v>
      </c>
    </row>
    <row r="990" spans="1:8">
      <c r="A990">
        <v>20250915</v>
      </c>
      <c r="B990" s="1">
        <v>45915</v>
      </c>
      <c r="C990">
        <v>2025</v>
      </c>
      <c r="D990">
        <v>3</v>
      </c>
      <c r="E990">
        <v>9</v>
      </c>
      <c r="F990" t="s">
        <v>232</v>
      </c>
      <c r="G990" t="s">
        <v>262</v>
      </c>
      <c r="H990" t="s">
        <v>254</v>
      </c>
    </row>
    <row r="991" spans="1:8">
      <c r="A991">
        <v>20250916</v>
      </c>
      <c r="B991" s="1">
        <v>45916</v>
      </c>
      <c r="C991">
        <v>2025</v>
      </c>
      <c r="D991">
        <v>3</v>
      </c>
      <c r="E991">
        <v>9</v>
      </c>
      <c r="F991" t="s">
        <v>232</v>
      </c>
      <c r="G991" t="s">
        <v>262</v>
      </c>
      <c r="H991" t="s">
        <v>254</v>
      </c>
    </row>
    <row r="992" spans="1:8">
      <c r="A992">
        <v>20250917</v>
      </c>
      <c r="B992" s="1">
        <v>45917</v>
      </c>
      <c r="C992">
        <v>2025</v>
      </c>
      <c r="D992">
        <v>3</v>
      </c>
      <c r="E992">
        <v>9</v>
      </c>
      <c r="F992" t="s">
        <v>232</v>
      </c>
      <c r="G992" t="s">
        <v>262</v>
      </c>
      <c r="H992" t="s">
        <v>254</v>
      </c>
    </row>
    <row r="993" spans="1:8">
      <c r="A993">
        <v>20250918</v>
      </c>
      <c r="B993" s="1">
        <v>45918</v>
      </c>
      <c r="C993">
        <v>2025</v>
      </c>
      <c r="D993">
        <v>3</v>
      </c>
      <c r="E993">
        <v>9</v>
      </c>
      <c r="F993" t="s">
        <v>232</v>
      </c>
      <c r="G993" t="s">
        <v>262</v>
      </c>
      <c r="H993" t="s">
        <v>254</v>
      </c>
    </row>
    <row r="994" spans="1:8">
      <c r="A994">
        <v>20250919</v>
      </c>
      <c r="B994" s="1">
        <v>45919</v>
      </c>
      <c r="C994">
        <v>2025</v>
      </c>
      <c r="D994">
        <v>3</v>
      </c>
      <c r="E994">
        <v>9</v>
      </c>
      <c r="F994" t="s">
        <v>232</v>
      </c>
      <c r="G994" t="s">
        <v>262</v>
      </c>
      <c r="H994" t="s">
        <v>254</v>
      </c>
    </row>
    <row r="995" spans="1:8">
      <c r="A995">
        <v>20250920</v>
      </c>
      <c r="B995" s="1">
        <v>45920</v>
      </c>
      <c r="C995">
        <v>2025</v>
      </c>
      <c r="D995">
        <v>3</v>
      </c>
      <c r="E995">
        <v>9</v>
      </c>
      <c r="F995" t="s">
        <v>232</v>
      </c>
      <c r="G995" t="s">
        <v>262</v>
      </c>
      <c r="H995" t="s">
        <v>254</v>
      </c>
    </row>
    <row r="996" spans="1:8">
      <c r="A996">
        <v>20250921</v>
      </c>
      <c r="B996" s="1">
        <v>45921</v>
      </c>
      <c r="C996">
        <v>2025</v>
      </c>
      <c r="D996">
        <v>3</v>
      </c>
      <c r="E996">
        <v>9</v>
      </c>
      <c r="F996" t="s">
        <v>232</v>
      </c>
      <c r="G996" t="s">
        <v>262</v>
      </c>
      <c r="H996" t="s">
        <v>254</v>
      </c>
    </row>
    <row r="997" spans="1:8">
      <c r="A997">
        <v>20250922</v>
      </c>
      <c r="B997" s="1">
        <v>45922</v>
      </c>
      <c r="C997">
        <v>2025</v>
      </c>
      <c r="D997">
        <v>3</v>
      </c>
      <c r="E997">
        <v>9</v>
      </c>
      <c r="F997" t="s">
        <v>232</v>
      </c>
      <c r="G997" t="s">
        <v>262</v>
      </c>
      <c r="H997" t="s">
        <v>254</v>
      </c>
    </row>
    <row r="998" spans="1:8">
      <c r="A998">
        <v>20250923</v>
      </c>
      <c r="B998" s="1">
        <v>45923</v>
      </c>
      <c r="C998">
        <v>2025</v>
      </c>
      <c r="D998">
        <v>3</v>
      </c>
      <c r="E998">
        <v>9</v>
      </c>
      <c r="F998" t="s">
        <v>232</v>
      </c>
      <c r="G998" t="s">
        <v>262</v>
      </c>
      <c r="H998" t="s">
        <v>254</v>
      </c>
    </row>
    <row r="999" spans="1:8">
      <c r="A999">
        <v>20250924</v>
      </c>
      <c r="B999" s="1">
        <v>45924</v>
      </c>
      <c r="C999">
        <v>2025</v>
      </c>
      <c r="D999">
        <v>3</v>
      </c>
      <c r="E999">
        <v>9</v>
      </c>
      <c r="F999" t="s">
        <v>232</v>
      </c>
      <c r="G999" t="s">
        <v>262</v>
      </c>
      <c r="H999" t="s">
        <v>254</v>
      </c>
    </row>
    <row r="1000" spans="1:8">
      <c r="A1000">
        <v>20250925</v>
      </c>
      <c r="B1000" s="1">
        <v>45925</v>
      </c>
      <c r="C1000">
        <v>2025</v>
      </c>
      <c r="D1000">
        <v>3</v>
      </c>
      <c r="E1000">
        <v>9</v>
      </c>
      <c r="F1000" t="s">
        <v>232</v>
      </c>
      <c r="G1000" t="s">
        <v>262</v>
      </c>
      <c r="H1000" t="s">
        <v>254</v>
      </c>
    </row>
    <row r="1001" spans="1:8">
      <c r="A1001">
        <v>20250926</v>
      </c>
      <c r="B1001" s="1">
        <v>45926</v>
      </c>
      <c r="C1001">
        <v>2025</v>
      </c>
      <c r="D1001">
        <v>3</v>
      </c>
      <c r="E1001">
        <v>9</v>
      </c>
      <c r="F1001" t="s">
        <v>232</v>
      </c>
      <c r="G1001" t="s">
        <v>262</v>
      </c>
      <c r="H1001" t="s">
        <v>254</v>
      </c>
    </row>
    <row r="1002" spans="1:8">
      <c r="A1002">
        <v>20250927</v>
      </c>
      <c r="B1002" s="1">
        <v>45927</v>
      </c>
      <c r="C1002">
        <v>2025</v>
      </c>
      <c r="D1002">
        <v>3</v>
      </c>
      <c r="E1002">
        <v>9</v>
      </c>
      <c r="F1002" t="s">
        <v>232</v>
      </c>
      <c r="G1002" t="s">
        <v>262</v>
      </c>
      <c r="H1002" t="s">
        <v>254</v>
      </c>
    </row>
    <row r="1003" spans="1:8">
      <c r="A1003">
        <v>20250928</v>
      </c>
      <c r="B1003" s="1">
        <v>45928</v>
      </c>
      <c r="C1003">
        <v>2025</v>
      </c>
      <c r="D1003">
        <v>3</v>
      </c>
      <c r="E1003">
        <v>9</v>
      </c>
      <c r="F1003" t="s">
        <v>232</v>
      </c>
      <c r="G1003" t="s">
        <v>262</v>
      </c>
      <c r="H1003" t="s">
        <v>254</v>
      </c>
    </row>
    <row r="1004" spans="1:8">
      <c r="A1004">
        <v>20250929</v>
      </c>
      <c r="B1004" s="1">
        <v>45929</v>
      </c>
      <c r="C1004">
        <v>2025</v>
      </c>
      <c r="D1004">
        <v>3</v>
      </c>
      <c r="E1004">
        <v>9</v>
      </c>
      <c r="F1004" t="s">
        <v>232</v>
      </c>
      <c r="G1004" t="s">
        <v>262</v>
      </c>
      <c r="H1004" t="s">
        <v>254</v>
      </c>
    </row>
    <row r="1005" spans="1:8">
      <c r="A1005">
        <v>20250930</v>
      </c>
      <c r="B1005" s="1">
        <v>45930</v>
      </c>
      <c r="C1005">
        <v>2025</v>
      </c>
      <c r="D1005">
        <v>3</v>
      </c>
      <c r="E1005">
        <v>9</v>
      </c>
      <c r="F1005" t="s">
        <v>232</v>
      </c>
      <c r="G1005" t="s">
        <v>262</v>
      </c>
      <c r="H1005" t="s">
        <v>254</v>
      </c>
    </row>
    <row r="1006" spans="1:8">
      <c r="A1006">
        <v>20251001</v>
      </c>
      <c r="B1006" s="1">
        <v>45931</v>
      </c>
      <c r="C1006">
        <v>2025</v>
      </c>
      <c r="D1006">
        <v>4</v>
      </c>
      <c r="E1006">
        <v>10</v>
      </c>
      <c r="F1006" t="s">
        <v>234</v>
      </c>
      <c r="G1006" t="s">
        <v>263</v>
      </c>
      <c r="H1006" t="s">
        <v>254</v>
      </c>
    </row>
    <row r="1007" spans="1:8">
      <c r="A1007">
        <v>20251002</v>
      </c>
      <c r="B1007" s="1">
        <v>45932</v>
      </c>
      <c r="C1007">
        <v>2025</v>
      </c>
      <c r="D1007">
        <v>4</v>
      </c>
      <c r="E1007">
        <v>10</v>
      </c>
      <c r="F1007" t="s">
        <v>234</v>
      </c>
      <c r="G1007" t="s">
        <v>263</v>
      </c>
      <c r="H1007" t="s">
        <v>254</v>
      </c>
    </row>
    <row r="1008" spans="1:8">
      <c r="A1008">
        <v>20251003</v>
      </c>
      <c r="B1008" s="1">
        <v>45933</v>
      </c>
      <c r="C1008">
        <v>2025</v>
      </c>
      <c r="D1008">
        <v>4</v>
      </c>
      <c r="E1008">
        <v>10</v>
      </c>
      <c r="F1008" t="s">
        <v>234</v>
      </c>
      <c r="G1008" t="s">
        <v>263</v>
      </c>
      <c r="H1008" t="s">
        <v>254</v>
      </c>
    </row>
    <row r="1009" spans="1:8">
      <c r="A1009">
        <v>20251004</v>
      </c>
      <c r="B1009" s="1">
        <v>45934</v>
      </c>
      <c r="C1009">
        <v>2025</v>
      </c>
      <c r="D1009">
        <v>4</v>
      </c>
      <c r="E1009">
        <v>10</v>
      </c>
      <c r="F1009" t="s">
        <v>234</v>
      </c>
      <c r="G1009" t="s">
        <v>263</v>
      </c>
      <c r="H1009" t="s">
        <v>254</v>
      </c>
    </row>
    <row r="1010" spans="1:8">
      <c r="A1010">
        <v>20251005</v>
      </c>
      <c r="B1010" s="1">
        <v>45935</v>
      </c>
      <c r="C1010">
        <v>2025</v>
      </c>
      <c r="D1010">
        <v>4</v>
      </c>
      <c r="E1010">
        <v>10</v>
      </c>
      <c r="F1010" t="s">
        <v>234</v>
      </c>
      <c r="G1010" t="s">
        <v>263</v>
      </c>
      <c r="H1010" t="s">
        <v>254</v>
      </c>
    </row>
    <row r="1011" spans="1:8">
      <c r="A1011">
        <v>20251006</v>
      </c>
      <c r="B1011" s="1">
        <v>45936</v>
      </c>
      <c r="C1011">
        <v>2025</v>
      </c>
      <c r="D1011">
        <v>4</v>
      </c>
      <c r="E1011">
        <v>10</v>
      </c>
      <c r="F1011" t="s">
        <v>234</v>
      </c>
      <c r="G1011" t="s">
        <v>263</v>
      </c>
      <c r="H1011" t="s">
        <v>254</v>
      </c>
    </row>
    <row r="1012" spans="1:8">
      <c r="A1012">
        <v>20251007</v>
      </c>
      <c r="B1012" s="1">
        <v>45937</v>
      </c>
      <c r="C1012">
        <v>2025</v>
      </c>
      <c r="D1012">
        <v>4</v>
      </c>
      <c r="E1012">
        <v>10</v>
      </c>
      <c r="F1012" t="s">
        <v>234</v>
      </c>
      <c r="G1012" t="s">
        <v>263</v>
      </c>
      <c r="H1012" t="s">
        <v>254</v>
      </c>
    </row>
    <row r="1013" spans="1:8">
      <c r="A1013">
        <v>20251008</v>
      </c>
      <c r="B1013" s="1">
        <v>45938</v>
      </c>
      <c r="C1013">
        <v>2025</v>
      </c>
      <c r="D1013">
        <v>4</v>
      </c>
      <c r="E1013">
        <v>10</v>
      </c>
      <c r="F1013" t="s">
        <v>234</v>
      </c>
      <c r="G1013" t="s">
        <v>263</v>
      </c>
      <c r="H1013" t="s">
        <v>254</v>
      </c>
    </row>
    <row r="1014" spans="1:8">
      <c r="A1014">
        <v>20251009</v>
      </c>
      <c r="B1014" s="1">
        <v>45939</v>
      </c>
      <c r="C1014">
        <v>2025</v>
      </c>
      <c r="D1014">
        <v>4</v>
      </c>
      <c r="E1014">
        <v>10</v>
      </c>
      <c r="F1014" t="s">
        <v>234</v>
      </c>
      <c r="G1014" t="s">
        <v>263</v>
      </c>
      <c r="H1014" t="s">
        <v>254</v>
      </c>
    </row>
    <row r="1015" spans="1:8">
      <c r="A1015">
        <v>20251010</v>
      </c>
      <c r="B1015" s="1">
        <v>45940</v>
      </c>
      <c r="C1015">
        <v>2025</v>
      </c>
      <c r="D1015">
        <v>4</v>
      </c>
      <c r="E1015">
        <v>10</v>
      </c>
      <c r="F1015" t="s">
        <v>234</v>
      </c>
      <c r="G1015" t="s">
        <v>263</v>
      </c>
      <c r="H1015" t="s">
        <v>254</v>
      </c>
    </row>
    <row r="1016" spans="1:8">
      <c r="A1016">
        <v>20251011</v>
      </c>
      <c r="B1016" s="1">
        <v>45941</v>
      </c>
      <c r="C1016">
        <v>2025</v>
      </c>
      <c r="D1016">
        <v>4</v>
      </c>
      <c r="E1016">
        <v>10</v>
      </c>
      <c r="F1016" t="s">
        <v>234</v>
      </c>
      <c r="G1016" t="s">
        <v>263</v>
      </c>
      <c r="H1016" t="s">
        <v>254</v>
      </c>
    </row>
    <row r="1017" spans="1:8">
      <c r="A1017">
        <v>20251012</v>
      </c>
      <c r="B1017" s="1">
        <v>45942</v>
      </c>
      <c r="C1017">
        <v>2025</v>
      </c>
      <c r="D1017">
        <v>4</v>
      </c>
      <c r="E1017">
        <v>10</v>
      </c>
      <c r="F1017" t="s">
        <v>234</v>
      </c>
      <c r="G1017" t="s">
        <v>263</v>
      </c>
      <c r="H1017" t="s">
        <v>254</v>
      </c>
    </row>
    <row r="1018" spans="1:8">
      <c r="A1018">
        <v>20251013</v>
      </c>
      <c r="B1018" s="1">
        <v>45943</v>
      </c>
      <c r="C1018">
        <v>2025</v>
      </c>
      <c r="D1018">
        <v>4</v>
      </c>
      <c r="E1018">
        <v>10</v>
      </c>
      <c r="F1018" t="s">
        <v>234</v>
      </c>
      <c r="G1018" t="s">
        <v>263</v>
      </c>
      <c r="H1018" t="s">
        <v>254</v>
      </c>
    </row>
    <row r="1019" spans="1:8">
      <c r="A1019">
        <v>20251014</v>
      </c>
      <c r="B1019" s="1">
        <v>45944</v>
      </c>
      <c r="C1019">
        <v>2025</v>
      </c>
      <c r="D1019">
        <v>4</v>
      </c>
      <c r="E1019">
        <v>10</v>
      </c>
      <c r="F1019" t="s">
        <v>234</v>
      </c>
      <c r="G1019" t="s">
        <v>263</v>
      </c>
      <c r="H1019" t="s">
        <v>254</v>
      </c>
    </row>
    <row r="1020" spans="1:8">
      <c r="A1020">
        <v>20251015</v>
      </c>
      <c r="B1020" s="1">
        <v>45945</v>
      </c>
      <c r="C1020">
        <v>2025</v>
      </c>
      <c r="D1020">
        <v>4</v>
      </c>
      <c r="E1020">
        <v>10</v>
      </c>
      <c r="F1020" t="s">
        <v>234</v>
      </c>
      <c r="G1020" t="s">
        <v>263</v>
      </c>
      <c r="H1020" t="s">
        <v>254</v>
      </c>
    </row>
    <row r="1021" spans="1:8">
      <c r="A1021">
        <v>20251016</v>
      </c>
      <c r="B1021" s="1">
        <v>45946</v>
      </c>
      <c r="C1021">
        <v>2025</v>
      </c>
      <c r="D1021">
        <v>4</v>
      </c>
      <c r="E1021">
        <v>10</v>
      </c>
      <c r="F1021" t="s">
        <v>234</v>
      </c>
      <c r="G1021" t="s">
        <v>263</v>
      </c>
      <c r="H1021" t="s">
        <v>254</v>
      </c>
    </row>
    <row r="1022" spans="1:8">
      <c r="A1022">
        <v>20251017</v>
      </c>
      <c r="B1022" s="1">
        <v>45947</v>
      </c>
      <c r="C1022">
        <v>2025</v>
      </c>
      <c r="D1022">
        <v>4</v>
      </c>
      <c r="E1022">
        <v>10</v>
      </c>
      <c r="F1022" t="s">
        <v>234</v>
      </c>
      <c r="G1022" t="s">
        <v>263</v>
      </c>
      <c r="H1022" t="s">
        <v>254</v>
      </c>
    </row>
    <row r="1023" spans="1:8">
      <c r="A1023">
        <v>20251018</v>
      </c>
      <c r="B1023" s="1">
        <v>45948</v>
      </c>
      <c r="C1023">
        <v>2025</v>
      </c>
      <c r="D1023">
        <v>4</v>
      </c>
      <c r="E1023">
        <v>10</v>
      </c>
      <c r="F1023" t="s">
        <v>234</v>
      </c>
      <c r="G1023" t="s">
        <v>263</v>
      </c>
      <c r="H1023" t="s">
        <v>254</v>
      </c>
    </row>
    <row r="1024" spans="1:8">
      <c r="A1024">
        <v>20251019</v>
      </c>
      <c r="B1024" s="1">
        <v>45949</v>
      </c>
      <c r="C1024">
        <v>2025</v>
      </c>
      <c r="D1024">
        <v>4</v>
      </c>
      <c r="E1024">
        <v>10</v>
      </c>
      <c r="F1024" t="s">
        <v>234</v>
      </c>
      <c r="G1024" t="s">
        <v>263</v>
      </c>
      <c r="H1024" t="s">
        <v>254</v>
      </c>
    </row>
    <row r="1025" spans="1:8">
      <c r="A1025">
        <v>20251020</v>
      </c>
      <c r="B1025" s="1">
        <v>45950</v>
      </c>
      <c r="C1025">
        <v>2025</v>
      </c>
      <c r="D1025">
        <v>4</v>
      </c>
      <c r="E1025">
        <v>10</v>
      </c>
      <c r="F1025" t="s">
        <v>234</v>
      </c>
      <c r="G1025" t="s">
        <v>263</v>
      </c>
      <c r="H1025" t="s">
        <v>254</v>
      </c>
    </row>
    <row r="1026" spans="1:8">
      <c r="A1026">
        <v>20251021</v>
      </c>
      <c r="B1026" s="1">
        <v>45951</v>
      </c>
      <c r="C1026">
        <v>2025</v>
      </c>
      <c r="D1026">
        <v>4</v>
      </c>
      <c r="E1026">
        <v>10</v>
      </c>
      <c r="F1026" t="s">
        <v>234</v>
      </c>
      <c r="G1026" t="s">
        <v>263</v>
      </c>
      <c r="H1026" t="s">
        <v>254</v>
      </c>
    </row>
    <row r="1027" spans="1:8">
      <c r="A1027">
        <v>20251022</v>
      </c>
      <c r="B1027" s="1">
        <v>45952</v>
      </c>
      <c r="C1027">
        <v>2025</v>
      </c>
      <c r="D1027">
        <v>4</v>
      </c>
      <c r="E1027">
        <v>10</v>
      </c>
      <c r="F1027" t="s">
        <v>234</v>
      </c>
      <c r="G1027" t="s">
        <v>263</v>
      </c>
      <c r="H1027" t="s">
        <v>254</v>
      </c>
    </row>
    <row r="1028" spans="1:8">
      <c r="A1028">
        <v>20251023</v>
      </c>
      <c r="B1028" s="1">
        <v>45953</v>
      </c>
      <c r="C1028">
        <v>2025</v>
      </c>
      <c r="D1028">
        <v>4</v>
      </c>
      <c r="E1028">
        <v>10</v>
      </c>
      <c r="F1028" t="s">
        <v>234</v>
      </c>
      <c r="G1028" t="s">
        <v>263</v>
      </c>
      <c r="H1028" t="s">
        <v>254</v>
      </c>
    </row>
    <row r="1029" spans="1:8">
      <c r="A1029">
        <v>20251024</v>
      </c>
      <c r="B1029" s="1">
        <v>45954</v>
      </c>
      <c r="C1029">
        <v>2025</v>
      </c>
      <c r="D1029">
        <v>4</v>
      </c>
      <c r="E1029">
        <v>10</v>
      </c>
      <c r="F1029" t="s">
        <v>234</v>
      </c>
      <c r="G1029" t="s">
        <v>263</v>
      </c>
      <c r="H1029" t="s">
        <v>254</v>
      </c>
    </row>
    <row r="1030" spans="1:8">
      <c r="A1030">
        <v>20251025</v>
      </c>
      <c r="B1030" s="1">
        <v>45955</v>
      </c>
      <c r="C1030">
        <v>2025</v>
      </c>
      <c r="D1030">
        <v>4</v>
      </c>
      <c r="E1030">
        <v>10</v>
      </c>
      <c r="F1030" t="s">
        <v>234</v>
      </c>
      <c r="G1030" t="s">
        <v>263</v>
      </c>
      <c r="H1030" t="s">
        <v>254</v>
      </c>
    </row>
    <row r="1031" spans="1:8">
      <c r="A1031">
        <v>20251026</v>
      </c>
      <c r="B1031" s="1">
        <v>45956</v>
      </c>
      <c r="C1031">
        <v>2025</v>
      </c>
      <c r="D1031">
        <v>4</v>
      </c>
      <c r="E1031">
        <v>10</v>
      </c>
      <c r="F1031" t="s">
        <v>234</v>
      </c>
      <c r="G1031" t="s">
        <v>263</v>
      </c>
      <c r="H1031" t="s">
        <v>254</v>
      </c>
    </row>
    <row r="1032" spans="1:8">
      <c r="A1032">
        <v>20251027</v>
      </c>
      <c r="B1032" s="1">
        <v>45957</v>
      </c>
      <c r="C1032">
        <v>2025</v>
      </c>
      <c r="D1032">
        <v>4</v>
      </c>
      <c r="E1032">
        <v>10</v>
      </c>
      <c r="F1032" t="s">
        <v>234</v>
      </c>
      <c r="G1032" t="s">
        <v>263</v>
      </c>
      <c r="H1032" t="s">
        <v>254</v>
      </c>
    </row>
    <row r="1033" spans="1:8">
      <c r="A1033">
        <v>20251028</v>
      </c>
      <c r="B1033" s="1">
        <v>45958</v>
      </c>
      <c r="C1033">
        <v>2025</v>
      </c>
      <c r="D1033">
        <v>4</v>
      </c>
      <c r="E1033">
        <v>10</v>
      </c>
      <c r="F1033" t="s">
        <v>234</v>
      </c>
      <c r="G1033" t="s">
        <v>263</v>
      </c>
      <c r="H1033" t="s">
        <v>254</v>
      </c>
    </row>
    <row r="1034" spans="1:8">
      <c r="A1034">
        <v>20251029</v>
      </c>
      <c r="B1034" s="1">
        <v>45959</v>
      </c>
      <c r="C1034">
        <v>2025</v>
      </c>
      <c r="D1034">
        <v>4</v>
      </c>
      <c r="E1034">
        <v>10</v>
      </c>
      <c r="F1034" t="s">
        <v>234</v>
      </c>
      <c r="G1034" t="s">
        <v>263</v>
      </c>
      <c r="H1034" t="s">
        <v>254</v>
      </c>
    </row>
    <row r="1035" spans="1:8">
      <c r="A1035">
        <v>20251030</v>
      </c>
      <c r="B1035" s="1">
        <v>45960</v>
      </c>
      <c r="C1035">
        <v>2025</v>
      </c>
      <c r="D1035">
        <v>4</v>
      </c>
      <c r="E1035">
        <v>10</v>
      </c>
      <c r="F1035" t="s">
        <v>234</v>
      </c>
      <c r="G1035" t="s">
        <v>263</v>
      </c>
      <c r="H1035" t="s">
        <v>254</v>
      </c>
    </row>
    <row r="1036" spans="1:8">
      <c r="A1036">
        <v>20251031</v>
      </c>
      <c r="B1036" s="1">
        <v>45961</v>
      </c>
      <c r="C1036">
        <v>2025</v>
      </c>
      <c r="D1036">
        <v>4</v>
      </c>
      <c r="E1036">
        <v>10</v>
      </c>
      <c r="F1036" t="s">
        <v>234</v>
      </c>
      <c r="G1036" t="s">
        <v>263</v>
      </c>
      <c r="H1036" t="s">
        <v>254</v>
      </c>
    </row>
    <row r="1037" spans="1:8">
      <c r="A1037">
        <v>20251101</v>
      </c>
      <c r="B1037" s="1">
        <v>45962</v>
      </c>
      <c r="C1037">
        <v>2025</v>
      </c>
      <c r="D1037">
        <v>4</v>
      </c>
      <c r="E1037">
        <v>11</v>
      </c>
      <c r="F1037" t="s">
        <v>236</v>
      </c>
      <c r="G1037" t="s">
        <v>264</v>
      </c>
      <c r="H1037" t="s">
        <v>254</v>
      </c>
    </row>
    <row r="1038" spans="1:8">
      <c r="A1038">
        <v>20251102</v>
      </c>
      <c r="B1038" s="1">
        <v>45963</v>
      </c>
      <c r="C1038">
        <v>2025</v>
      </c>
      <c r="D1038">
        <v>4</v>
      </c>
      <c r="E1038">
        <v>11</v>
      </c>
      <c r="F1038" t="s">
        <v>236</v>
      </c>
      <c r="G1038" t="s">
        <v>264</v>
      </c>
      <c r="H1038" t="s">
        <v>254</v>
      </c>
    </row>
    <row r="1039" spans="1:8">
      <c r="A1039">
        <v>20251103</v>
      </c>
      <c r="B1039" s="1">
        <v>45964</v>
      </c>
      <c r="C1039">
        <v>2025</v>
      </c>
      <c r="D1039">
        <v>4</v>
      </c>
      <c r="E1039">
        <v>11</v>
      </c>
      <c r="F1039" t="s">
        <v>236</v>
      </c>
      <c r="G1039" t="s">
        <v>264</v>
      </c>
      <c r="H1039" t="s">
        <v>254</v>
      </c>
    </row>
    <row r="1040" spans="1:8">
      <c r="A1040">
        <v>20251104</v>
      </c>
      <c r="B1040" s="1">
        <v>45965</v>
      </c>
      <c r="C1040">
        <v>2025</v>
      </c>
      <c r="D1040">
        <v>4</v>
      </c>
      <c r="E1040">
        <v>11</v>
      </c>
      <c r="F1040" t="s">
        <v>236</v>
      </c>
      <c r="G1040" t="s">
        <v>264</v>
      </c>
      <c r="H1040" t="s">
        <v>254</v>
      </c>
    </row>
    <row r="1041" spans="1:8">
      <c r="A1041">
        <v>20251105</v>
      </c>
      <c r="B1041" s="1">
        <v>45966</v>
      </c>
      <c r="C1041">
        <v>2025</v>
      </c>
      <c r="D1041">
        <v>4</v>
      </c>
      <c r="E1041">
        <v>11</v>
      </c>
      <c r="F1041" t="s">
        <v>236</v>
      </c>
      <c r="G1041" t="s">
        <v>264</v>
      </c>
      <c r="H1041" t="s">
        <v>254</v>
      </c>
    </row>
    <row r="1042" spans="1:8">
      <c r="A1042">
        <v>20251106</v>
      </c>
      <c r="B1042" s="1">
        <v>45967</v>
      </c>
      <c r="C1042">
        <v>2025</v>
      </c>
      <c r="D1042">
        <v>4</v>
      </c>
      <c r="E1042">
        <v>11</v>
      </c>
      <c r="F1042" t="s">
        <v>236</v>
      </c>
      <c r="G1042" t="s">
        <v>264</v>
      </c>
      <c r="H1042" t="s">
        <v>254</v>
      </c>
    </row>
    <row r="1043" spans="1:8">
      <c r="A1043">
        <v>20251107</v>
      </c>
      <c r="B1043" s="1">
        <v>45968</v>
      </c>
      <c r="C1043">
        <v>2025</v>
      </c>
      <c r="D1043">
        <v>4</v>
      </c>
      <c r="E1043">
        <v>11</v>
      </c>
      <c r="F1043" t="s">
        <v>236</v>
      </c>
      <c r="G1043" t="s">
        <v>264</v>
      </c>
      <c r="H1043" t="s">
        <v>254</v>
      </c>
    </row>
    <row r="1044" spans="1:8">
      <c r="A1044">
        <v>20251108</v>
      </c>
      <c r="B1044" s="1">
        <v>45969</v>
      </c>
      <c r="C1044">
        <v>2025</v>
      </c>
      <c r="D1044">
        <v>4</v>
      </c>
      <c r="E1044">
        <v>11</v>
      </c>
      <c r="F1044" t="s">
        <v>236</v>
      </c>
      <c r="G1044" t="s">
        <v>264</v>
      </c>
      <c r="H1044" t="s">
        <v>254</v>
      </c>
    </row>
    <row r="1045" spans="1:8">
      <c r="A1045">
        <v>20251109</v>
      </c>
      <c r="B1045" s="1">
        <v>45970</v>
      </c>
      <c r="C1045">
        <v>2025</v>
      </c>
      <c r="D1045">
        <v>4</v>
      </c>
      <c r="E1045">
        <v>11</v>
      </c>
      <c r="F1045" t="s">
        <v>236</v>
      </c>
      <c r="G1045" t="s">
        <v>264</v>
      </c>
      <c r="H1045" t="s">
        <v>254</v>
      </c>
    </row>
    <row r="1046" spans="1:8">
      <c r="A1046">
        <v>20251110</v>
      </c>
      <c r="B1046" s="1">
        <v>45971</v>
      </c>
      <c r="C1046">
        <v>2025</v>
      </c>
      <c r="D1046">
        <v>4</v>
      </c>
      <c r="E1046">
        <v>11</v>
      </c>
      <c r="F1046" t="s">
        <v>236</v>
      </c>
      <c r="G1046" t="s">
        <v>264</v>
      </c>
      <c r="H1046" t="s">
        <v>254</v>
      </c>
    </row>
    <row r="1047" spans="1:8">
      <c r="A1047">
        <v>20251111</v>
      </c>
      <c r="B1047" s="1">
        <v>45972</v>
      </c>
      <c r="C1047">
        <v>2025</v>
      </c>
      <c r="D1047">
        <v>4</v>
      </c>
      <c r="E1047">
        <v>11</v>
      </c>
      <c r="F1047" t="s">
        <v>236</v>
      </c>
      <c r="G1047" t="s">
        <v>264</v>
      </c>
      <c r="H1047" t="s">
        <v>254</v>
      </c>
    </row>
    <row r="1048" spans="1:8">
      <c r="A1048">
        <v>20251112</v>
      </c>
      <c r="B1048" s="1">
        <v>45973</v>
      </c>
      <c r="C1048">
        <v>2025</v>
      </c>
      <c r="D1048">
        <v>4</v>
      </c>
      <c r="E1048">
        <v>11</v>
      </c>
      <c r="F1048" t="s">
        <v>236</v>
      </c>
      <c r="G1048" t="s">
        <v>264</v>
      </c>
      <c r="H1048" t="s">
        <v>254</v>
      </c>
    </row>
    <row r="1049" spans="1:8">
      <c r="A1049">
        <v>20251113</v>
      </c>
      <c r="B1049" s="1">
        <v>45974</v>
      </c>
      <c r="C1049">
        <v>2025</v>
      </c>
      <c r="D1049">
        <v>4</v>
      </c>
      <c r="E1049">
        <v>11</v>
      </c>
      <c r="F1049" t="s">
        <v>236</v>
      </c>
      <c r="G1049" t="s">
        <v>264</v>
      </c>
      <c r="H1049" t="s">
        <v>254</v>
      </c>
    </row>
    <row r="1050" spans="1:8">
      <c r="A1050">
        <v>20251114</v>
      </c>
      <c r="B1050" s="1">
        <v>45975</v>
      </c>
      <c r="C1050">
        <v>2025</v>
      </c>
      <c r="D1050">
        <v>4</v>
      </c>
      <c r="E1050">
        <v>11</v>
      </c>
      <c r="F1050" t="s">
        <v>236</v>
      </c>
      <c r="G1050" t="s">
        <v>264</v>
      </c>
      <c r="H1050" t="s">
        <v>254</v>
      </c>
    </row>
    <row r="1051" spans="1:8">
      <c r="A1051">
        <v>20251115</v>
      </c>
      <c r="B1051" s="1">
        <v>45976</v>
      </c>
      <c r="C1051">
        <v>2025</v>
      </c>
      <c r="D1051">
        <v>4</v>
      </c>
      <c r="E1051">
        <v>11</v>
      </c>
      <c r="F1051" t="s">
        <v>236</v>
      </c>
      <c r="G1051" t="s">
        <v>264</v>
      </c>
      <c r="H1051" t="s">
        <v>254</v>
      </c>
    </row>
    <row r="1052" spans="1:8">
      <c r="A1052">
        <v>20251116</v>
      </c>
      <c r="B1052" s="1">
        <v>45977</v>
      </c>
      <c r="C1052">
        <v>2025</v>
      </c>
      <c r="D1052">
        <v>4</v>
      </c>
      <c r="E1052">
        <v>11</v>
      </c>
      <c r="F1052" t="s">
        <v>236</v>
      </c>
      <c r="G1052" t="s">
        <v>264</v>
      </c>
      <c r="H1052" t="s">
        <v>254</v>
      </c>
    </row>
    <row r="1053" spans="1:8">
      <c r="A1053">
        <v>20251117</v>
      </c>
      <c r="B1053" s="1">
        <v>45978</v>
      </c>
      <c r="C1053">
        <v>2025</v>
      </c>
      <c r="D1053">
        <v>4</v>
      </c>
      <c r="E1053">
        <v>11</v>
      </c>
      <c r="F1053" t="s">
        <v>236</v>
      </c>
      <c r="G1053" t="s">
        <v>264</v>
      </c>
      <c r="H1053" t="s">
        <v>254</v>
      </c>
    </row>
    <row r="1054" spans="1:8">
      <c r="A1054">
        <v>20251118</v>
      </c>
      <c r="B1054" s="1">
        <v>45979</v>
      </c>
      <c r="C1054">
        <v>2025</v>
      </c>
      <c r="D1054">
        <v>4</v>
      </c>
      <c r="E1054">
        <v>11</v>
      </c>
      <c r="F1054" t="s">
        <v>236</v>
      </c>
      <c r="G1054" t="s">
        <v>264</v>
      </c>
      <c r="H1054" t="s">
        <v>254</v>
      </c>
    </row>
    <row r="1055" spans="1:8">
      <c r="A1055">
        <v>20251119</v>
      </c>
      <c r="B1055" s="1">
        <v>45980</v>
      </c>
      <c r="C1055">
        <v>2025</v>
      </c>
      <c r="D1055">
        <v>4</v>
      </c>
      <c r="E1055">
        <v>11</v>
      </c>
      <c r="F1055" t="s">
        <v>236</v>
      </c>
      <c r="G1055" t="s">
        <v>264</v>
      </c>
      <c r="H1055" t="s">
        <v>254</v>
      </c>
    </row>
    <row r="1056" spans="1:8">
      <c r="A1056">
        <v>20251120</v>
      </c>
      <c r="B1056" s="1">
        <v>45981</v>
      </c>
      <c r="C1056">
        <v>2025</v>
      </c>
      <c r="D1056">
        <v>4</v>
      </c>
      <c r="E1056">
        <v>11</v>
      </c>
      <c r="F1056" t="s">
        <v>236</v>
      </c>
      <c r="G1056" t="s">
        <v>264</v>
      </c>
      <c r="H1056" t="s">
        <v>254</v>
      </c>
    </row>
    <row r="1057" spans="1:8">
      <c r="A1057">
        <v>20251121</v>
      </c>
      <c r="B1057" s="1">
        <v>45982</v>
      </c>
      <c r="C1057">
        <v>2025</v>
      </c>
      <c r="D1057">
        <v>4</v>
      </c>
      <c r="E1057">
        <v>11</v>
      </c>
      <c r="F1057" t="s">
        <v>236</v>
      </c>
      <c r="G1057" t="s">
        <v>264</v>
      </c>
      <c r="H1057" t="s">
        <v>254</v>
      </c>
    </row>
    <row r="1058" spans="1:8">
      <c r="A1058">
        <v>20251122</v>
      </c>
      <c r="B1058" s="1">
        <v>45983</v>
      </c>
      <c r="C1058">
        <v>2025</v>
      </c>
      <c r="D1058">
        <v>4</v>
      </c>
      <c r="E1058">
        <v>11</v>
      </c>
      <c r="F1058" t="s">
        <v>236</v>
      </c>
      <c r="G1058" t="s">
        <v>264</v>
      </c>
      <c r="H1058" t="s">
        <v>254</v>
      </c>
    </row>
    <row r="1059" spans="1:8">
      <c r="A1059">
        <v>20251123</v>
      </c>
      <c r="B1059" s="1">
        <v>45984</v>
      </c>
      <c r="C1059">
        <v>2025</v>
      </c>
      <c r="D1059">
        <v>4</v>
      </c>
      <c r="E1059">
        <v>11</v>
      </c>
      <c r="F1059" t="s">
        <v>236</v>
      </c>
      <c r="G1059" t="s">
        <v>264</v>
      </c>
      <c r="H1059" t="s">
        <v>254</v>
      </c>
    </row>
    <row r="1060" spans="1:8">
      <c r="A1060">
        <v>20251124</v>
      </c>
      <c r="B1060" s="1">
        <v>45985</v>
      </c>
      <c r="C1060">
        <v>2025</v>
      </c>
      <c r="D1060">
        <v>4</v>
      </c>
      <c r="E1060">
        <v>11</v>
      </c>
      <c r="F1060" t="s">
        <v>236</v>
      </c>
      <c r="G1060" t="s">
        <v>264</v>
      </c>
      <c r="H1060" t="s">
        <v>254</v>
      </c>
    </row>
    <row r="1061" spans="1:8">
      <c r="A1061">
        <v>20251125</v>
      </c>
      <c r="B1061" s="1">
        <v>45986</v>
      </c>
      <c r="C1061">
        <v>2025</v>
      </c>
      <c r="D1061">
        <v>4</v>
      </c>
      <c r="E1061">
        <v>11</v>
      </c>
      <c r="F1061" t="s">
        <v>236</v>
      </c>
      <c r="G1061" t="s">
        <v>264</v>
      </c>
      <c r="H1061" t="s">
        <v>254</v>
      </c>
    </row>
    <row r="1062" spans="1:8">
      <c r="A1062">
        <v>20251126</v>
      </c>
      <c r="B1062" s="1">
        <v>45987</v>
      </c>
      <c r="C1062">
        <v>2025</v>
      </c>
      <c r="D1062">
        <v>4</v>
      </c>
      <c r="E1062">
        <v>11</v>
      </c>
      <c r="F1062" t="s">
        <v>236</v>
      </c>
      <c r="G1062" t="s">
        <v>264</v>
      </c>
      <c r="H1062" t="s">
        <v>254</v>
      </c>
    </row>
    <row r="1063" spans="1:8">
      <c r="A1063">
        <v>20251127</v>
      </c>
      <c r="B1063" s="1">
        <v>45988</v>
      </c>
      <c r="C1063">
        <v>2025</v>
      </c>
      <c r="D1063">
        <v>4</v>
      </c>
      <c r="E1063">
        <v>11</v>
      </c>
      <c r="F1063" t="s">
        <v>236</v>
      </c>
      <c r="G1063" t="s">
        <v>264</v>
      </c>
      <c r="H1063" t="s">
        <v>254</v>
      </c>
    </row>
    <row r="1064" spans="1:8">
      <c r="A1064">
        <v>20251128</v>
      </c>
      <c r="B1064" s="1">
        <v>45989</v>
      </c>
      <c r="C1064">
        <v>2025</v>
      </c>
      <c r="D1064">
        <v>4</v>
      </c>
      <c r="E1064">
        <v>11</v>
      </c>
      <c r="F1064" t="s">
        <v>236</v>
      </c>
      <c r="G1064" t="s">
        <v>264</v>
      </c>
      <c r="H1064" t="s">
        <v>254</v>
      </c>
    </row>
    <row r="1065" spans="1:8">
      <c r="A1065">
        <v>20251129</v>
      </c>
      <c r="B1065" s="1">
        <v>45990</v>
      </c>
      <c r="C1065">
        <v>2025</v>
      </c>
      <c r="D1065">
        <v>4</v>
      </c>
      <c r="E1065">
        <v>11</v>
      </c>
      <c r="F1065" t="s">
        <v>236</v>
      </c>
      <c r="G1065" t="s">
        <v>264</v>
      </c>
      <c r="H1065" t="s">
        <v>254</v>
      </c>
    </row>
    <row r="1066" spans="1:8">
      <c r="A1066">
        <v>20251130</v>
      </c>
      <c r="B1066" s="1">
        <v>45991</v>
      </c>
      <c r="C1066">
        <v>2025</v>
      </c>
      <c r="D1066">
        <v>4</v>
      </c>
      <c r="E1066">
        <v>11</v>
      </c>
      <c r="F1066" t="s">
        <v>236</v>
      </c>
      <c r="G1066" t="s">
        <v>264</v>
      </c>
      <c r="H1066" t="s">
        <v>254</v>
      </c>
    </row>
    <row r="1067" spans="1:8">
      <c r="A1067">
        <v>20251201</v>
      </c>
      <c r="B1067" s="1">
        <v>45992</v>
      </c>
      <c r="C1067">
        <v>2025</v>
      </c>
      <c r="D1067">
        <v>4</v>
      </c>
      <c r="E1067">
        <v>12</v>
      </c>
      <c r="F1067" t="s">
        <v>238</v>
      </c>
      <c r="G1067" t="s">
        <v>265</v>
      </c>
      <c r="H1067" t="s">
        <v>254</v>
      </c>
    </row>
    <row r="1068" spans="1:8">
      <c r="A1068">
        <v>20251202</v>
      </c>
      <c r="B1068" s="1">
        <v>45993</v>
      </c>
      <c r="C1068">
        <v>2025</v>
      </c>
      <c r="D1068">
        <v>4</v>
      </c>
      <c r="E1068">
        <v>12</v>
      </c>
      <c r="F1068" t="s">
        <v>238</v>
      </c>
      <c r="G1068" t="s">
        <v>265</v>
      </c>
      <c r="H1068" t="s">
        <v>254</v>
      </c>
    </row>
    <row r="1069" spans="1:8">
      <c r="A1069">
        <v>20251203</v>
      </c>
      <c r="B1069" s="1">
        <v>45994</v>
      </c>
      <c r="C1069">
        <v>2025</v>
      </c>
      <c r="D1069">
        <v>4</v>
      </c>
      <c r="E1069">
        <v>12</v>
      </c>
      <c r="F1069" t="s">
        <v>238</v>
      </c>
      <c r="G1069" t="s">
        <v>265</v>
      </c>
      <c r="H1069" t="s">
        <v>254</v>
      </c>
    </row>
    <row r="1070" spans="1:8">
      <c r="A1070">
        <v>20251204</v>
      </c>
      <c r="B1070" s="1">
        <v>45995</v>
      </c>
      <c r="C1070">
        <v>2025</v>
      </c>
      <c r="D1070">
        <v>4</v>
      </c>
      <c r="E1070">
        <v>12</v>
      </c>
      <c r="F1070" t="s">
        <v>238</v>
      </c>
      <c r="G1070" t="s">
        <v>265</v>
      </c>
      <c r="H1070" t="s">
        <v>254</v>
      </c>
    </row>
    <row r="1071" spans="1:8">
      <c r="A1071">
        <v>20251205</v>
      </c>
      <c r="B1071" s="1">
        <v>45996</v>
      </c>
      <c r="C1071">
        <v>2025</v>
      </c>
      <c r="D1071">
        <v>4</v>
      </c>
      <c r="E1071">
        <v>12</v>
      </c>
      <c r="F1071" t="s">
        <v>238</v>
      </c>
      <c r="G1071" t="s">
        <v>265</v>
      </c>
      <c r="H1071" t="s">
        <v>254</v>
      </c>
    </row>
    <row r="1072" spans="1:8">
      <c r="A1072">
        <v>20251206</v>
      </c>
      <c r="B1072" s="1">
        <v>45997</v>
      </c>
      <c r="C1072">
        <v>2025</v>
      </c>
      <c r="D1072">
        <v>4</v>
      </c>
      <c r="E1072">
        <v>12</v>
      </c>
      <c r="F1072" t="s">
        <v>238</v>
      </c>
      <c r="G1072" t="s">
        <v>265</v>
      </c>
      <c r="H1072" t="s">
        <v>254</v>
      </c>
    </row>
    <row r="1073" spans="1:8">
      <c r="A1073">
        <v>20251207</v>
      </c>
      <c r="B1073" s="1">
        <v>45998</v>
      </c>
      <c r="C1073">
        <v>2025</v>
      </c>
      <c r="D1073">
        <v>4</v>
      </c>
      <c r="E1073">
        <v>12</v>
      </c>
      <c r="F1073" t="s">
        <v>238</v>
      </c>
      <c r="G1073" t="s">
        <v>265</v>
      </c>
      <c r="H1073" t="s">
        <v>254</v>
      </c>
    </row>
    <row r="1074" spans="1:8">
      <c r="A1074">
        <v>20251208</v>
      </c>
      <c r="B1074" s="1">
        <v>45999</v>
      </c>
      <c r="C1074">
        <v>2025</v>
      </c>
      <c r="D1074">
        <v>4</v>
      </c>
      <c r="E1074">
        <v>12</v>
      </c>
      <c r="F1074" t="s">
        <v>238</v>
      </c>
      <c r="G1074" t="s">
        <v>265</v>
      </c>
      <c r="H1074" t="s">
        <v>254</v>
      </c>
    </row>
    <row r="1075" spans="1:8">
      <c r="A1075">
        <v>20251209</v>
      </c>
      <c r="B1075" s="1">
        <v>46000</v>
      </c>
      <c r="C1075">
        <v>2025</v>
      </c>
      <c r="D1075">
        <v>4</v>
      </c>
      <c r="E1075">
        <v>12</v>
      </c>
      <c r="F1075" t="s">
        <v>238</v>
      </c>
      <c r="G1075" t="s">
        <v>265</v>
      </c>
      <c r="H1075" t="s">
        <v>254</v>
      </c>
    </row>
    <row r="1076" spans="1:8">
      <c r="A1076">
        <v>20251210</v>
      </c>
      <c r="B1076" s="1">
        <v>46001</v>
      </c>
      <c r="C1076">
        <v>2025</v>
      </c>
      <c r="D1076">
        <v>4</v>
      </c>
      <c r="E1076">
        <v>12</v>
      </c>
      <c r="F1076" t="s">
        <v>238</v>
      </c>
      <c r="G1076" t="s">
        <v>265</v>
      </c>
      <c r="H1076" t="s">
        <v>254</v>
      </c>
    </row>
    <row r="1077" spans="1:8">
      <c r="A1077">
        <v>20251211</v>
      </c>
      <c r="B1077" s="1">
        <v>46002</v>
      </c>
      <c r="C1077">
        <v>2025</v>
      </c>
      <c r="D1077">
        <v>4</v>
      </c>
      <c r="E1077">
        <v>12</v>
      </c>
      <c r="F1077" t="s">
        <v>238</v>
      </c>
      <c r="G1077" t="s">
        <v>265</v>
      </c>
      <c r="H1077" t="s">
        <v>254</v>
      </c>
    </row>
    <row r="1078" spans="1:8">
      <c r="A1078">
        <v>20251212</v>
      </c>
      <c r="B1078" s="1">
        <v>46003</v>
      </c>
      <c r="C1078">
        <v>2025</v>
      </c>
      <c r="D1078">
        <v>4</v>
      </c>
      <c r="E1078">
        <v>12</v>
      </c>
      <c r="F1078" t="s">
        <v>238</v>
      </c>
      <c r="G1078" t="s">
        <v>265</v>
      </c>
      <c r="H1078" t="s">
        <v>254</v>
      </c>
    </row>
    <row r="1079" spans="1:8">
      <c r="A1079">
        <v>20251213</v>
      </c>
      <c r="B1079" s="1">
        <v>46004</v>
      </c>
      <c r="C1079">
        <v>2025</v>
      </c>
      <c r="D1079">
        <v>4</v>
      </c>
      <c r="E1079">
        <v>12</v>
      </c>
      <c r="F1079" t="s">
        <v>238</v>
      </c>
      <c r="G1079" t="s">
        <v>265</v>
      </c>
      <c r="H1079" t="s">
        <v>254</v>
      </c>
    </row>
    <row r="1080" spans="1:8">
      <c r="A1080">
        <v>20251214</v>
      </c>
      <c r="B1080" s="1">
        <v>46005</v>
      </c>
      <c r="C1080">
        <v>2025</v>
      </c>
      <c r="D1080">
        <v>4</v>
      </c>
      <c r="E1080">
        <v>12</v>
      </c>
      <c r="F1080" t="s">
        <v>238</v>
      </c>
      <c r="G1080" t="s">
        <v>265</v>
      </c>
      <c r="H1080" t="s">
        <v>254</v>
      </c>
    </row>
    <row r="1081" spans="1:8">
      <c r="A1081">
        <v>20251215</v>
      </c>
      <c r="B1081" s="1">
        <v>46006</v>
      </c>
      <c r="C1081">
        <v>2025</v>
      </c>
      <c r="D1081">
        <v>4</v>
      </c>
      <c r="E1081">
        <v>12</v>
      </c>
      <c r="F1081" t="s">
        <v>238</v>
      </c>
      <c r="G1081" t="s">
        <v>265</v>
      </c>
      <c r="H1081" t="s">
        <v>254</v>
      </c>
    </row>
    <row r="1082" spans="1:8">
      <c r="A1082">
        <v>20251216</v>
      </c>
      <c r="B1082" s="1">
        <v>46007</v>
      </c>
      <c r="C1082">
        <v>2025</v>
      </c>
      <c r="D1082">
        <v>4</v>
      </c>
      <c r="E1082">
        <v>12</v>
      </c>
      <c r="F1082" t="s">
        <v>238</v>
      </c>
      <c r="G1082" t="s">
        <v>265</v>
      </c>
      <c r="H1082" t="s">
        <v>254</v>
      </c>
    </row>
    <row r="1083" spans="1:8">
      <c r="A1083">
        <v>20251217</v>
      </c>
      <c r="B1083" s="1">
        <v>46008</v>
      </c>
      <c r="C1083">
        <v>2025</v>
      </c>
      <c r="D1083">
        <v>4</v>
      </c>
      <c r="E1083">
        <v>12</v>
      </c>
      <c r="F1083" t="s">
        <v>238</v>
      </c>
      <c r="G1083" t="s">
        <v>265</v>
      </c>
      <c r="H1083" t="s">
        <v>254</v>
      </c>
    </row>
    <row r="1084" spans="1:8">
      <c r="A1084">
        <v>20251218</v>
      </c>
      <c r="B1084" s="1">
        <v>46009</v>
      </c>
      <c r="C1084">
        <v>2025</v>
      </c>
      <c r="D1084">
        <v>4</v>
      </c>
      <c r="E1084">
        <v>12</v>
      </c>
      <c r="F1084" t="s">
        <v>238</v>
      </c>
      <c r="G1084" t="s">
        <v>265</v>
      </c>
      <c r="H1084" t="s">
        <v>254</v>
      </c>
    </row>
    <row r="1085" spans="1:8">
      <c r="A1085">
        <v>20251219</v>
      </c>
      <c r="B1085" s="1">
        <v>46010</v>
      </c>
      <c r="C1085">
        <v>2025</v>
      </c>
      <c r="D1085">
        <v>4</v>
      </c>
      <c r="E1085">
        <v>12</v>
      </c>
      <c r="F1085" t="s">
        <v>238</v>
      </c>
      <c r="G1085" t="s">
        <v>265</v>
      </c>
      <c r="H1085" t="s">
        <v>254</v>
      </c>
    </row>
    <row r="1086" spans="1:8">
      <c r="A1086">
        <v>20251220</v>
      </c>
      <c r="B1086" s="1">
        <v>46011</v>
      </c>
      <c r="C1086">
        <v>2025</v>
      </c>
      <c r="D1086">
        <v>4</v>
      </c>
      <c r="E1086">
        <v>12</v>
      </c>
      <c r="F1086" t="s">
        <v>238</v>
      </c>
      <c r="G1086" t="s">
        <v>265</v>
      </c>
      <c r="H1086" t="s">
        <v>254</v>
      </c>
    </row>
    <row r="1087" spans="1:8">
      <c r="A1087">
        <v>20251221</v>
      </c>
      <c r="B1087" s="1">
        <v>46012</v>
      </c>
      <c r="C1087">
        <v>2025</v>
      </c>
      <c r="D1087">
        <v>4</v>
      </c>
      <c r="E1087">
        <v>12</v>
      </c>
      <c r="F1087" t="s">
        <v>238</v>
      </c>
      <c r="G1087" t="s">
        <v>265</v>
      </c>
      <c r="H1087" t="s">
        <v>254</v>
      </c>
    </row>
    <row r="1088" spans="1:8">
      <c r="A1088">
        <v>20251222</v>
      </c>
      <c r="B1088" s="1">
        <v>46013</v>
      </c>
      <c r="C1088">
        <v>2025</v>
      </c>
      <c r="D1088">
        <v>4</v>
      </c>
      <c r="E1088">
        <v>12</v>
      </c>
      <c r="F1088" t="s">
        <v>238</v>
      </c>
      <c r="G1088" t="s">
        <v>265</v>
      </c>
      <c r="H1088" t="s">
        <v>254</v>
      </c>
    </row>
    <row r="1089" spans="1:8">
      <c r="A1089">
        <v>20251223</v>
      </c>
      <c r="B1089" s="1">
        <v>46014</v>
      </c>
      <c r="C1089">
        <v>2025</v>
      </c>
      <c r="D1089">
        <v>4</v>
      </c>
      <c r="E1089">
        <v>12</v>
      </c>
      <c r="F1089" t="s">
        <v>238</v>
      </c>
      <c r="G1089" t="s">
        <v>265</v>
      </c>
      <c r="H1089" t="s">
        <v>254</v>
      </c>
    </row>
    <row r="1090" spans="1:8">
      <c r="A1090">
        <v>20251224</v>
      </c>
      <c r="B1090" s="1">
        <v>46015</v>
      </c>
      <c r="C1090">
        <v>2025</v>
      </c>
      <c r="D1090">
        <v>4</v>
      </c>
      <c r="E1090">
        <v>12</v>
      </c>
      <c r="F1090" t="s">
        <v>238</v>
      </c>
      <c r="G1090" t="s">
        <v>265</v>
      </c>
      <c r="H1090" t="s">
        <v>254</v>
      </c>
    </row>
    <row r="1091" spans="1:8">
      <c r="A1091">
        <v>20251225</v>
      </c>
      <c r="B1091" s="1">
        <v>46016</v>
      </c>
      <c r="C1091">
        <v>2025</v>
      </c>
      <c r="D1091">
        <v>4</v>
      </c>
      <c r="E1091">
        <v>12</v>
      </c>
      <c r="F1091" t="s">
        <v>238</v>
      </c>
      <c r="G1091" t="s">
        <v>265</v>
      </c>
      <c r="H1091" t="s">
        <v>254</v>
      </c>
    </row>
    <row r="1092" spans="1:8">
      <c r="A1092">
        <v>20251226</v>
      </c>
      <c r="B1092" s="1">
        <v>46017</v>
      </c>
      <c r="C1092">
        <v>2025</v>
      </c>
      <c r="D1092">
        <v>4</v>
      </c>
      <c r="E1092">
        <v>12</v>
      </c>
      <c r="F1092" t="s">
        <v>238</v>
      </c>
      <c r="G1092" t="s">
        <v>265</v>
      </c>
      <c r="H1092" t="s">
        <v>254</v>
      </c>
    </row>
    <row r="1093" spans="1:8">
      <c r="A1093">
        <v>20251227</v>
      </c>
      <c r="B1093" s="1">
        <v>46018</v>
      </c>
      <c r="C1093">
        <v>2025</v>
      </c>
      <c r="D1093">
        <v>4</v>
      </c>
      <c r="E1093">
        <v>12</v>
      </c>
      <c r="F1093" t="s">
        <v>238</v>
      </c>
      <c r="G1093" t="s">
        <v>265</v>
      </c>
      <c r="H1093" t="s">
        <v>254</v>
      </c>
    </row>
    <row r="1094" spans="1:8">
      <c r="A1094">
        <v>20251228</v>
      </c>
      <c r="B1094" s="1">
        <v>46019</v>
      </c>
      <c r="C1094">
        <v>2025</v>
      </c>
      <c r="D1094">
        <v>4</v>
      </c>
      <c r="E1094">
        <v>12</v>
      </c>
      <c r="F1094" t="s">
        <v>238</v>
      </c>
      <c r="G1094" t="s">
        <v>265</v>
      </c>
      <c r="H1094" t="s">
        <v>254</v>
      </c>
    </row>
    <row r="1095" spans="1:8">
      <c r="A1095">
        <v>20251229</v>
      </c>
      <c r="B1095" s="1">
        <v>46020</v>
      </c>
      <c r="C1095">
        <v>2025</v>
      </c>
      <c r="D1095">
        <v>4</v>
      </c>
      <c r="E1095">
        <v>12</v>
      </c>
      <c r="F1095" t="s">
        <v>238</v>
      </c>
      <c r="G1095" t="s">
        <v>265</v>
      </c>
      <c r="H1095" t="s">
        <v>254</v>
      </c>
    </row>
    <row r="1096" spans="1:8">
      <c r="A1096">
        <v>20251230</v>
      </c>
      <c r="B1096" s="1">
        <v>46021</v>
      </c>
      <c r="C1096">
        <v>2025</v>
      </c>
      <c r="D1096">
        <v>4</v>
      </c>
      <c r="E1096">
        <v>12</v>
      </c>
      <c r="F1096" t="s">
        <v>238</v>
      </c>
      <c r="G1096" t="s">
        <v>265</v>
      </c>
      <c r="H1096" t="s">
        <v>254</v>
      </c>
    </row>
    <row r="1097" spans="1:8">
      <c r="A1097">
        <v>20251231</v>
      </c>
      <c r="B1097" s="1">
        <v>46022</v>
      </c>
      <c r="C1097">
        <v>2025</v>
      </c>
      <c r="D1097">
        <v>4</v>
      </c>
      <c r="E1097">
        <v>12</v>
      </c>
      <c r="F1097" t="s">
        <v>238</v>
      </c>
      <c r="G1097" t="s">
        <v>265</v>
      </c>
      <c r="H1097" t="s">
        <v>254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CF28-B9F0-4D22-9D14-6AF99A0BBC47}">
  <dimension ref="A1:C9"/>
  <sheetViews>
    <sheetView workbookViewId="0">
      <selection activeCell="E6" sqref="E6"/>
    </sheetView>
  </sheetViews>
  <sheetFormatPr defaultRowHeight="15"/>
  <cols>
    <col min="1" max="1" width="17.7109375" bestFit="1" customWidth="1"/>
    <col min="2" max="2" width="16.28515625" bestFit="1" customWidth="1"/>
    <col min="3" max="3" width="22.42578125" bestFit="1" customWidth="1"/>
  </cols>
  <sheetData>
    <row r="1" spans="1:3">
      <c r="A1" s="3" t="s">
        <v>266</v>
      </c>
      <c r="B1" s="4" t="s">
        <v>267</v>
      </c>
      <c r="C1" s="4" t="s">
        <v>268</v>
      </c>
    </row>
    <row r="2" spans="1:3">
      <c r="A2">
        <v>1</v>
      </c>
      <c r="B2" t="s">
        <v>269</v>
      </c>
      <c r="C2" t="s">
        <v>270</v>
      </c>
    </row>
    <row r="3" spans="1:3">
      <c r="A3">
        <v>2</v>
      </c>
      <c r="B3" t="s">
        <v>271</v>
      </c>
      <c r="C3" t="s">
        <v>272</v>
      </c>
    </row>
    <row r="4" spans="1:3">
      <c r="A4">
        <v>3</v>
      </c>
      <c r="B4" t="s">
        <v>273</v>
      </c>
      <c r="C4" t="s">
        <v>274</v>
      </c>
    </row>
    <row r="5" spans="1:3">
      <c r="A5">
        <v>4</v>
      </c>
      <c r="B5" t="s">
        <v>275</v>
      </c>
      <c r="C5" t="s">
        <v>276</v>
      </c>
    </row>
    <row r="6" spans="1:3">
      <c r="A6">
        <v>5</v>
      </c>
      <c r="B6" t="s">
        <v>277</v>
      </c>
      <c r="C6" t="s">
        <v>278</v>
      </c>
    </row>
    <row r="7" spans="1:3">
      <c r="A7">
        <v>6</v>
      </c>
      <c r="B7" t="s">
        <v>279</v>
      </c>
      <c r="C7" t="s">
        <v>280</v>
      </c>
    </row>
    <row r="8" spans="1:3">
      <c r="A8">
        <v>7</v>
      </c>
      <c r="B8" t="s">
        <v>281</v>
      </c>
      <c r="C8" t="s">
        <v>282</v>
      </c>
    </row>
    <row r="9" spans="1:3">
      <c r="A9">
        <v>8</v>
      </c>
      <c r="B9" t="s">
        <v>283</v>
      </c>
      <c r="C9" t="s">
        <v>284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107A1-E0D6-4914-BD74-77FAE11C33D5}">
  <dimension ref="A1:P1297"/>
  <sheetViews>
    <sheetView workbookViewId="0">
      <selection activeCell="R11" sqref="R11"/>
    </sheetView>
  </sheetViews>
  <sheetFormatPr defaultColWidth="9.140625" defaultRowHeight="15"/>
  <cols>
    <col min="1" max="1" width="10.85546875" bestFit="1" customWidth="1"/>
    <col min="2" max="2" width="17.7109375" bestFit="1" customWidth="1"/>
    <col min="3" max="3" width="18.28515625" bestFit="1" customWidth="1"/>
    <col min="4" max="4" width="12.85546875" bestFit="1" customWidth="1"/>
    <col min="5" max="5" width="14" bestFit="1" customWidth="1"/>
    <col min="6" max="6" width="11" bestFit="1" customWidth="1"/>
    <col min="7" max="7" width="10.7109375" bestFit="1" customWidth="1"/>
    <col min="8" max="8" width="10.85546875" bestFit="1" customWidth="1"/>
    <col min="9" max="9" width="18.140625" bestFit="1" customWidth="1"/>
    <col min="10" max="10" width="20.140625" bestFit="1" customWidth="1"/>
    <col min="11" max="11" width="21" bestFit="1" customWidth="1"/>
    <col min="12" max="13" width="19.5703125" customWidth="1"/>
    <col min="14" max="14" width="22.7109375" bestFit="1" customWidth="1"/>
    <col min="15" max="15" width="20.42578125" bestFit="1" customWidth="1"/>
    <col min="16" max="16" width="19.5703125" customWidth="1"/>
  </cols>
  <sheetData>
    <row r="1" spans="1:16">
      <c r="A1" s="3" t="s">
        <v>207</v>
      </c>
      <c r="B1" s="3" t="s">
        <v>266</v>
      </c>
      <c r="C1" s="3" t="s">
        <v>196</v>
      </c>
      <c r="D1" s="3" t="s">
        <v>285</v>
      </c>
      <c r="E1" s="3" t="s">
        <v>155</v>
      </c>
      <c r="F1" s="3" t="s">
        <v>66</v>
      </c>
      <c r="G1" s="3" t="s">
        <v>286</v>
      </c>
      <c r="H1" s="7" t="s">
        <v>208</v>
      </c>
      <c r="I1" s="7" t="s">
        <v>156</v>
      </c>
      <c r="J1" s="7" t="s">
        <v>157</v>
      </c>
      <c r="K1" s="7" t="s">
        <v>158</v>
      </c>
      <c r="L1" s="7" t="s">
        <v>159</v>
      </c>
      <c r="M1" s="7" t="s">
        <v>160</v>
      </c>
      <c r="N1" s="7" t="s">
        <v>268</v>
      </c>
      <c r="O1" s="7" t="s">
        <v>198</v>
      </c>
      <c r="P1" s="7" t="s">
        <v>287</v>
      </c>
    </row>
    <row r="2" spans="1:16">
      <c r="A2">
        <v>20230101</v>
      </c>
      <c r="B2">
        <v>3</v>
      </c>
      <c r="C2">
        <v>1</v>
      </c>
      <c r="D2">
        <v>4</v>
      </c>
      <c r="E2">
        <v>13</v>
      </c>
      <c r="F2" t="s">
        <v>92</v>
      </c>
      <c r="G2">
        <v>24822.25</v>
      </c>
      <c r="H2">
        <f>_xlfn.XLOOKUP(tblFinancials[[#This Row],[DateKey]],tblCalendar[DateKey],tblCalendar[FullDate],"")</f>
        <v>44927</v>
      </c>
      <c r="I2">
        <f>_xlfn.XLOOKUP(tblFinancials[[#This Row],[AccountKey]],tblAccounts[AccountKey],tblAccounts[AccountNumber],"")</f>
        <v>4020</v>
      </c>
      <c r="J2" t="str">
        <f>_xlfn.XLOOKUP(tblFinancials[[#This Row],[AccountKey]],tblAccounts[AccountKey],tblAccounts[AccountName],"")</f>
        <v>Online Revenue</v>
      </c>
      <c r="K2" s="8" t="str">
        <f>_xlfn.XLOOKUP(tblFinancials[[#This Row],[AccountKey]],tblAccounts[AccountKey],tblAccounts[FinancialStatement],"")</f>
        <v>Income Statement</v>
      </c>
      <c r="L2" s="8" t="str">
        <f>_xlfn.XLOOKUP(tblFinancials[[#This Row],[AccountKey]],tblAccounts[AccountKey],tblAccounts[AccountCategory],"")</f>
        <v>Revenue</v>
      </c>
      <c r="M2" s="8" t="str">
        <f>_xlfn.XLOOKUP(tblFinancials[[#This Row],[AccountKey]],tblAccounts[AccountKey],tblAccounts[NormalBalance],"")</f>
        <v>Credit</v>
      </c>
      <c r="N2" s="8" t="str">
        <f>_xlfn.XLOOKUP(tblFinancials[[#This Row],[DepartmentKey]],tblDepartments[DepartmentKey],tblDepartments[DepartmentName],"")</f>
        <v>Human Resources</v>
      </c>
      <c r="O2" s="8" t="str">
        <f>_xlfn.XLOOKUP(tblFinancials[[#This Row],[BusinessUnitKey]],tblBusinessUnits[BusinessUnitKey],tblBusinessUnits[BusinessUnitName],"")</f>
        <v xml:space="preserve">Manufacturing </v>
      </c>
      <c r="P2" s="8" t="str">
        <f>_xlfn.XLOOKUP(tblFinancials[[#This Row],[RegionKey]],tblRegions[RegionKey],tblRegions[RegionName],"")</f>
        <v>East</v>
      </c>
    </row>
    <row r="3" spans="1:16">
      <c r="A3">
        <v>20230101</v>
      </c>
      <c r="B3">
        <v>2</v>
      </c>
      <c r="C3">
        <v>1</v>
      </c>
      <c r="D3">
        <v>2</v>
      </c>
      <c r="E3">
        <v>13</v>
      </c>
      <c r="F3" t="s">
        <v>92</v>
      </c>
      <c r="G3">
        <v>24542.67</v>
      </c>
      <c r="H3">
        <f>_xlfn.XLOOKUP(tblFinancials[[#This Row],[DateKey]],tblCalendar[DateKey],tblCalendar[FullDate],"")</f>
        <v>44927</v>
      </c>
      <c r="I3">
        <f>_xlfn.XLOOKUP(tblFinancials[[#This Row],[AccountKey]],tblAccounts[AccountKey],tblAccounts[AccountNumber],"")</f>
        <v>4020</v>
      </c>
      <c r="J3" t="str">
        <f>_xlfn.XLOOKUP(tblFinancials[[#This Row],[AccountKey]],tblAccounts[AccountKey],tblAccounts[AccountName],"")</f>
        <v>Online Revenue</v>
      </c>
      <c r="K3" s="8" t="str">
        <f>_xlfn.XLOOKUP(tblFinancials[[#This Row],[AccountKey]],tblAccounts[AccountKey],tblAccounts[FinancialStatement],"")</f>
        <v>Income Statement</v>
      </c>
      <c r="L3" s="8" t="str">
        <f>_xlfn.XLOOKUP(tblFinancials[[#This Row],[AccountKey]],tblAccounts[AccountKey],tblAccounts[AccountCategory],"")</f>
        <v>Revenue</v>
      </c>
      <c r="M3" s="8" t="str">
        <f>_xlfn.XLOOKUP(tblFinancials[[#This Row],[AccountKey]],tblAccounts[AccountKey],tblAccounts[NormalBalance],"")</f>
        <v>Credit</v>
      </c>
      <c r="N3" s="8" t="str">
        <f>_xlfn.XLOOKUP(tblFinancials[[#This Row],[DepartmentKey]],tblDepartments[DepartmentKey],tblDepartments[DepartmentName],"")</f>
        <v>Finance</v>
      </c>
      <c r="O3" s="8" t="str">
        <f>_xlfn.XLOOKUP(tblFinancials[[#This Row],[BusinessUnitKey]],tblBusinessUnits[BusinessUnitKey],tblBusinessUnits[BusinessUnitName],"")</f>
        <v xml:space="preserve">Manufacturing </v>
      </c>
      <c r="P3" s="8" t="str">
        <f>_xlfn.XLOOKUP(tblFinancials[[#This Row],[RegionKey]],tblRegions[RegionKey],tblRegions[RegionName],"")</f>
        <v>Midwest</v>
      </c>
    </row>
    <row r="4" spans="1:16">
      <c r="A4">
        <v>20230101</v>
      </c>
      <c r="B4">
        <v>4</v>
      </c>
      <c r="C4">
        <v>1</v>
      </c>
      <c r="D4">
        <v>1</v>
      </c>
      <c r="E4">
        <v>13</v>
      </c>
      <c r="F4" t="s">
        <v>92</v>
      </c>
      <c r="G4">
        <v>25107.18</v>
      </c>
      <c r="H4">
        <f>_xlfn.XLOOKUP(tblFinancials[[#This Row],[DateKey]],tblCalendar[DateKey],tblCalendar[FullDate],"")</f>
        <v>44927</v>
      </c>
      <c r="I4">
        <f>_xlfn.XLOOKUP(tblFinancials[[#This Row],[AccountKey]],tblAccounts[AccountKey],tblAccounts[AccountNumber],"")</f>
        <v>4020</v>
      </c>
      <c r="J4" t="str">
        <f>_xlfn.XLOOKUP(tblFinancials[[#This Row],[AccountKey]],tblAccounts[AccountKey],tblAccounts[AccountName],"")</f>
        <v>Online Revenue</v>
      </c>
      <c r="K4" s="8" t="str">
        <f>_xlfn.XLOOKUP(tblFinancials[[#This Row],[AccountKey]],tblAccounts[AccountKey],tblAccounts[FinancialStatement],"")</f>
        <v>Income Statement</v>
      </c>
      <c r="L4" s="8" t="str">
        <f>_xlfn.XLOOKUP(tblFinancials[[#This Row],[AccountKey]],tblAccounts[AccountKey],tblAccounts[AccountCategory],"")</f>
        <v>Revenue</v>
      </c>
      <c r="M4" s="8" t="str">
        <f>_xlfn.XLOOKUP(tblFinancials[[#This Row],[AccountKey]],tblAccounts[AccountKey],tblAccounts[NormalBalance],"")</f>
        <v>Credit</v>
      </c>
      <c r="N4" s="8" t="str">
        <f>_xlfn.XLOOKUP(tblFinancials[[#This Row],[DepartmentKey]],tblDepartments[DepartmentKey],tblDepartments[DepartmentName],"")</f>
        <v>Sales</v>
      </c>
      <c r="O4" s="8" t="str">
        <f>_xlfn.XLOOKUP(tblFinancials[[#This Row],[BusinessUnitKey]],tblBusinessUnits[BusinessUnitKey],tblBusinessUnits[BusinessUnitName],"")</f>
        <v xml:space="preserve">Manufacturing </v>
      </c>
      <c r="P4" s="8" t="str">
        <f>_xlfn.XLOOKUP(tblFinancials[[#This Row],[RegionKey]],tblRegions[RegionKey],tblRegions[RegionName],"")</f>
        <v>West</v>
      </c>
    </row>
    <row r="5" spans="1:16">
      <c r="A5">
        <v>20230101</v>
      </c>
      <c r="B5">
        <v>3</v>
      </c>
      <c r="C5">
        <v>1</v>
      </c>
      <c r="D5">
        <v>1</v>
      </c>
      <c r="E5">
        <v>12</v>
      </c>
      <c r="F5" t="s">
        <v>92</v>
      </c>
      <c r="G5">
        <v>24660.76</v>
      </c>
      <c r="H5">
        <f>_xlfn.XLOOKUP(tblFinancials[[#This Row],[DateKey]],tblCalendar[DateKey],tblCalendar[FullDate],"")</f>
        <v>44927</v>
      </c>
      <c r="I5">
        <f>_xlfn.XLOOKUP(tblFinancials[[#This Row],[AccountKey]],tblAccounts[AccountKey],tblAccounts[AccountNumber],"")</f>
        <v>4010</v>
      </c>
      <c r="J5" t="str">
        <f>_xlfn.XLOOKUP(tblFinancials[[#This Row],[AccountKey]],tblAccounts[AccountKey],tblAccounts[AccountName],"")</f>
        <v>Service Revenue</v>
      </c>
      <c r="K5" s="8" t="str">
        <f>_xlfn.XLOOKUP(tblFinancials[[#This Row],[AccountKey]],tblAccounts[AccountKey],tblAccounts[FinancialStatement],"")</f>
        <v>Income Statement</v>
      </c>
      <c r="L5" s="8" t="str">
        <f>_xlfn.XLOOKUP(tblFinancials[[#This Row],[AccountKey]],tblAccounts[AccountKey],tblAccounts[AccountCategory],"")</f>
        <v>Revenue</v>
      </c>
      <c r="M5" s="8" t="str">
        <f>_xlfn.XLOOKUP(tblFinancials[[#This Row],[AccountKey]],tblAccounts[AccountKey],tblAccounts[NormalBalance],"")</f>
        <v>Credit</v>
      </c>
      <c r="N5" s="8" t="str">
        <f>_xlfn.XLOOKUP(tblFinancials[[#This Row],[DepartmentKey]],tblDepartments[DepartmentKey],tblDepartments[DepartmentName],"")</f>
        <v>Human Resources</v>
      </c>
      <c r="O5" s="8" t="str">
        <f>_xlfn.XLOOKUP(tblFinancials[[#This Row],[BusinessUnitKey]],tblBusinessUnits[BusinessUnitKey],tblBusinessUnits[BusinessUnitName],"")</f>
        <v xml:space="preserve">Manufacturing </v>
      </c>
      <c r="P5" s="8" t="str">
        <f>_xlfn.XLOOKUP(tblFinancials[[#This Row],[RegionKey]],tblRegions[RegionKey],tblRegions[RegionName],"")</f>
        <v>West</v>
      </c>
    </row>
    <row r="6" spans="1:16">
      <c r="A6">
        <v>20230101</v>
      </c>
      <c r="B6">
        <v>8</v>
      </c>
      <c r="C6">
        <v>3</v>
      </c>
      <c r="D6">
        <v>1</v>
      </c>
      <c r="E6">
        <v>11</v>
      </c>
      <c r="F6" t="s">
        <v>92</v>
      </c>
      <c r="G6">
        <v>25016.45</v>
      </c>
      <c r="H6">
        <f>_xlfn.XLOOKUP(tblFinancials[[#This Row],[DateKey]],tblCalendar[DateKey],tblCalendar[FullDate],"")</f>
        <v>44927</v>
      </c>
      <c r="I6">
        <f>_xlfn.XLOOKUP(tblFinancials[[#This Row],[AccountKey]],tblAccounts[AccountKey],tblAccounts[AccountNumber],"")</f>
        <v>4000</v>
      </c>
      <c r="J6" t="str">
        <f>_xlfn.XLOOKUP(tblFinancials[[#This Row],[AccountKey]],tblAccounts[AccountKey],tblAccounts[AccountName],"")</f>
        <v>Product Revenue</v>
      </c>
      <c r="K6" s="8" t="str">
        <f>_xlfn.XLOOKUP(tblFinancials[[#This Row],[AccountKey]],tblAccounts[AccountKey],tblAccounts[FinancialStatement],"")</f>
        <v>Income Statement</v>
      </c>
      <c r="L6" s="8" t="str">
        <f>_xlfn.XLOOKUP(tblFinancials[[#This Row],[AccountKey]],tblAccounts[AccountKey],tblAccounts[AccountCategory],"")</f>
        <v>Revenue</v>
      </c>
      <c r="M6" s="8" t="str">
        <f>_xlfn.XLOOKUP(tblFinancials[[#This Row],[AccountKey]],tblAccounts[AccountKey],tblAccounts[NormalBalance],"")</f>
        <v>Credit</v>
      </c>
      <c r="N6" s="8" t="str">
        <f>_xlfn.XLOOKUP(tblFinancials[[#This Row],[DepartmentKey]],tblDepartments[DepartmentKey],tblDepartments[DepartmentName],"")</f>
        <v>Customer Service</v>
      </c>
      <c r="O6" s="8" t="str">
        <f>_xlfn.XLOOKUP(tblFinancials[[#This Row],[BusinessUnitKey]],tblBusinessUnits[BusinessUnitKey],tblBusinessUnits[BusinessUnitName],"")</f>
        <v>Retail</v>
      </c>
      <c r="P6" s="8" t="str">
        <f>_xlfn.XLOOKUP(tblFinancials[[#This Row],[RegionKey]],tblRegions[RegionKey],tblRegions[RegionName],"")</f>
        <v>West</v>
      </c>
    </row>
    <row r="7" spans="1:16">
      <c r="A7">
        <v>20230101</v>
      </c>
      <c r="B7">
        <v>3</v>
      </c>
      <c r="C7">
        <v>3</v>
      </c>
      <c r="D7">
        <v>2</v>
      </c>
      <c r="E7">
        <v>13</v>
      </c>
      <c r="F7" t="s">
        <v>92</v>
      </c>
      <c r="G7">
        <v>25695.69</v>
      </c>
      <c r="H7">
        <f>_xlfn.XLOOKUP(tblFinancials[[#This Row],[DateKey]],tblCalendar[DateKey],tblCalendar[FullDate],"")</f>
        <v>44927</v>
      </c>
      <c r="I7">
        <f>_xlfn.XLOOKUP(tblFinancials[[#This Row],[AccountKey]],tblAccounts[AccountKey],tblAccounts[AccountNumber],"")</f>
        <v>4020</v>
      </c>
      <c r="J7" t="str">
        <f>_xlfn.XLOOKUP(tblFinancials[[#This Row],[AccountKey]],tblAccounts[AccountKey],tblAccounts[AccountName],"")</f>
        <v>Online Revenue</v>
      </c>
      <c r="K7" s="8" t="str">
        <f>_xlfn.XLOOKUP(tblFinancials[[#This Row],[AccountKey]],tblAccounts[AccountKey],tblAccounts[FinancialStatement],"")</f>
        <v>Income Statement</v>
      </c>
      <c r="L7" s="8" t="str">
        <f>_xlfn.XLOOKUP(tblFinancials[[#This Row],[AccountKey]],tblAccounts[AccountKey],tblAccounts[AccountCategory],"")</f>
        <v>Revenue</v>
      </c>
      <c r="M7" s="8" t="str">
        <f>_xlfn.XLOOKUP(tblFinancials[[#This Row],[AccountKey]],tblAccounts[AccountKey],tblAccounts[NormalBalance],"")</f>
        <v>Credit</v>
      </c>
      <c r="N7" s="8" t="str">
        <f>_xlfn.XLOOKUP(tblFinancials[[#This Row],[DepartmentKey]],tblDepartments[DepartmentKey],tblDepartments[DepartmentName],"")</f>
        <v>Human Resources</v>
      </c>
      <c r="O7" s="8" t="str">
        <f>_xlfn.XLOOKUP(tblFinancials[[#This Row],[BusinessUnitKey]],tblBusinessUnits[BusinessUnitKey],tblBusinessUnits[BusinessUnitName],"")</f>
        <v>Retail</v>
      </c>
      <c r="P7" s="8" t="str">
        <f>_xlfn.XLOOKUP(tblFinancials[[#This Row],[RegionKey]],tblRegions[RegionKey],tblRegions[RegionName],"")</f>
        <v>Midwest</v>
      </c>
    </row>
    <row r="8" spans="1:16">
      <c r="A8">
        <v>20230101</v>
      </c>
      <c r="B8">
        <v>5</v>
      </c>
      <c r="C8">
        <v>2</v>
      </c>
      <c r="D8">
        <v>4</v>
      </c>
      <c r="E8">
        <v>13</v>
      </c>
      <c r="F8" t="s">
        <v>92</v>
      </c>
      <c r="G8">
        <v>26476.68</v>
      </c>
      <c r="H8">
        <f>_xlfn.XLOOKUP(tblFinancials[[#This Row],[DateKey]],tblCalendar[DateKey],tblCalendar[FullDate],"")</f>
        <v>44927</v>
      </c>
      <c r="I8">
        <f>_xlfn.XLOOKUP(tblFinancials[[#This Row],[AccountKey]],tblAccounts[AccountKey],tblAccounts[AccountNumber],"")</f>
        <v>4020</v>
      </c>
      <c r="J8" t="str">
        <f>_xlfn.XLOOKUP(tblFinancials[[#This Row],[AccountKey]],tblAccounts[AccountKey],tblAccounts[AccountName],"")</f>
        <v>Online Revenue</v>
      </c>
      <c r="K8" s="8" t="str">
        <f>_xlfn.XLOOKUP(tblFinancials[[#This Row],[AccountKey]],tblAccounts[AccountKey],tblAccounts[FinancialStatement],"")</f>
        <v>Income Statement</v>
      </c>
      <c r="L8" s="8" t="str">
        <f>_xlfn.XLOOKUP(tblFinancials[[#This Row],[AccountKey]],tblAccounts[AccountKey],tblAccounts[AccountCategory],"")</f>
        <v>Revenue</v>
      </c>
      <c r="M8" s="8" t="str">
        <f>_xlfn.XLOOKUP(tblFinancials[[#This Row],[AccountKey]],tblAccounts[AccountKey],tblAccounts[NormalBalance],"")</f>
        <v>Credit</v>
      </c>
      <c r="N8" s="8" t="str">
        <f>_xlfn.XLOOKUP(tblFinancials[[#This Row],[DepartmentKey]],tblDepartments[DepartmentKey],tblDepartments[DepartmentName],"")</f>
        <v>Marketing</v>
      </c>
      <c r="O8" s="8" t="str">
        <f>_xlfn.XLOOKUP(tblFinancials[[#This Row],[BusinessUnitKey]],tblBusinessUnits[BusinessUnitKey],tblBusinessUnits[BusinessUnitName],"")</f>
        <v>Wholesale</v>
      </c>
      <c r="P8" s="8" t="str">
        <f>_xlfn.XLOOKUP(tblFinancials[[#This Row],[RegionKey]],tblRegions[RegionKey],tblRegions[RegionName],"")</f>
        <v>East</v>
      </c>
    </row>
    <row r="9" spans="1:16">
      <c r="A9">
        <v>20230101</v>
      </c>
      <c r="B9">
        <v>6</v>
      </c>
      <c r="C9">
        <v>4</v>
      </c>
      <c r="D9">
        <v>3</v>
      </c>
      <c r="E9">
        <v>11</v>
      </c>
      <c r="F9" t="s">
        <v>92</v>
      </c>
      <c r="G9">
        <v>24155.29</v>
      </c>
      <c r="H9">
        <f>_xlfn.XLOOKUP(tblFinancials[[#This Row],[DateKey]],tblCalendar[DateKey],tblCalendar[FullDate],"")</f>
        <v>44927</v>
      </c>
      <c r="I9">
        <f>_xlfn.XLOOKUP(tblFinancials[[#This Row],[AccountKey]],tblAccounts[AccountKey],tblAccounts[AccountNumber],"")</f>
        <v>4000</v>
      </c>
      <c r="J9" t="str">
        <f>_xlfn.XLOOKUP(tblFinancials[[#This Row],[AccountKey]],tblAccounts[AccountKey],tblAccounts[AccountName],"")</f>
        <v>Product Revenue</v>
      </c>
      <c r="K9" s="8" t="str">
        <f>_xlfn.XLOOKUP(tblFinancials[[#This Row],[AccountKey]],tblAccounts[AccountKey],tblAccounts[FinancialStatement],"")</f>
        <v>Income Statement</v>
      </c>
      <c r="L9" s="8" t="str">
        <f>_xlfn.XLOOKUP(tblFinancials[[#This Row],[AccountKey]],tblAccounts[AccountKey],tblAccounts[AccountCategory],"")</f>
        <v>Revenue</v>
      </c>
      <c r="M9" s="8" t="str">
        <f>_xlfn.XLOOKUP(tblFinancials[[#This Row],[AccountKey]],tblAccounts[AccountKey],tblAccounts[NormalBalance],"")</f>
        <v>Credit</v>
      </c>
      <c r="N9" s="8" t="str">
        <f>_xlfn.XLOOKUP(tblFinancials[[#This Row],[DepartmentKey]],tblDepartments[DepartmentKey],tblDepartments[DepartmentName],"")</f>
        <v>Operations</v>
      </c>
      <c r="O9" s="8" t="str">
        <f>_xlfn.XLOOKUP(tblFinancials[[#This Row],[BusinessUnitKey]],tblBusinessUnits[BusinessUnitKey],tblBusinessUnits[BusinessUnitName],"")</f>
        <v>E-Commerce</v>
      </c>
      <c r="P9" s="8" t="str">
        <f>_xlfn.XLOOKUP(tblFinancials[[#This Row],[RegionKey]],tblRegions[RegionKey],tblRegions[RegionName],"")</f>
        <v>South</v>
      </c>
    </row>
    <row r="10" spans="1:16">
      <c r="A10">
        <v>20230101</v>
      </c>
      <c r="B10">
        <v>7</v>
      </c>
      <c r="C10">
        <v>3</v>
      </c>
      <c r="D10">
        <v>2</v>
      </c>
      <c r="E10">
        <v>11</v>
      </c>
      <c r="F10" t="s">
        <v>92</v>
      </c>
      <c r="G10">
        <v>24350.19</v>
      </c>
      <c r="H10">
        <f>_xlfn.XLOOKUP(tblFinancials[[#This Row],[DateKey]],tblCalendar[DateKey],tblCalendar[FullDate],"")</f>
        <v>44927</v>
      </c>
      <c r="I10">
        <f>_xlfn.XLOOKUP(tblFinancials[[#This Row],[AccountKey]],tblAccounts[AccountKey],tblAccounts[AccountNumber],"")</f>
        <v>4000</v>
      </c>
      <c r="J10" t="str">
        <f>_xlfn.XLOOKUP(tblFinancials[[#This Row],[AccountKey]],tblAccounts[AccountKey],tblAccounts[AccountName],"")</f>
        <v>Product Revenue</v>
      </c>
      <c r="K10" s="8" t="str">
        <f>_xlfn.XLOOKUP(tblFinancials[[#This Row],[AccountKey]],tblAccounts[AccountKey],tblAccounts[FinancialStatement],"")</f>
        <v>Income Statement</v>
      </c>
      <c r="L10" s="8" t="str">
        <f>_xlfn.XLOOKUP(tblFinancials[[#This Row],[AccountKey]],tblAccounts[AccountKey],tblAccounts[AccountCategory],"")</f>
        <v>Revenue</v>
      </c>
      <c r="M10" s="8" t="str">
        <f>_xlfn.XLOOKUP(tblFinancials[[#This Row],[AccountKey]],tblAccounts[AccountKey],tblAccounts[NormalBalance],"")</f>
        <v>Credit</v>
      </c>
      <c r="N10" s="8" t="str">
        <f>_xlfn.XLOOKUP(tblFinancials[[#This Row],[DepartmentKey]],tblDepartments[DepartmentKey],tblDepartments[DepartmentName],"")</f>
        <v>Information Technology</v>
      </c>
      <c r="O10" s="8" t="str">
        <f>_xlfn.XLOOKUP(tblFinancials[[#This Row],[BusinessUnitKey]],tblBusinessUnits[BusinessUnitKey],tblBusinessUnits[BusinessUnitName],"")</f>
        <v>Retail</v>
      </c>
      <c r="P10" s="8" t="str">
        <f>_xlfn.XLOOKUP(tblFinancials[[#This Row],[RegionKey]],tblRegions[RegionKey],tblRegions[RegionName],"")</f>
        <v>Midwest</v>
      </c>
    </row>
    <row r="11" spans="1:16">
      <c r="A11">
        <v>20230101</v>
      </c>
      <c r="B11">
        <v>2</v>
      </c>
      <c r="C11">
        <v>4</v>
      </c>
      <c r="D11">
        <v>2</v>
      </c>
      <c r="E11">
        <v>11</v>
      </c>
      <c r="F11" t="s">
        <v>92</v>
      </c>
      <c r="G11">
        <v>26247.62</v>
      </c>
      <c r="H11">
        <f>_xlfn.XLOOKUP(tblFinancials[[#This Row],[DateKey]],tblCalendar[DateKey],tblCalendar[FullDate],"")</f>
        <v>44927</v>
      </c>
      <c r="I11">
        <f>_xlfn.XLOOKUP(tblFinancials[[#This Row],[AccountKey]],tblAccounts[AccountKey],tblAccounts[AccountNumber],"")</f>
        <v>4000</v>
      </c>
      <c r="J11" t="str">
        <f>_xlfn.XLOOKUP(tblFinancials[[#This Row],[AccountKey]],tblAccounts[AccountKey],tblAccounts[AccountName],"")</f>
        <v>Product Revenue</v>
      </c>
      <c r="K11" s="8" t="str">
        <f>_xlfn.XLOOKUP(tblFinancials[[#This Row],[AccountKey]],tblAccounts[AccountKey],tblAccounts[FinancialStatement],"")</f>
        <v>Income Statement</v>
      </c>
      <c r="L11" s="8" t="str">
        <f>_xlfn.XLOOKUP(tblFinancials[[#This Row],[AccountKey]],tblAccounts[AccountKey],tblAccounts[AccountCategory],"")</f>
        <v>Revenue</v>
      </c>
      <c r="M11" s="8" t="str">
        <f>_xlfn.XLOOKUP(tblFinancials[[#This Row],[AccountKey]],tblAccounts[AccountKey],tblAccounts[NormalBalance],"")</f>
        <v>Credit</v>
      </c>
      <c r="N11" s="8" t="str">
        <f>_xlfn.XLOOKUP(tblFinancials[[#This Row],[DepartmentKey]],tblDepartments[DepartmentKey],tblDepartments[DepartmentName],"")</f>
        <v>Finance</v>
      </c>
      <c r="O11" s="8" t="str">
        <f>_xlfn.XLOOKUP(tblFinancials[[#This Row],[BusinessUnitKey]],tblBusinessUnits[BusinessUnitKey],tblBusinessUnits[BusinessUnitName],"")</f>
        <v>E-Commerce</v>
      </c>
      <c r="P11" s="8" t="str">
        <f>_xlfn.XLOOKUP(tblFinancials[[#This Row],[RegionKey]],tblRegions[RegionKey],tblRegions[RegionName],"")</f>
        <v>Midwest</v>
      </c>
    </row>
    <row r="12" spans="1:16">
      <c r="A12">
        <v>20230101</v>
      </c>
      <c r="B12">
        <v>6</v>
      </c>
      <c r="C12">
        <v>2</v>
      </c>
      <c r="D12">
        <v>2</v>
      </c>
      <c r="E12">
        <v>11</v>
      </c>
      <c r="F12" t="s">
        <v>92</v>
      </c>
      <c r="G12">
        <v>25929.8</v>
      </c>
      <c r="H12">
        <f>_xlfn.XLOOKUP(tblFinancials[[#This Row],[DateKey]],tblCalendar[DateKey],tblCalendar[FullDate],"")</f>
        <v>44927</v>
      </c>
      <c r="I12">
        <f>_xlfn.XLOOKUP(tblFinancials[[#This Row],[AccountKey]],tblAccounts[AccountKey],tblAccounts[AccountNumber],"")</f>
        <v>4000</v>
      </c>
      <c r="J12" t="str">
        <f>_xlfn.XLOOKUP(tblFinancials[[#This Row],[AccountKey]],tblAccounts[AccountKey],tblAccounts[AccountName],"")</f>
        <v>Product Revenue</v>
      </c>
      <c r="K12" s="8" t="str">
        <f>_xlfn.XLOOKUP(tblFinancials[[#This Row],[AccountKey]],tblAccounts[AccountKey],tblAccounts[FinancialStatement],"")</f>
        <v>Income Statement</v>
      </c>
      <c r="L12" s="8" t="str">
        <f>_xlfn.XLOOKUP(tblFinancials[[#This Row],[AccountKey]],tblAccounts[AccountKey],tblAccounts[AccountCategory],"")</f>
        <v>Revenue</v>
      </c>
      <c r="M12" s="8" t="str">
        <f>_xlfn.XLOOKUP(tblFinancials[[#This Row],[AccountKey]],tblAccounts[AccountKey],tblAccounts[NormalBalance],"")</f>
        <v>Credit</v>
      </c>
      <c r="N12" s="8" t="str">
        <f>_xlfn.XLOOKUP(tblFinancials[[#This Row],[DepartmentKey]],tblDepartments[DepartmentKey],tblDepartments[DepartmentName],"")</f>
        <v>Operations</v>
      </c>
      <c r="O12" s="8" t="str">
        <f>_xlfn.XLOOKUP(tblFinancials[[#This Row],[BusinessUnitKey]],tblBusinessUnits[BusinessUnitKey],tblBusinessUnits[BusinessUnitName],"")</f>
        <v>Wholesale</v>
      </c>
      <c r="P12" s="8" t="str">
        <f>_xlfn.XLOOKUP(tblFinancials[[#This Row],[RegionKey]],tblRegions[RegionKey],tblRegions[RegionName],"")</f>
        <v>Midwest</v>
      </c>
    </row>
    <row r="13" spans="1:16">
      <c r="A13">
        <v>20230101</v>
      </c>
      <c r="B13">
        <v>2</v>
      </c>
      <c r="C13">
        <v>4</v>
      </c>
      <c r="D13">
        <v>1</v>
      </c>
      <c r="E13">
        <v>13</v>
      </c>
      <c r="F13" t="s">
        <v>92</v>
      </c>
      <c r="G13">
        <v>27088.81</v>
      </c>
      <c r="H13">
        <f>_xlfn.XLOOKUP(tblFinancials[[#This Row],[DateKey]],tblCalendar[DateKey],tblCalendar[FullDate],"")</f>
        <v>44927</v>
      </c>
      <c r="I13">
        <f>_xlfn.XLOOKUP(tblFinancials[[#This Row],[AccountKey]],tblAccounts[AccountKey],tblAccounts[AccountNumber],"")</f>
        <v>4020</v>
      </c>
      <c r="J13" t="str">
        <f>_xlfn.XLOOKUP(tblFinancials[[#This Row],[AccountKey]],tblAccounts[AccountKey],tblAccounts[AccountName],"")</f>
        <v>Online Revenue</v>
      </c>
      <c r="K13" s="8" t="str">
        <f>_xlfn.XLOOKUP(tblFinancials[[#This Row],[AccountKey]],tblAccounts[AccountKey],tblAccounts[FinancialStatement],"")</f>
        <v>Income Statement</v>
      </c>
      <c r="L13" s="8" t="str">
        <f>_xlfn.XLOOKUP(tblFinancials[[#This Row],[AccountKey]],tblAccounts[AccountKey],tblAccounts[AccountCategory],"")</f>
        <v>Revenue</v>
      </c>
      <c r="M13" s="8" t="str">
        <f>_xlfn.XLOOKUP(tblFinancials[[#This Row],[AccountKey]],tblAccounts[AccountKey],tblAccounts[NormalBalance],"")</f>
        <v>Credit</v>
      </c>
      <c r="N13" s="8" t="str">
        <f>_xlfn.XLOOKUP(tblFinancials[[#This Row],[DepartmentKey]],tblDepartments[DepartmentKey],tblDepartments[DepartmentName],"")</f>
        <v>Finance</v>
      </c>
      <c r="O13" s="8" t="str">
        <f>_xlfn.XLOOKUP(tblFinancials[[#This Row],[BusinessUnitKey]],tblBusinessUnits[BusinessUnitKey],tblBusinessUnits[BusinessUnitName],"")</f>
        <v>E-Commerce</v>
      </c>
      <c r="P13" s="8" t="str">
        <f>_xlfn.XLOOKUP(tblFinancials[[#This Row],[RegionKey]],tblRegions[RegionKey],tblRegions[RegionName],"")</f>
        <v>West</v>
      </c>
    </row>
    <row r="14" spans="1:16">
      <c r="A14">
        <v>20230101</v>
      </c>
      <c r="B14">
        <v>3</v>
      </c>
      <c r="C14">
        <v>4</v>
      </c>
      <c r="D14">
        <v>1</v>
      </c>
      <c r="E14">
        <v>14</v>
      </c>
      <c r="F14" t="s">
        <v>92</v>
      </c>
      <c r="G14">
        <v>-14709.2</v>
      </c>
      <c r="H14">
        <f>_xlfn.XLOOKUP(tblFinancials[[#This Row],[DateKey]],tblCalendar[DateKey],tblCalendar[FullDate],"")</f>
        <v>44927</v>
      </c>
      <c r="I14">
        <f>_xlfn.XLOOKUP(tblFinancials[[#This Row],[AccountKey]],tblAccounts[AccountKey],tblAccounts[AccountNumber],"")</f>
        <v>5000</v>
      </c>
      <c r="J14" t="str">
        <f>_xlfn.XLOOKUP(tblFinancials[[#This Row],[AccountKey]],tblAccounts[AccountKey],tblAccounts[AccountName],"")</f>
        <v>Cost of Goods Sold</v>
      </c>
      <c r="K14" s="8" t="str">
        <f>_xlfn.XLOOKUP(tblFinancials[[#This Row],[AccountKey]],tblAccounts[AccountKey],tblAccounts[FinancialStatement],"")</f>
        <v>Income Statement</v>
      </c>
      <c r="L14" s="8" t="str">
        <f>_xlfn.XLOOKUP(tblFinancials[[#This Row],[AccountKey]],tblAccounts[AccountKey],tblAccounts[AccountCategory],"")</f>
        <v>Cost of Sales</v>
      </c>
      <c r="M14" s="8" t="str">
        <f>_xlfn.XLOOKUP(tblFinancials[[#This Row],[AccountKey]],tblAccounts[AccountKey],tblAccounts[NormalBalance],"")</f>
        <v>Debit</v>
      </c>
      <c r="N14" s="8" t="str">
        <f>_xlfn.XLOOKUP(tblFinancials[[#This Row],[DepartmentKey]],tblDepartments[DepartmentKey],tblDepartments[DepartmentName],"")</f>
        <v>Human Resources</v>
      </c>
      <c r="O14" s="8" t="str">
        <f>_xlfn.XLOOKUP(tblFinancials[[#This Row],[BusinessUnitKey]],tblBusinessUnits[BusinessUnitKey],tblBusinessUnits[BusinessUnitName],"")</f>
        <v>E-Commerce</v>
      </c>
      <c r="P14" s="8" t="str">
        <f>_xlfn.XLOOKUP(tblFinancials[[#This Row],[RegionKey]],tblRegions[RegionKey],tblRegions[RegionName],"")</f>
        <v>West</v>
      </c>
    </row>
    <row r="15" spans="1:16">
      <c r="A15">
        <v>20230101</v>
      </c>
      <c r="B15">
        <v>3</v>
      </c>
      <c r="C15">
        <v>2</v>
      </c>
      <c r="D15">
        <v>4</v>
      </c>
      <c r="E15">
        <v>14</v>
      </c>
      <c r="F15" t="s">
        <v>92</v>
      </c>
      <c r="G15">
        <v>-15068.49</v>
      </c>
      <c r="H15">
        <f>_xlfn.XLOOKUP(tblFinancials[[#This Row],[DateKey]],tblCalendar[DateKey],tblCalendar[FullDate],"")</f>
        <v>44927</v>
      </c>
      <c r="I15">
        <f>_xlfn.XLOOKUP(tblFinancials[[#This Row],[AccountKey]],tblAccounts[AccountKey],tblAccounts[AccountNumber],"")</f>
        <v>5000</v>
      </c>
      <c r="J15" t="str">
        <f>_xlfn.XLOOKUP(tblFinancials[[#This Row],[AccountKey]],tblAccounts[AccountKey],tblAccounts[AccountName],"")</f>
        <v>Cost of Goods Sold</v>
      </c>
      <c r="K15" s="8" t="str">
        <f>_xlfn.XLOOKUP(tblFinancials[[#This Row],[AccountKey]],tblAccounts[AccountKey],tblAccounts[FinancialStatement],"")</f>
        <v>Income Statement</v>
      </c>
      <c r="L15" s="8" t="str">
        <f>_xlfn.XLOOKUP(tblFinancials[[#This Row],[AccountKey]],tblAccounts[AccountKey],tblAccounts[AccountCategory],"")</f>
        <v>Cost of Sales</v>
      </c>
      <c r="M15" s="8" t="str">
        <f>_xlfn.XLOOKUP(tblFinancials[[#This Row],[AccountKey]],tblAccounts[AccountKey],tblAccounts[NormalBalance],"")</f>
        <v>Debit</v>
      </c>
      <c r="N15" s="8" t="str">
        <f>_xlfn.XLOOKUP(tblFinancials[[#This Row],[DepartmentKey]],tblDepartments[DepartmentKey],tblDepartments[DepartmentName],"")</f>
        <v>Human Resources</v>
      </c>
      <c r="O15" s="8" t="str">
        <f>_xlfn.XLOOKUP(tblFinancials[[#This Row],[BusinessUnitKey]],tblBusinessUnits[BusinessUnitKey],tblBusinessUnits[BusinessUnitName],"")</f>
        <v>Wholesale</v>
      </c>
      <c r="P15" s="8" t="str">
        <f>_xlfn.XLOOKUP(tblFinancials[[#This Row],[RegionKey]],tblRegions[RegionKey],tblRegions[RegionName],"")</f>
        <v>East</v>
      </c>
    </row>
    <row r="16" spans="1:16">
      <c r="A16">
        <v>20230101</v>
      </c>
      <c r="B16">
        <v>8</v>
      </c>
      <c r="C16">
        <v>2</v>
      </c>
      <c r="D16">
        <v>4</v>
      </c>
      <c r="E16">
        <v>14</v>
      </c>
      <c r="F16" t="s">
        <v>92</v>
      </c>
      <c r="G16">
        <v>-14933.17</v>
      </c>
      <c r="H16">
        <f>_xlfn.XLOOKUP(tblFinancials[[#This Row],[DateKey]],tblCalendar[DateKey],tblCalendar[FullDate],"")</f>
        <v>44927</v>
      </c>
      <c r="I16">
        <f>_xlfn.XLOOKUP(tblFinancials[[#This Row],[AccountKey]],tblAccounts[AccountKey],tblAccounts[AccountNumber],"")</f>
        <v>5000</v>
      </c>
      <c r="J16" t="str">
        <f>_xlfn.XLOOKUP(tblFinancials[[#This Row],[AccountKey]],tblAccounts[AccountKey],tblAccounts[AccountName],"")</f>
        <v>Cost of Goods Sold</v>
      </c>
      <c r="K16" s="8" t="str">
        <f>_xlfn.XLOOKUP(tblFinancials[[#This Row],[AccountKey]],tblAccounts[AccountKey],tblAccounts[FinancialStatement],"")</f>
        <v>Income Statement</v>
      </c>
      <c r="L16" s="8" t="str">
        <f>_xlfn.XLOOKUP(tblFinancials[[#This Row],[AccountKey]],tblAccounts[AccountKey],tblAccounts[AccountCategory],"")</f>
        <v>Cost of Sales</v>
      </c>
      <c r="M16" s="8" t="str">
        <f>_xlfn.XLOOKUP(tblFinancials[[#This Row],[AccountKey]],tblAccounts[AccountKey],tblAccounts[NormalBalance],"")</f>
        <v>Debit</v>
      </c>
      <c r="N16" s="8" t="str">
        <f>_xlfn.XLOOKUP(tblFinancials[[#This Row],[DepartmentKey]],tblDepartments[DepartmentKey],tblDepartments[DepartmentName],"")</f>
        <v>Customer Service</v>
      </c>
      <c r="O16" s="8" t="str">
        <f>_xlfn.XLOOKUP(tblFinancials[[#This Row],[BusinessUnitKey]],tblBusinessUnits[BusinessUnitKey],tblBusinessUnits[BusinessUnitName],"")</f>
        <v>Wholesale</v>
      </c>
      <c r="P16" s="8" t="str">
        <f>_xlfn.XLOOKUP(tblFinancials[[#This Row],[RegionKey]],tblRegions[RegionKey],tblRegions[RegionName],"")</f>
        <v>East</v>
      </c>
    </row>
    <row r="17" spans="1:16">
      <c r="A17">
        <v>20230101</v>
      </c>
      <c r="B17">
        <v>8</v>
      </c>
      <c r="C17">
        <v>3</v>
      </c>
      <c r="D17">
        <v>1</v>
      </c>
      <c r="E17">
        <v>14</v>
      </c>
      <c r="F17" t="s">
        <v>92</v>
      </c>
      <c r="G17">
        <v>-13967.97</v>
      </c>
      <c r="H17">
        <f>_xlfn.XLOOKUP(tblFinancials[[#This Row],[DateKey]],tblCalendar[DateKey],tblCalendar[FullDate],"")</f>
        <v>44927</v>
      </c>
      <c r="I17">
        <f>_xlfn.XLOOKUP(tblFinancials[[#This Row],[AccountKey]],tblAccounts[AccountKey],tblAccounts[AccountNumber],"")</f>
        <v>5000</v>
      </c>
      <c r="J17" t="str">
        <f>_xlfn.XLOOKUP(tblFinancials[[#This Row],[AccountKey]],tblAccounts[AccountKey],tblAccounts[AccountName],"")</f>
        <v>Cost of Goods Sold</v>
      </c>
      <c r="K17" s="8" t="str">
        <f>_xlfn.XLOOKUP(tblFinancials[[#This Row],[AccountKey]],tblAccounts[AccountKey],tblAccounts[FinancialStatement],"")</f>
        <v>Income Statement</v>
      </c>
      <c r="L17" s="8" t="str">
        <f>_xlfn.XLOOKUP(tblFinancials[[#This Row],[AccountKey]],tblAccounts[AccountKey],tblAccounts[AccountCategory],"")</f>
        <v>Cost of Sales</v>
      </c>
      <c r="M17" s="8" t="str">
        <f>_xlfn.XLOOKUP(tblFinancials[[#This Row],[AccountKey]],tblAccounts[AccountKey],tblAccounts[NormalBalance],"")</f>
        <v>Debit</v>
      </c>
      <c r="N17" s="8" t="str">
        <f>_xlfn.XLOOKUP(tblFinancials[[#This Row],[DepartmentKey]],tblDepartments[DepartmentKey],tblDepartments[DepartmentName],"")</f>
        <v>Customer Service</v>
      </c>
      <c r="O17" s="8" t="str">
        <f>_xlfn.XLOOKUP(tblFinancials[[#This Row],[BusinessUnitKey]],tblBusinessUnits[BusinessUnitKey],tblBusinessUnits[BusinessUnitName],"")</f>
        <v>Retail</v>
      </c>
      <c r="P17" s="8" t="str">
        <f>_xlfn.XLOOKUP(tblFinancials[[#This Row],[RegionKey]],tblRegions[RegionKey],tblRegions[RegionName],"")</f>
        <v>West</v>
      </c>
    </row>
    <row r="18" spans="1:16">
      <c r="A18">
        <v>20230101</v>
      </c>
      <c r="B18">
        <v>3</v>
      </c>
      <c r="C18">
        <v>4</v>
      </c>
      <c r="D18">
        <v>1</v>
      </c>
      <c r="E18">
        <v>14</v>
      </c>
      <c r="F18" t="s">
        <v>92</v>
      </c>
      <c r="G18">
        <v>-13725.64</v>
      </c>
      <c r="H18">
        <f>_xlfn.XLOOKUP(tblFinancials[[#This Row],[DateKey]],tblCalendar[DateKey],tblCalendar[FullDate],"")</f>
        <v>44927</v>
      </c>
      <c r="I18">
        <f>_xlfn.XLOOKUP(tblFinancials[[#This Row],[AccountKey]],tblAccounts[AccountKey],tblAccounts[AccountNumber],"")</f>
        <v>5000</v>
      </c>
      <c r="J18" t="str">
        <f>_xlfn.XLOOKUP(tblFinancials[[#This Row],[AccountKey]],tblAccounts[AccountKey],tblAccounts[AccountName],"")</f>
        <v>Cost of Goods Sold</v>
      </c>
      <c r="K18" s="8" t="str">
        <f>_xlfn.XLOOKUP(tblFinancials[[#This Row],[AccountKey]],tblAccounts[AccountKey],tblAccounts[FinancialStatement],"")</f>
        <v>Income Statement</v>
      </c>
      <c r="L18" s="8" t="str">
        <f>_xlfn.XLOOKUP(tblFinancials[[#This Row],[AccountKey]],tblAccounts[AccountKey],tblAccounts[AccountCategory],"")</f>
        <v>Cost of Sales</v>
      </c>
      <c r="M18" s="8" t="str">
        <f>_xlfn.XLOOKUP(tblFinancials[[#This Row],[AccountKey]],tblAccounts[AccountKey],tblAccounts[NormalBalance],"")</f>
        <v>Debit</v>
      </c>
      <c r="N18" s="8" t="str">
        <f>_xlfn.XLOOKUP(tblFinancials[[#This Row],[DepartmentKey]],tblDepartments[DepartmentKey],tblDepartments[DepartmentName],"")</f>
        <v>Human Resources</v>
      </c>
      <c r="O18" s="8" t="str">
        <f>_xlfn.XLOOKUP(tblFinancials[[#This Row],[BusinessUnitKey]],tblBusinessUnits[BusinessUnitKey],tblBusinessUnits[BusinessUnitName],"")</f>
        <v>E-Commerce</v>
      </c>
      <c r="P18" s="8" t="str">
        <f>_xlfn.XLOOKUP(tblFinancials[[#This Row],[RegionKey]],tblRegions[RegionKey],tblRegions[RegionName],"")</f>
        <v>West</v>
      </c>
    </row>
    <row r="19" spans="1:16">
      <c r="A19">
        <v>20230101</v>
      </c>
      <c r="B19">
        <v>2</v>
      </c>
      <c r="C19">
        <v>4</v>
      </c>
      <c r="D19">
        <v>4</v>
      </c>
      <c r="E19">
        <v>14</v>
      </c>
      <c r="F19" t="s">
        <v>92</v>
      </c>
      <c r="G19">
        <v>-15577.99</v>
      </c>
      <c r="H19">
        <f>_xlfn.XLOOKUP(tblFinancials[[#This Row],[DateKey]],tblCalendar[DateKey],tblCalendar[FullDate],"")</f>
        <v>44927</v>
      </c>
      <c r="I19">
        <f>_xlfn.XLOOKUP(tblFinancials[[#This Row],[AccountKey]],tblAccounts[AccountKey],tblAccounts[AccountNumber],"")</f>
        <v>5000</v>
      </c>
      <c r="J19" t="str">
        <f>_xlfn.XLOOKUP(tblFinancials[[#This Row],[AccountKey]],tblAccounts[AccountKey],tblAccounts[AccountName],"")</f>
        <v>Cost of Goods Sold</v>
      </c>
      <c r="K19" s="8" t="str">
        <f>_xlfn.XLOOKUP(tblFinancials[[#This Row],[AccountKey]],tblAccounts[AccountKey],tblAccounts[FinancialStatement],"")</f>
        <v>Income Statement</v>
      </c>
      <c r="L19" s="8" t="str">
        <f>_xlfn.XLOOKUP(tblFinancials[[#This Row],[AccountKey]],tblAccounts[AccountKey],tblAccounts[AccountCategory],"")</f>
        <v>Cost of Sales</v>
      </c>
      <c r="M19" s="8" t="str">
        <f>_xlfn.XLOOKUP(tblFinancials[[#This Row],[AccountKey]],tblAccounts[AccountKey],tblAccounts[NormalBalance],"")</f>
        <v>Debit</v>
      </c>
      <c r="N19" s="8" t="str">
        <f>_xlfn.XLOOKUP(tblFinancials[[#This Row],[DepartmentKey]],tblDepartments[DepartmentKey],tblDepartments[DepartmentName],"")</f>
        <v>Finance</v>
      </c>
      <c r="O19" s="8" t="str">
        <f>_xlfn.XLOOKUP(tblFinancials[[#This Row],[BusinessUnitKey]],tblBusinessUnits[BusinessUnitKey],tblBusinessUnits[BusinessUnitName],"")</f>
        <v>E-Commerce</v>
      </c>
      <c r="P19" s="8" t="str">
        <f>_xlfn.XLOOKUP(tblFinancials[[#This Row],[RegionKey]],tblRegions[RegionKey],tblRegions[RegionName],"")</f>
        <v>East</v>
      </c>
    </row>
    <row r="20" spans="1:16">
      <c r="A20">
        <v>20230101</v>
      </c>
      <c r="B20">
        <v>5</v>
      </c>
      <c r="C20">
        <v>3</v>
      </c>
      <c r="D20">
        <v>4</v>
      </c>
      <c r="E20">
        <v>14</v>
      </c>
      <c r="F20" t="s">
        <v>92</v>
      </c>
      <c r="G20">
        <v>-15166.5</v>
      </c>
      <c r="H20">
        <f>_xlfn.XLOOKUP(tblFinancials[[#This Row],[DateKey]],tblCalendar[DateKey],tblCalendar[FullDate],"")</f>
        <v>44927</v>
      </c>
      <c r="I20">
        <f>_xlfn.XLOOKUP(tblFinancials[[#This Row],[AccountKey]],tblAccounts[AccountKey],tblAccounts[AccountNumber],"")</f>
        <v>5000</v>
      </c>
      <c r="J20" t="str">
        <f>_xlfn.XLOOKUP(tblFinancials[[#This Row],[AccountKey]],tblAccounts[AccountKey],tblAccounts[AccountName],"")</f>
        <v>Cost of Goods Sold</v>
      </c>
      <c r="K20" s="8" t="str">
        <f>_xlfn.XLOOKUP(tblFinancials[[#This Row],[AccountKey]],tblAccounts[AccountKey],tblAccounts[FinancialStatement],"")</f>
        <v>Income Statement</v>
      </c>
      <c r="L20" s="8" t="str">
        <f>_xlfn.XLOOKUP(tblFinancials[[#This Row],[AccountKey]],tblAccounts[AccountKey],tblAccounts[AccountCategory],"")</f>
        <v>Cost of Sales</v>
      </c>
      <c r="M20" s="8" t="str">
        <f>_xlfn.XLOOKUP(tblFinancials[[#This Row],[AccountKey]],tblAccounts[AccountKey],tblAccounts[NormalBalance],"")</f>
        <v>Debit</v>
      </c>
      <c r="N20" s="8" t="str">
        <f>_xlfn.XLOOKUP(tblFinancials[[#This Row],[DepartmentKey]],tblDepartments[DepartmentKey],tblDepartments[DepartmentName],"")</f>
        <v>Marketing</v>
      </c>
      <c r="O20" s="8" t="str">
        <f>_xlfn.XLOOKUP(tblFinancials[[#This Row],[BusinessUnitKey]],tblBusinessUnits[BusinessUnitKey],tblBusinessUnits[BusinessUnitName],"")</f>
        <v>Retail</v>
      </c>
      <c r="P20" s="8" t="str">
        <f>_xlfn.XLOOKUP(tblFinancials[[#This Row],[RegionKey]],tblRegions[RegionKey],tblRegions[RegionName],"")</f>
        <v>East</v>
      </c>
    </row>
    <row r="21" spans="1:16">
      <c r="A21">
        <v>20230101</v>
      </c>
      <c r="B21">
        <v>7</v>
      </c>
      <c r="C21">
        <v>4</v>
      </c>
      <c r="D21">
        <v>1</v>
      </c>
      <c r="E21">
        <v>14</v>
      </c>
      <c r="F21" t="s">
        <v>92</v>
      </c>
      <c r="G21">
        <v>-14720.28</v>
      </c>
      <c r="H21">
        <f>_xlfn.XLOOKUP(tblFinancials[[#This Row],[DateKey]],tblCalendar[DateKey],tblCalendar[FullDate],"")</f>
        <v>44927</v>
      </c>
      <c r="I21">
        <f>_xlfn.XLOOKUP(tblFinancials[[#This Row],[AccountKey]],tblAccounts[AccountKey],tblAccounts[AccountNumber],"")</f>
        <v>5000</v>
      </c>
      <c r="J21" t="str">
        <f>_xlfn.XLOOKUP(tblFinancials[[#This Row],[AccountKey]],tblAccounts[AccountKey],tblAccounts[AccountName],"")</f>
        <v>Cost of Goods Sold</v>
      </c>
      <c r="K21" s="8" t="str">
        <f>_xlfn.XLOOKUP(tblFinancials[[#This Row],[AccountKey]],tblAccounts[AccountKey],tblAccounts[FinancialStatement],"")</f>
        <v>Income Statement</v>
      </c>
      <c r="L21" s="8" t="str">
        <f>_xlfn.XLOOKUP(tblFinancials[[#This Row],[AccountKey]],tblAccounts[AccountKey],tblAccounts[AccountCategory],"")</f>
        <v>Cost of Sales</v>
      </c>
      <c r="M21" s="8" t="str">
        <f>_xlfn.XLOOKUP(tblFinancials[[#This Row],[AccountKey]],tblAccounts[AccountKey],tblAccounts[NormalBalance],"")</f>
        <v>Debit</v>
      </c>
      <c r="N21" s="8" t="str">
        <f>_xlfn.XLOOKUP(tblFinancials[[#This Row],[DepartmentKey]],tblDepartments[DepartmentKey],tblDepartments[DepartmentName],"")</f>
        <v>Information Technology</v>
      </c>
      <c r="O21" s="8" t="str">
        <f>_xlfn.XLOOKUP(tblFinancials[[#This Row],[BusinessUnitKey]],tblBusinessUnits[BusinessUnitKey],tblBusinessUnits[BusinessUnitName],"")</f>
        <v>E-Commerce</v>
      </c>
      <c r="P21" s="8" t="str">
        <f>_xlfn.XLOOKUP(tblFinancials[[#This Row],[RegionKey]],tblRegions[RegionKey],tblRegions[RegionName],"")</f>
        <v>West</v>
      </c>
    </row>
    <row r="22" spans="1:16">
      <c r="A22">
        <v>20230101</v>
      </c>
      <c r="B22">
        <v>8</v>
      </c>
      <c r="C22">
        <v>3</v>
      </c>
      <c r="D22">
        <v>2</v>
      </c>
      <c r="E22">
        <v>14</v>
      </c>
      <c r="F22" t="s">
        <v>92</v>
      </c>
      <c r="G22">
        <v>-14476.52</v>
      </c>
      <c r="H22">
        <f>_xlfn.XLOOKUP(tblFinancials[[#This Row],[DateKey]],tblCalendar[DateKey],tblCalendar[FullDate],"")</f>
        <v>44927</v>
      </c>
      <c r="I22">
        <f>_xlfn.XLOOKUP(tblFinancials[[#This Row],[AccountKey]],tblAccounts[AccountKey],tblAccounts[AccountNumber],"")</f>
        <v>5000</v>
      </c>
      <c r="J22" t="str">
        <f>_xlfn.XLOOKUP(tblFinancials[[#This Row],[AccountKey]],tblAccounts[AccountKey],tblAccounts[AccountName],"")</f>
        <v>Cost of Goods Sold</v>
      </c>
      <c r="K22" s="8" t="str">
        <f>_xlfn.XLOOKUP(tblFinancials[[#This Row],[AccountKey]],tblAccounts[AccountKey],tblAccounts[FinancialStatement],"")</f>
        <v>Income Statement</v>
      </c>
      <c r="L22" s="8" t="str">
        <f>_xlfn.XLOOKUP(tblFinancials[[#This Row],[AccountKey]],tblAccounts[AccountKey],tblAccounts[AccountCategory],"")</f>
        <v>Cost of Sales</v>
      </c>
      <c r="M22" s="8" t="str">
        <f>_xlfn.XLOOKUP(tblFinancials[[#This Row],[AccountKey]],tblAccounts[AccountKey],tblAccounts[NormalBalance],"")</f>
        <v>Debit</v>
      </c>
      <c r="N22" s="8" t="str">
        <f>_xlfn.XLOOKUP(tblFinancials[[#This Row],[DepartmentKey]],tblDepartments[DepartmentKey],tblDepartments[DepartmentName],"")</f>
        <v>Customer Service</v>
      </c>
      <c r="O22" s="8" t="str">
        <f>_xlfn.XLOOKUP(tblFinancials[[#This Row],[BusinessUnitKey]],tblBusinessUnits[BusinessUnitKey],tblBusinessUnits[BusinessUnitName],"")</f>
        <v>Retail</v>
      </c>
      <c r="P22" s="8" t="str">
        <f>_xlfn.XLOOKUP(tblFinancials[[#This Row],[RegionKey]],tblRegions[RegionKey],tblRegions[RegionName],"")</f>
        <v>Midwest</v>
      </c>
    </row>
    <row r="23" spans="1:16">
      <c r="A23">
        <v>20230101</v>
      </c>
      <c r="B23">
        <v>2</v>
      </c>
      <c r="C23">
        <v>2</v>
      </c>
      <c r="D23">
        <v>2</v>
      </c>
      <c r="E23">
        <v>14</v>
      </c>
      <c r="F23" t="s">
        <v>92</v>
      </c>
      <c r="G23">
        <v>-15488.78</v>
      </c>
      <c r="H23">
        <f>_xlfn.XLOOKUP(tblFinancials[[#This Row],[DateKey]],tblCalendar[DateKey],tblCalendar[FullDate],"")</f>
        <v>44927</v>
      </c>
      <c r="I23">
        <f>_xlfn.XLOOKUP(tblFinancials[[#This Row],[AccountKey]],tblAccounts[AccountKey],tblAccounts[AccountNumber],"")</f>
        <v>5000</v>
      </c>
      <c r="J23" t="str">
        <f>_xlfn.XLOOKUP(tblFinancials[[#This Row],[AccountKey]],tblAccounts[AccountKey],tblAccounts[AccountName],"")</f>
        <v>Cost of Goods Sold</v>
      </c>
      <c r="K23" s="8" t="str">
        <f>_xlfn.XLOOKUP(tblFinancials[[#This Row],[AccountKey]],tblAccounts[AccountKey],tblAccounts[FinancialStatement],"")</f>
        <v>Income Statement</v>
      </c>
      <c r="L23" s="8" t="str">
        <f>_xlfn.XLOOKUP(tblFinancials[[#This Row],[AccountKey]],tblAccounts[AccountKey],tblAccounts[AccountCategory],"")</f>
        <v>Cost of Sales</v>
      </c>
      <c r="M23" s="8" t="str">
        <f>_xlfn.XLOOKUP(tblFinancials[[#This Row],[AccountKey]],tblAccounts[AccountKey],tblAccounts[NormalBalance],"")</f>
        <v>Debit</v>
      </c>
      <c r="N23" s="8" t="str">
        <f>_xlfn.XLOOKUP(tblFinancials[[#This Row],[DepartmentKey]],tblDepartments[DepartmentKey],tblDepartments[DepartmentName],"")</f>
        <v>Finance</v>
      </c>
      <c r="O23" s="8" t="str">
        <f>_xlfn.XLOOKUP(tblFinancials[[#This Row],[BusinessUnitKey]],tblBusinessUnits[BusinessUnitKey],tblBusinessUnits[BusinessUnitName],"")</f>
        <v>Wholesale</v>
      </c>
      <c r="P23" s="8" t="str">
        <f>_xlfn.XLOOKUP(tblFinancials[[#This Row],[RegionKey]],tblRegions[RegionKey],tblRegions[RegionName],"")</f>
        <v>Midwest</v>
      </c>
    </row>
    <row r="24" spans="1:16">
      <c r="A24">
        <v>20230101</v>
      </c>
      <c r="B24">
        <v>3</v>
      </c>
      <c r="C24">
        <v>1</v>
      </c>
      <c r="D24">
        <v>1</v>
      </c>
      <c r="E24">
        <v>14</v>
      </c>
      <c r="F24" t="s">
        <v>92</v>
      </c>
      <c r="G24">
        <v>-13877.81</v>
      </c>
      <c r="H24">
        <f>_xlfn.XLOOKUP(tblFinancials[[#This Row],[DateKey]],tblCalendar[DateKey],tblCalendar[FullDate],"")</f>
        <v>44927</v>
      </c>
      <c r="I24">
        <f>_xlfn.XLOOKUP(tblFinancials[[#This Row],[AccountKey]],tblAccounts[AccountKey],tblAccounts[AccountNumber],"")</f>
        <v>5000</v>
      </c>
      <c r="J24" t="str">
        <f>_xlfn.XLOOKUP(tblFinancials[[#This Row],[AccountKey]],tblAccounts[AccountKey],tblAccounts[AccountName],"")</f>
        <v>Cost of Goods Sold</v>
      </c>
      <c r="K24" s="8" t="str">
        <f>_xlfn.XLOOKUP(tblFinancials[[#This Row],[AccountKey]],tblAccounts[AccountKey],tblAccounts[FinancialStatement],"")</f>
        <v>Income Statement</v>
      </c>
      <c r="L24" s="8" t="str">
        <f>_xlfn.XLOOKUP(tblFinancials[[#This Row],[AccountKey]],tblAccounts[AccountKey],tblAccounts[AccountCategory],"")</f>
        <v>Cost of Sales</v>
      </c>
      <c r="M24" s="8" t="str">
        <f>_xlfn.XLOOKUP(tblFinancials[[#This Row],[AccountKey]],tblAccounts[AccountKey],tblAccounts[NormalBalance],"")</f>
        <v>Debit</v>
      </c>
      <c r="N24" s="8" t="str">
        <f>_xlfn.XLOOKUP(tblFinancials[[#This Row],[DepartmentKey]],tblDepartments[DepartmentKey],tblDepartments[DepartmentName],"")</f>
        <v>Human Resources</v>
      </c>
      <c r="O24" s="8" t="str">
        <f>_xlfn.XLOOKUP(tblFinancials[[#This Row],[BusinessUnitKey]],tblBusinessUnits[BusinessUnitKey],tblBusinessUnits[BusinessUnitName],"")</f>
        <v xml:space="preserve">Manufacturing </v>
      </c>
      <c r="P24" s="8" t="str">
        <f>_xlfn.XLOOKUP(tblFinancials[[#This Row],[RegionKey]],tblRegions[RegionKey],tblRegions[RegionName],"")</f>
        <v>West</v>
      </c>
    </row>
    <row r="25" spans="1:16">
      <c r="A25">
        <v>20230101</v>
      </c>
      <c r="B25">
        <v>8</v>
      </c>
      <c r="C25">
        <v>1</v>
      </c>
      <c r="D25">
        <v>2</v>
      </c>
      <c r="E25">
        <v>14</v>
      </c>
      <c r="F25" t="s">
        <v>92</v>
      </c>
      <c r="G25">
        <v>-16182.29</v>
      </c>
      <c r="H25">
        <f>_xlfn.XLOOKUP(tblFinancials[[#This Row],[DateKey]],tblCalendar[DateKey],tblCalendar[FullDate],"")</f>
        <v>44927</v>
      </c>
      <c r="I25">
        <f>_xlfn.XLOOKUP(tblFinancials[[#This Row],[AccountKey]],tblAccounts[AccountKey],tblAccounts[AccountNumber],"")</f>
        <v>5000</v>
      </c>
      <c r="J25" t="str">
        <f>_xlfn.XLOOKUP(tblFinancials[[#This Row],[AccountKey]],tblAccounts[AccountKey],tblAccounts[AccountName],"")</f>
        <v>Cost of Goods Sold</v>
      </c>
      <c r="K25" s="8" t="str">
        <f>_xlfn.XLOOKUP(tblFinancials[[#This Row],[AccountKey]],tblAccounts[AccountKey],tblAccounts[FinancialStatement],"")</f>
        <v>Income Statement</v>
      </c>
      <c r="L25" s="8" t="str">
        <f>_xlfn.XLOOKUP(tblFinancials[[#This Row],[AccountKey]],tblAccounts[AccountKey],tblAccounts[AccountCategory],"")</f>
        <v>Cost of Sales</v>
      </c>
      <c r="M25" s="8" t="str">
        <f>_xlfn.XLOOKUP(tblFinancials[[#This Row],[AccountKey]],tblAccounts[AccountKey],tblAccounts[NormalBalance],"")</f>
        <v>Debit</v>
      </c>
      <c r="N25" s="8" t="str">
        <f>_xlfn.XLOOKUP(tblFinancials[[#This Row],[DepartmentKey]],tblDepartments[DepartmentKey],tblDepartments[DepartmentName],"")</f>
        <v>Customer Service</v>
      </c>
      <c r="O25" s="8" t="str">
        <f>_xlfn.XLOOKUP(tblFinancials[[#This Row],[BusinessUnitKey]],tblBusinessUnits[BusinessUnitKey],tblBusinessUnits[BusinessUnitName],"")</f>
        <v xml:space="preserve">Manufacturing </v>
      </c>
      <c r="P25" s="8" t="str">
        <f>_xlfn.XLOOKUP(tblFinancials[[#This Row],[RegionKey]],tblRegions[RegionKey],tblRegions[RegionName],"")</f>
        <v>Midwest</v>
      </c>
    </row>
    <row r="26" spans="1:16">
      <c r="A26">
        <v>20230101</v>
      </c>
      <c r="B26">
        <v>8</v>
      </c>
      <c r="C26">
        <v>1</v>
      </c>
      <c r="D26">
        <v>4</v>
      </c>
      <c r="E26">
        <v>18</v>
      </c>
      <c r="F26" t="s">
        <v>92</v>
      </c>
      <c r="G26">
        <v>-5107.16</v>
      </c>
      <c r="H26">
        <f>_xlfn.XLOOKUP(tblFinancials[[#This Row],[DateKey]],tblCalendar[DateKey],tblCalendar[FullDate],"")</f>
        <v>44927</v>
      </c>
      <c r="I26">
        <f>_xlfn.XLOOKUP(tblFinancials[[#This Row],[AccountKey]],tblAccounts[AccountKey],tblAccounts[AccountNumber],"")</f>
        <v>6200</v>
      </c>
      <c r="J26" t="str">
        <f>_xlfn.XLOOKUP(tblFinancials[[#This Row],[AccountKey]],tblAccounts[AccountKey],tblAccounts[AccountName],"")</f>
        <v>Marketing Expense</v>
      </c>
      <c r="K26" s="8" t="str">
        <f>_xlfn.XLOOKUP(tblFinancials[[#This Row],[AccountKey]],tblAccounts[AccountKey],tblAccounts[FinancialStatement],"")</f>
        <v>Income Statement</v>
      </c>
      <c r="L26" s="8" t="str">
        <f>_xlfn.XLOOKUP(tblFinancials[[#This Row],[AccountKey]],tblAccounts[AccountKey],tblAccounts[AccountCategory],"")</f>
        <v>Operating Expense</v>
      </c>
      <c r="M26" s="8" t="str">
        <f>_xlfn.XLOOKUP(tblFinancials[[#This Row],[AccountKey]],tblAccounts[AccountKey],tblAccounts[NormalBalance],"")</f>
        <v>Debit</v>
      </c>
      <c r="N26" s="8" t="str">
        <f>_xlfn.XLOOKUP(tblFinancials[[#This Row],[DepartmentKey]],tblDepartments[DepartmentKey],tblDepartments[DepartmentName],"")</f>
        <v>Customer Service</v>
      </c>
      <c r="O26" s="8" t="str">
        <f>_xlfn.XLOOKUP(tblFinancials[[#This Row],[BusinessUnitKey]],tblBusinessUnits[BusinessUnitKey],tblBusinessUnits[BusinessUnitName],"")</f>
        <v xml:space="preserve">Manufacturing </v>
      </c>
      <c r="P26" s="8" t="str">
        <f>_xlfn.XLOOKUP(tblFinancials[[#This Row],[RegionKey]],tblRegions[RegionKey],tblRegions[RegionName],"")</f>
        <v>East</v>
      </c>
    </row>
    <row r="27" spans="1:16">
      <c r="A27">
        <v>20230101</v>
      </c>
      <c r="B27">
        <v>5</v>
      </c>
      <c r="C27">
        <v>4</v>
      </c>
      <c r="D27">
        <v>3</v>
      </c>
      <c r="E27">
        <v>22</v>
      </c>
      <c r="F27" t="s">
        <v>92</v>
      </c>
      <c r="G27">
        <v>-4874.09</v>
      </c>
      <c r="H27">
        <f>_xlfn.XLOOKUP(tblFinancials[[#This Row],[DateKey]],tblCalendar[DateKey],tblCalendar[FullDate],"")</f>
        <v>44927</v>
      </c>
      <c r="I27">
        <f>_xlfn.XLOOKUP(tblFinancials[[#This Row],[AccountKey]],tblAccounts[AccountKey],tblAccounts[AccountNumber],"")</f>
        <v>6700</v>
      </c>
      <c r="J27" t="str">
        <f>_xlfn.XLOOKUP(tblFinancials[[#This Row],[AccountKey]],tblAccounts[AccountKey],tblAccounts[AccountName],"")</f>
        <v>Insurance Expense</v>
      </c>
      <c r="K27" s="8" t="str">
        <f>_xlfn.XLOOKUP(tblFinancials[[#This Row],[AccountKey]],tblAccounts[AccountKey],tblAccounts[FinancialStatement],"")</f>
        <v>Income Statement</v>
      </c>
      <c r="L27" s="8" t="str">
        <f>_xlfn.XLOOKUP(tblFinancials[[#This Row],[AccountKey]],tblAccounts[AccountKey],tblAccounts[AccountCategory],"")</f>
        <v>Operating Expense</v>
      </c>
      <c r="M27" s="8" t="str">
        <f>_xlfn.XLOOKUP(tblFinancials[[#This Row],[AccountKey]],tblAccounts[AccountKey],tblAccounts[NormalBalance],"")</f>
        <v>Debit</v>
      </c>
      <c r="N27" s="8" t="str">
        <f>_xlfn.XLOOKUP(tblFinancials[[#This Row],[DepartmentKey]],tblDepartments[DepartmentKey],tblDepartments[DepartmentName],"")</f>
        <v>Marketing</v>
      </c>
      <c r="O27" s="8" t="str">
        <f>_xlfn.XLOOKUP(tblFinancials[[#This Row],[BusinessUnitKey]],tblBusinessUnits[BusinessUnitKey],tblBusinessUnits[BusinessUnitName],"")</f>
        <v>E-Commerce</v>
      </c>
      <c r="P27" s="8" t="str">
        <f>_xlfn.XLOOKUP(tblFinancials[[#This Row],[RegionKey]],tblRegions[RegionKey],tblRegions[RegionName],"")</f>
        <v>South</v>
      </c>
    </row>
    <row r="28" spans="1:16">
      <c r="A28">
        <v>20230101</v>
      </c>
      <c r="B28">
        <v>4</v>
      </c>
      <c r="C28">
        <v>3</v>
      </c>
      <c r="D28">
        <v>2</v>
      </c>
      <c r="E28">
        <v>22</v>
      </c>
      <c r="F28" t="s">
        <v>92</v>
      </c>
      <c r="G28">
        <v>-6804.48</v>
      </c>
      <c r="H28">
        <f>_xlfn.XLOOKUP(tblFinancials[[#This Row],[DateKey]],tblCalendar[DateKey],tblCalendar[FullDate],"")</f>
        <v>44927</v>
      </c>
      <c r="I28">
        <f>_xlfn.XLOOKUP(tblFinancials[[#This Row],[AccountKey]],tblAccounts[AccountKey],tblAccounts[AccountNumber],"")</f>
        <v>6700</v>
      </c>
      <c r="J28" t="str">
        <f>_xlfn.XLOOKUP(tblFinancials[[#This Row],[AccountKey]],tblAccounts[AccountKey],tblAccounts[AccountName],"")</f>
        <v>Insurance Expense</v>
      </c>
      <c r="K28" s="8" t="str">
        <f>_xlfn.XLOOKUP(tblFinancials[[#This Row],[AccountKey]],tblAccounts[AccountKey],tblAccounts[FinancialStatement],"")</f>
        <v>Income Statement</v>
      </c>
      <c r="L28" s="8" t="str">
        <f>_xlfn.XLOOKUP(tblFinancials[[#This Row],[AccountKey]],tblAccounts[AccountKey],tblAccounts[AccountCategory],"")</f>
        <v>Operating Expense</v>
      </c>
      <c r="M28" s="8" t="str">
        <f>_xlfn.XLOOKUP(tblFinancials[[#This Row],[AccountKey]],tblAccounts[AccountKey],tblAccounts[NormalBalance],"")</f>
        <v>Debit</v>
      </c>
      <c r="N28" s="8" t="str">
        <f>_xlfn.XLOOKUP(tblFinancials[[#This Row],[DepartmentKey]],tblDepartments[DepartmentKey],tblDepartments[DepartmentName],"")</f>
        <v>Sales</v>
      </c>
      <c r="O28" s="8" t="str">
        <f>_xlfn.XLOOKUP(tblFinancials[[#This Row],[BusinessUnitKey]],tblBusinessUnits[BusinessUnitKey],tblBusinessUnits[BusinessUnitName],"")</f>
        <v>Retail</v>
      </c>
      <c r="P28" s="8" t="str">
        <f>_xlfn.XLOOKUP(tblFinancials[[#This Row],[RegionKey]],tblRegions[RegionKey],tblRegions[RegionName],"")</f>
        <v>Midwest</v>
      </c>
    </row>
    <row r="29" spans="1:16">
      <c r="A29">
        <v>20230101</v>
      </c>
      <c r="B29">
        <v>1</v>
      </c>
      <c r="C29">
        <v>3</v>
      </c>
      <c r="D29">
        <v>2</v>
      </c>
      <c r="E29">
        <v>15</v>
      </c>
      <c r="F29" t="s">
        <v>92</v>
      </c>
      <c r="G29">
        <v>-4943.93</v>
      </c>
      <c r="H29">
        <f>_xlfn.XLOOKUP(tblFinancials[[#This Row],[DateKey]],tblCalendar[DateKey],tblCalendar[FullDate],"")</f>
        <v>44927</v>
      </c>
      <c r="I29">
        <f>_xlfn.XLOOKUP(tblFinancials[[#This Row],[AccountKey]],tblAccounts[AccountKey],tblAccounts[AccountNumber],"")</f>
        <v>6100</v>
      </c>
      <c r="J29" t="str">
        <f>_xlfn.XLOOKUP(tblFinancials[[#This Row],[AccountKey]],tblAccounts[AccountKey],tblAccounts[AccountName],"")</f>
        <v>Salaries Expense</v>
      </c>
      <c r="K29" s="8" t="str">
        <f>_xlfn.XLOOKUP(tblFinancials[[#This Row],[AccountKey]],tblAccounts[AccountKey],tblAccounts[FinancialStatement],"")</f>
        <v>Income Statement</v>
      </c>
      <c r="L29" s="8" t="str">
        <f>_xlfn.XLOOKUP(tblFinancials[[#This Row],[AccountKey]],tblAccounts[AccountKey],tblAccounts[AccountCategory],"")</f>
        <v>Operating Expense</v>
      </c>
      <c r="M29" s="8" t="str">
        <f>_xlfn.XLOOKUP(tblFinancials[[#This Row],[AccountKey]],tblAccounts[AccountKey],tblAccounts[NormalBalance],"")</f>
        <v>Debit</v>
      </c>
      <c r="N29" s="8" t="str">
        <f>_xlfn.XLOOKUP(tblFinancials[[#This Row],[DepartmentKey]],tblDepartments[DepartmentKey],tblDepartments[DepartmentName],"")</f>
        <v>Executive</v>
      </c>
      <c r="O29" s="8" t="str">
        <f>_xlfn.XLOOKUP(tblFinancials[[#This Row],[BusinessUnitKey]],tblBusinessUnits[BusinessUnitKey],tblBusinessUnits[BusinessUnitName],"")</f>
        <v>Retail</v>
      </c>
      <c r="P29" s="8" t="str">
        <f>_xlfn.XLOOKUP(tblFinancials[[#This Row],[RegionKey]],tblRegions[RegionKey],tblRegions[RegionName],"")</f>
        <v>Midwest</v>
      </c>
    </row>
    <row r="30" spans="1:16">
      <c r="A30">
        <v>20230101</v>
      </c>
      <c r="B30">
        <v>6</v>
      </c>
      <c r="C30">
        <v>4</v>
      </c>
      <c r="D30">
        <v>3</v>
      </c>
      <c r="E30">
        <v>18</v>
      </c>
      <c r="F30" t="s">
        <v>92</v>
      </c>
      <c r="G30">
        <v>-5222.0200000000004</v>
      </c>
      <c r="H30">
        <f>_xlfn.XLOOKUP(tblFinancials[[#This Row],[DateKey]],tblCalendar[DateKey],tblCalendar[FullDate],"")</f>
        <v>44927</v>
      </c>
      <c r="I30">
        <f>_xlfn.XLOOKUP(tblFinancials[[#This Row],[AccountKey]],tblAccounts[AccountKey],tblAccounts[AccountNumber],"")</f>
        <v>6200</v>
      </c>
      <c r="J30" t="str">
        <f>_xlfn.XLOOKUP(tblFinancials[[#This Row],[AccountKey]],tblAccounts[AccountKey],tblAccounts[AccountName],"")</f>
        <v>Marketing Expense</v>
      </c>
      <c r="K30" s="8" t="str">
        <f>_xlfn.XLOOKUP(tblFinancials[[#This Row],[AccountKey]],tblAccounts[AccountKey],tblAccounts[FinancialStatement],"")</f>
        <v>Income Statement</v>
      </c>
      <c r="L30" s="8" t="str">
        <f>_xlfn.XLOOKUP(tblFinancials[[#This Row],[AccountKey]],tblAccounts[AccountKey],tblAccounts[AccountCategory],"")</f>
        <v>Operating Expense</v>
      </c>
      <c r="M30" s="8" t="str">
        <f>_xlfn.XLOOKUP(tblFinancials[[#This Row],[AccountKey]],tblAccounts[AccountKey],tblAccounts[NormalBalance],"")</f>
        <v>Debit</v>
      </c>
      <c r="N30" s="8" t="str">
        <f>_xlfn.XLOOKUP(tblFinancials[[#This Row],[DepartmentKey]],tblDepartments[DepartmentKey],tblDepartments[DepartmentName],"")</f>
        <v>Operations</v>
      </c>
      <c r="O30" s="8" t="str">
        <f>_xlfn.XLOOKUP(tblFinancials[[#This Row],[BusinessUnitKey]],tblBusinessUnits[BusinessUnitKey],tblBusinessUnits[BusinessUnitName],"")</f>
        <v>E-Commerce</v>
      </c>
      <c r="P30" s="8" t="str">
        <f>_xlfn.XLOOKUP(tblFinancials[[#This Row],[RegionKey]],tblRegions[RegionKey],tblRegions[RegionName],"")</f>
        <v>South</v>
      </c>
    </row>
    <row r="31" spans="1:16">
      <c r="A31">
        <v>20230101</v>
      </c>
      <c r="B31">
        <v>4</v>
      </c>
      <c r="C31">
        <v>3</v>
      </c>
      <c r="D31">
        <v>1</v>
      </c>
      <c r="E31">
        <v>24</v>
      </c>
      <c r="F31" t="s">
        <v>92</v>
      </c>
      <c r="G31">
        <v>-5409.02</v>
      </c>
      <c r="H31">
        <f>_xlfn.XLOOKUP(tblFinancials[[#This Row],[DateKey]],tblCalendar[DateKey],tblCalendar[FullDate],"")</f>
        <v>44927</v>
      </c>
      <c r="I31">
        <f>_xlfn.XLOOKUP(tblFinancials[[#This Row],[AccountKey]],tblAccounts[AccountKey],tblAccounts[AccountNumber],"")</f>
        <v>6900</v>
      </c>
      <c r="J31" t="str">
        <f>_xlfn.XLOOKUP(tblFinancials[[#This Row],[AccountKey]],tblAccounts[AccountKey],tblAccounts[AccountName],"")</f>
        <v>Professional Services</v>
      </c>
      <c r="K31" s="8" t="str">
        <f>_xlfn.XLOOKUP(tblFinancials[[#This Row],[AccountKey]],tblAccounts[AccountKey],tblAccounts[FinancialStatement],"")</f>
        <v>Income Statement</v>
      </c>
      <c r="L31" s="8" t="str">
        <f>_xlfn.XLOOKUP(tblFinancials[[#This Row],[AccountKey]],tblAccounts[AccountKey],tblAccounts[AccountCategory],"")</f>
        <v>Operating Expense</v>
      </c>
      <c r="M31" s="8" t="str">
        <f>_xlfn.XLOOKUP(tblFinancials[[#This Row],[AccountKey]],tblAccounts[AccountKey],tblAccounts[NormalBalance],"")</f>
        <v>Debit</v>
      </c>
      <c r="N31" s="8" t="str">
        <f>_xlfn.XLOOKUP(tblFinancials[[#This Row],[DepartmentKey]],tblDepartments[DepartmentKey],tblDepartments[DepartmentName],"")</f>
        <v>Sales</v>
      </c>
      <c r="O31" s="8" t="str">
        <f>_xlfn.XLOOKUP(tblFinancials[[#This Row],[BusinessUnitKey]],tblBusinessUnits[BusinessUnitKey],tblBusinessUnits[BusinessUnitName],"")</f>
        <v>Retail</v>
      </c>
      <c r="P31" s="8" t="str">
        <f>_xlfn.XLOOKUP(tblFinancials[[#This Row],[RegionKey]],tblRegions[RegionKey],tblRegions[RegionName],"")</f>
        <v>West</v>
      </c>
    </row>
    <row r="32" spans="1:16">
      <c r="A32">
        <v>20230101</v>
      </c>
      <c r="B32">
        <v>6</v>
      </c>
      <c r="C32">
        <v>1</v>
      </c>
      <c r="D32">
        <v>2</v>
      </c>
      <c r="E32">
        <v>18</v>
      </c>
      <c r="F32" t="s">
        <v>92</v>
      </c>
      <c r="G32">
        <v>-5858.13</v>
      </c>
      <c r="H32">
        <f>_xlfn.XLOOKUP(tblFinancials[[#This Row],[DateKey]],tblCalendar[DateKey],tblCalendar[FullDate],"")</f>
        <v>44927</v>
      </c>
      <c r="I32">
        <f>_xlfn.XLOOKUP(tblFinancials[[#This Row],[AccountKey]],tblAccounts[AccountKey],tblAccounts[AccountNumber],"")</f>
        <v>6200</v>
      </c>
      <c r="J32" t="str">
        <f>_xlfn.XLOOKUP(tblFinancials[[#This Row],[AccountKey]],tblAccounts[AccountKey],tblAccounts[AccountName],"")</f>
        <v>Marketing Expense</v>
      </c>
      <c r="K32" s="8" t="str">
        <f>_xlfn.XLOOKUP(tblFinancials[[#This Row],[AccountKey]],tblAccounts[AccountKey],tblAccounts[FinancialStatement],"")</f>
        <v>Income Statement</v>
      </c>
      <c r="L32" s="8" t="str">
        <f>_xlfn.XLOOKUP(tblFinancials[[#This Row],[AccountKey]],tblAccounts[AccountKey],tblAccounts[AccountCategory],"")</f>
        <v>Operating Expense</v>
      </c>
      <c r="M32" s="8" t="str">
        <f>_xlfn.XLOOKUP(tblFinancials[[#This Row],[AccountKey]],tblAccounts[AccountKey],tblAccounts[NormalBalance],"")</f>
        <v>Debit</v>
      </c>
      <c r="N32" s="8" t="str">
        <f>_xlfn.XLOOKUP(tblFinancials[[#This Row],[DepartmentKey]],tblDepartments[DepartmentKey],tblDepartments[DepartmentName],"")</f>
        <v>Operations</v>
      </c>
      <c r="O32" s="8" t="str">
        <f>_xlfn.XLOOKUP(tblFinancials[[#This Row],[BusinessUnitKey]],tblBusinessUnits[BusinessUnitKey],tblBusinessUnits[BusinessUnitName],"")</f>
        <v xml:space="preserve">Manufacturing </v>
      </c>
      <c r="P32" s="8" t="str">
        <f>_xlfn.XLOOKUP(tblFinancials[[#This Row],[RegionKey]],tblRegions[RegionKey],tblRegions[RegionName],"")</f>
        <v>Midwest</v>
      </c>
    </row>
    <row r="33" spans="1:16">
      <c r="A33">
        <v>20230101</v>
      </c>
      <c r="B33">
        <v>8</v>
      </c>
      <c r="C33">
        <v>1</v>
      </c>
      <c r="D33">
        <v>2</v>
      </c>
      <c r="E33">
        <v>15</v>
      </c>
      <c r="F33" t="s">
        <v>92</v>
      </c>
      <c r="G33">
        <v>-5627.21</v>
      </c>
      <c r="H33">
        <f>_xlfn.XLOOKUP(tblFinancials[[#This Row],[DateKey]],tblCalendar[DateKey],tblCalendar[FullDate],"")</f>
        <v>44927</v>
      </c>
      <c r="I33">
        <f>_xlfn.XLOOKUP(tblFinancials[[#This Row],[AccountKey]],tblAccounts[AccountKey],tblAccounts[AccountNumber],"")</f>
        <v>6100</v>
      </c>
      <c r="J33" t="str">
        <f>_xlfn.XLOOKUP(tblFinancials[[#This Row],[AccountKey]],tblAccounts[AccountKey],tblAccounts[AccountName],"")</f>
        <v>Salaries Expense</v>
      </c>
      <c r="K33" s="8" t="str">
        <f>_xlfn.XLOOKUP(tblFinancials[[#This Row],[AccountKey]],tblAccounts[AccountKey],tblAccounts[FinancialStatement],"")</f>
        <v>Income Statement</v>
      </c>
      <c r="L33" s="8" t="str">
        <f>_xlfn.XLOOKUP(tblFinancials[[#This Row],[AccountKey]],tblAccounts[AccountKey],tblAccounts[AccountCategory],"")</f>
        <v>Operating Expense</v>
      </c>
      <c r="M33" s="8" t="str">
        <f>_xlfn.XLOOKUP(tblFinancials[[#This Row],[AccountKey]],tblAccounts[AccountKey],tblAccounts[NormalBalance],"")</f>
        <v>Debit</v>
      </c>
      <c r="N33" s="8" t="str">
        <f>_xlfn.XLOOKUP(tblFinancials[[#This Row],[DepartmentKey]],tblDepartments[DepartmentKey],tblDepartments[DepartmentName],"")</f>
        <v>Customer Service</v>
      </c>
      <c r="O33" s="8" t="str">
        <f>_xlfn.XLOOKUP(tblFinancials[[#This Row],[BusinessUnitKey]],tblBusinessUnits[BusinessUnitKey],tblBusinessUnits[BusinessUnitName],"")</f>
        <v xml:space="preserve">Manufacturing </v>
      </c>
      <c r="P33" s="8" t="str">
        <f>_xlfn.XLOOKUP(tblFinancials[[#This Row],[RegionKey]],tblRegions[RegionKey],tblRegions[RegionName],"")</f>
        <v>Midwest</v>
      </c>
    </row>
    <row r="34" spans="1:16">
      <c r="A34">
        <v>20230101</v>
      </c>
      <c r="B34">
        <v>1</v>
      </c>
      <c r="C34">
        <v>4</v>
      </c>
      <c r="D34">
        <v>3</v>
      </c>
      <c r="E34">
        <v>25</v>
      </c>
      <c r="F34" t="s">
        <v>92</v>
      </c>
      <c r="G34">
        <v>-5877.75</v>
      </c>
      <c r="H34">
        <f>_xlfn.XLOOKUP(tblFinancials[[#This Row],[DateKey]],tblCalendar[DateKey],tblCalendar[FullDate],"")</f>
        <v>44927</v>
      </c>
      <c r="I34">
        <f>_xlfn.XLOOKUP(tblFinancials[[#This Row],[AccountKey]],tblAccounts[AccountKey],tblAccounts[AccountNumber],"")</f>
        <v>8200</v>
      </c>
      <c r="J34" t="str">
        <f>_xlfn.XLOOKUP(tblFinancials[[#This Row],[AccountKey]],tblAccounts[AccountKey],tblAccounts[AccountName],"")</f>
        <v>Income Tax Expense</v>
      </c>
      <c r="K34" s="8" t="str">
        <f>_xlfn.XLOOKUP(tblFinancials[[#This Row],[AccountKey]],tblAccounts[AccountKey],tblAccounts[FinancialStatement],"")</f>
        <v>Income Statement</v>
      </c>
      <c r="L34" s="8" t="str">
        <f>_xlfn.XLOOKUP(tblFinancials[[#This Row],[AccountKey]],tblAccounts[AccountKey],tblAccounts[AccountCategory],"")</f>
        <v>Tax Expense</v>
      </c>
      <c r="M34" s="8" t="str">
        <f>_xlfn.XLOOKUP(tblFinancials[[#This Row],[AccountKey]],tblAccounts[AccountKey],tblAccounts[NormalBalance],"")</f>
        <v>Debit</v>
      </c>
      <c r="N34" s="8" t="str">
        <f>_xlfn.XLOOKUP(tblFinancials[[#This Row],[DepartmentKey]],tblDepartments[DepartmentKey],tblDepartments[DepartmentName],"")</f>
        <v>Executive</v>
      </c>
      <c r="O34" s="8" t="str">
        <f>_xlfn.XLOOKUP(tblFinancials[[#This Row],[BusinessUnitKey]],tblBusinessUnits[BusinessUnitKey],tblBusinessUnits[BusinessUnitName],"")</f>
        <v>E-Commerce</v>
      </c>
      <c r="P34" s="8" t="str">
        <f>_xlfn.XLOOKUP(tblFinancials[[#This Row],[RegionKey]],tblRegions[RegionKey],tblRegions[RegionName],"")</f>
        <v>South</v>
      </c>
    </row>
    <row r="35" spans="1:16">
      <c r="A35">
        <v>20230101</v>
      </c>
      <c r="B35">
        <v>8</v>
      </c>
      <c r="C35">
        <v>4</v>
      </c>
      <c r="D35">
        <v>1</v>
      </c>
      <c r="E35">
        <v>21</v>
      </c>
      <c r="F35" t="s">
        <v>92</v>
      </c>
      <c r="G35">
        <v>-6751.15</v>
      </c>
      <c r="H35">
        <f>_xlfn.XLOOKUP(tblFinancials[[#This Row],[DateKey]],tblCalendar[DateKey],tblCalendar[FullDate],"")</f>
        <v>44927</v>
      </c>
      <c r="I35">
        <f>_xlfn.XLOOKUP(tblFinancials[[#This Row],[AccountKey]],tblAccounts[AccountKey],tblAccounts[AccountNumber],"")</f>
        <v>6600</v>
      </c>
      <c r="J35" t="str">
        <f>_xlfn.XLOOKUP(tblFinancials[[#This Row],[AccountKey]],tblAccounts[AccountKey],tblAccounts[AccountName],"")</f>
        <v>Utilities Expense</v>
      </c>
      <c r="K35" s="8" t="str">
        <f>_xlfn.XLOOKUP(tblFinancials[[#This Row],[AccountKey]],tblAccounts[AccountKey],tblAccounts[FinancialStatement],"")</f>
        <v>Income Statement</v>
      </c>
      <c r="L35" s="8" t="str">
        <f>_xlfn.XLOOKUP(tblFinancials[[#This Row],[AccountKey]],tblAccounts[AccountKey],tblAccounts[AccountCategory],"")</f>
        <v>Operating Expense</v>
      </c>
      <c r="M35" s="8" t="str">
        <f>_xlfn.XLOOKUP(tblFinancials[[#This Row],[AccountKey]],tblAccounts[AccountKey],tblAccounts[NormalBalance],"")</f>
        <v>Debit</v>
      </c>
      <c r="N35" s="8" t="str">
        <f>_xlfn.XLOOKUP(tblFinancials[[#This Row],[DepartmentKey]],tblDepartments[DepartmentKey],tblDepartments[DepartmentName],"")</f>
        <v>Customer Service</v>
      </c>
      <c r="O35" s="8" t="str">
        <f>_xlfn.XLOOKUP(tblFinancials[[#This Row],[BusinessUnitKey]],tblBusinessUnits[BusinessUnitKey],tblBusinessUnits[BusinessUnitName],"")</f>
        <v>E-Commerce</v>
      </c>
      <c r="P35" s="8" t="str">
        <f>_xlfn.XLOOKUP(tblFinancials[[#This Row],[RegionKey]],tblRegions[RegionKey],tblRegions[RegionName],"")</f>
        <v>West</v>
      </c>
    </row>
    <row r="36" spans="1:16">
      <c r="A36">
        <v>20230101</v>
      </c>
      <c r="B36">
        <v>6</v>
      </c>
      <c r="C36">
        <v>1</v>
      </c>
      <c r="D36">
        <v>2</v>
      </c>
      <c r="E36">
        <v>16</v>
      </c>
      <c r="F36" t="s">
        <v>92</v>
      </c>
      <c r="G36">
        <v>-5306.76</v>
      </c>
      <c r="H36">
        <f>_xlfn.XLOOKUP(tblFinancials[[#This Row],[DateKey]],tblCalendar[DateKey],tblCalendar[FullDate],"")</f>
        <v>44927</v>
      </c>
      <c r="I36">
        <f>_xlfn.XLOOKUP(tblFinancials[[#This Row],[AccountKey]],tblAccounts[AccountKey],tblAccounts[AccountNumber],"")</f>
        <v>6110</v>
      </c>
      <c r="J36" t="str">
        <f>_xlfn.XLOOKUP(tblFinancials[[#This Row],[AccountKey]],tblAccounts[AccountKey],tblAccounts[AccountName],"")</f>
        <v>Payroll Taxes</v>
      </c>
      <c r="K36" s="8" t="str">
        <f>_xlfn.XLOOKUP(tblFinancials[[#This Row],[AccountKey]],tblAccounts[AccountKey],tblAccounts[FinancialStatement],"")</f>
        <v>Income Statement</v>
      </c>
      <c r="L36" s="8" t="str">
        <f>_xlfn.XLOOKUP(tblFinancials[[#This Row],[AccountKey]],tblAccounts[AccountKey],tblAccounts[AccountCategory],"")</f>
        <v>Operating Expense</v>
      </c>
      <c r="M36" s="8" t="str">
        <f>_xlfn.XLOOKUP(tblFinancials[[#This Row],[AccountKey]],tblAccounts[AccountKey],tblAccounts[NormalBalance],"")</f>
        <v>Debit</v>
      </c>
      <c r="N36" s="8" t="str">
        <f>_xlfn.XLOOKUP(tblFinancials[[#This Row],[DepartmentKey]],tblDepartments[DepartmentKey],tblDepartments[DepartmentName],"")</f>
        <v>Operations</v>
      </c>
      <c r="O36" s="8" t="str">
        <f>_xlfn.XLOOKUP(tblFinancials[[#This Row],[BusinessUnitKey]],tblBusinessUnits[BusinessUnitKey],tblBusinessUnits[BusinessUnitName],"")</f>
        <v xml:space="preserve">Manufacturing </v>
      </c>
      <c r="P36" s="8" t="str">
        <f>_xlfn.XLOOKUP(tblFinancials[[#This Row],[RegionKey]],tblRegions[RegionKey],tblRegions[RegionName],"")</f>
        <v>Midwest</v>
      </c>
    </row>
    <row r="37" spans="1:16">
      <c r="A37">
        <v>20230101</v>
      </c>
      <c r="B37">
        <v>7</v>
      </c>
      <c r="C37">
        <v>1</v>
      </c>
      <c r="D37">
        <v>3</v>
      </c>
      <c r="E37">
        <v>25</v>
      </c>
      <c r="F37" t="s">
        <v>92</v>
      </c>
      <c r="G37">
        <v>-9680.25</v>
      </c>
      <c r="H37">
        <f>_xlfn.XLOOKUP(tblFinancials[[#This Row],[DateKey]],tblCalendar[DateKey],tblCalendar[FullDate],"")</f>
        <v>44927</v>
      </c>
      <c r="I37">
        <f>_xlfn.XLOOKUP(tblFinancials[[#This Row],[AccountKey]],tblAccounts[AccountKey],tblAccounts[AccountNumber],"")</f>
        <v>8200</v>
      </c>
      <c r="J37" t="str">
        <f>_xlfn.XLOOKUP(tblFinancials[[#This Row],[AccountKey]],tblAccounts[AccountKey],tblAccounts[AccountName],"")</f>
        <v>Income Tax Expense</v>
      </c>
      <c r="K37" s="8" t="str">
        <f>_xlfn.XLOOKUP(tblFinancials[[#This Row],[AccountKey]],tblAccounts[AccountKey],tblAccounts[FinancialStatement],"")</f>
        <v>Income Statement</v>
      </c>
      <c r="L37" s="8" t="str">
        <f>_xlfn.XLOOKUP(tblFinancials[[#This Row],[AccountKey]],tblAccounts[AccountKey],tblAccounts[AccountCategory],"")</f>
        <v>Tax Expense</v>
      </c>
      <c r="M37" s="8" t="str">
        <f>_xlfn.XLOOKUP(tblFinancials[[#This Row],[AccountKey]],tblAccounts[AccountKey],tblAccounts[NormalBalance],"")</f>
        <v>Debit</v>
      </c>
      <c r="N37" s="8" t="str">
        <f>_xlfn.XLOOKUP(tblFinancials[[#This Row],[DepartmentKey]],tblDepartments[DepartmentKey],tblDepartments[DepartmentName],"")</f>
        <v>Information Technology</v>
      </c>
      <c r="O37" s="8" t="str">
        <f>_xlfn.XLOOKUP(tblFinancials[[#This Row],[BusinessUnitKey]],tblBusinessUnits[BusinessUnitKey],tblBusinessUnits[BusinessUnitName],"")</f>
        <v xml:space="preserve">Manufacturing </v>
      </c>
      <c r="P37" s="8" t="str">
        <f>_xlfn.XLOOKUP(tblFinancials[[#This Row],[RegionKey]],tblRegions[RegionKey],tblRegions[RegionName],"")</f>
        <v>South</v>
      </c>
    </row>
    <row r="38" spans="1:16">
      <c r="A38">
        <v>20230201</v>
      </c>
      <c r="B38">
        <v>4</v>
      </c>
      <c r="C38">
        <v>2</v>
      </c>
      <c r="D38">
        <v>2</v>
      </c>
      <c r="E38">
        <v>11</v>
      </c>
      <c r="F38" t="s">
        <v>92</v>
      </c>
      <c r="G38">
        <v>23447.17</v>
      </c>
      <c r="H38">
        <f>_xlfn.XLOOKUP(tblFinancials[[#This Row],[DateKey]],tblCalendar[DateKey],tblCalendar[FullDate],"")</f>
        <v>44958</v>
      </c>
      <c r="I38">
        <f>_xlfn.XLOOKUP(tblFinancials[[#This Row],[AccountKey]],tblAccounts[AccountKey],tblAccounts[AccountNumber],"")</f>
        <v>4000</v>
      </c>
      <c r="J38" t="str">
        <f>_xlfn.XLOOKUP(tblFinancials[[#This Row],[AccountKey]],tblAccounts[AccountKey],tblAccounts[AccountName],"")</f>
        <v>Product Revenue</v>
      </c>
      <c r="K38" s="8" t="str">
        <f>_xlfn.XLOOKUP(tblFinancials[[#This Row],[AccountKey]],tblAccounts[AccountKey],tblAccounts[FinancialStatement],"")</f>
        <v>Income Statement</v>
      </c>
      <c r="L38" s="8" t="str">
        <f>_xlfn.XLOOKUP(tblFinancials[[#This Row],[AccountKey]],tblAccounts[AccountKey],tblAccounts[AccountCategory],"")</f>
        <v>Revenue</v>
      </c>
      <c r="M38" s="8" t="str">
        <f>_xlfn.XLOOKUP(tblFinancials[[#This Row],[AccountKey]],tblAccounts[AccountKey],tblAccounts[NormalBalance],"")</f>
        <v>Credit</v>
      </c>
      <c r="N38" s="8" t="str">
        <f>_xlfn.XLOOKUP(tblFinancials[[#This Row],[DepartmentKey]],tblDepartments[DepartmentKey],tblDepartments[DepartmentName],"")</f>
        <v>Sales</v>
      </c>
      <c r="O38" s="8" t="str">
        <f>_xlfn.XLOOKUP(tblFinancials[[#This Row],[BusinessUnitKey]],tblBusinessUnits[BusinessUnitKey],tblBusinessUnits[BusinessUnitName],"")</f>
        <v>Wholesale</v>
      </c>
      <c r="P38" s="8" t="str">
        <f>_xlfn.XLOOKUP(tblFinancials[[#This Row],[RegionKey]],tblRegions[RegionKey],tblRegions[RegionName],"")</f>
        <v>Midwest</v>
      </c>
    </row>
    <row r="39" spans="1:16">
      <c r="A39">
        <v>20230201</v>
      </c>
      <c r="B39">
        <v>2</v>
      </c>
      <c r="C39">
        <v>4</v>
      </c>
      <c r="D39">
        <v>4</v>
      </c>
      <c r="E39">
        <v>12</v>
      </c>
      <c r="F39" t="s">
        <v>92</v>
      </c>
      <c r="G39">
        <v>25256.41</v>
      </c>
      <c r="H39">
        <f>_xlfn.XLOOKUP(tblFinancials[[#This Row],[DateKey]],tblCalendar[DateKey],tblCalendar[FullDate],"")</f>
        <v>44958</v>
      </c>
      <c r="I39">
        <f>_xlfn.XLOOKUP(tblFinancials[[#This Row],[AccountKey]],tblAccounts[AccountKey],tblAccounts[AccountNumber],"")</f>
        <v>4010</v>
      </c>
      <c r="J39" t="str">
        <f>_xlfn.XLOOKUP(tblFinancials[[#This Row],[AccountKey]],tblAccounts[AccountKey],tblAccounts[AccountName],"")</f>
        <v>Service Revenue</v>
      </c>
      <c r="K39" s="8" t="str">
        <f>_xlfn.XLOOKUP(tblFinancials[[#This Row],[AccountKey]],tblAccounts[AccountKey],tblAccounts[FinancialStatement],"")</f>
        <v>Income Statement</v>
      </c>
      <c r="L39" s="8" t="str">
        <f>_xlfn.XLOOKUP(tblFinancials[[#This Row],[AccountKey]],tblAccounts[AccountKey],tblAccounts[AccountCategory],"")</f>
        <v>Revenue</v>
      </c>
      <c r="M39" s="8" t="str">
        <f>_xlfn.XLOOKUP(tblFinancials[[#This Row],[AccountKey]],tblAccounts[AccountKey],tblAccounts[NormalBalance],"")</f>
        <v>Credit</v>
      </c>
      <c r="N39" s="8" t="str">
        <f>_xlfn.XLOOKUP(tblFinancials[[#This Row],[DepartmentKey]],tblDepartments[DepartmentKey],tblDepartments[DepartmentName],"")</f>
        <v>Finance</v>
      </c>
      <c r="O39" s="8" t="str">
        <f>_xlfn.XLOOKUP(tblFinancials[[#This Row],[BusinessUnitKey]],tblBusinessUnits[BusinessUnitKey],tblBusinessUnits[BusinessUnitName],"")</f>
        <v>E-Commerce</v>
      </c>
      <c r="P39" s="8" t="str">
        <f>_xlfn.XLOOKUP(tblFinancials[[#This Row],[RegionKey]],tblRegions[RegionKey],tblRegions[RegionName],"")</f>
        <v>East</v>
      </c>
    </row>
    <row r="40" spans="1:16">
      <c r="A40">
        <v>20230201</v>
      </c>
      <c r="B40">
        <v>2</v>
      </c>
      <c r="C40">
        <v>1</v>
      </c>
      <c r="D40">
        <v>1</v>
      </c>
      <c r="E40">
        <v>13</v>
      </c>
      <c r="F40" t="s">
        <v>92</v>
      </c>
      <c r="G40">
        <v>23091.279999999999</v>
      </c>
      <c r="H40">
        <f>_xlfn.XLOOKUP(tblFinancials[[#This Row],[DateKey]],tblCalendar[DateKey],tblCalendar[FullDate],"")</f>
        <v>44958</v>
      </c>
      <c r="I40">
        <f>_xlfn.XLOOKUP(tblFinancials[[#This Row],[AccountKey]],tblAccounts[AccountKey],tblAccounts[AccountNumber],"")</f>
        <v>4020</v>
      </c>
      <c r="J40" t="str">
        <f>_xlfn.XLOOKUP(tblFinancials[[#This Row],[AccountKey]],tblAccounts[AccountKey],tblAccounts[AccountName],"")</f>
        <v>Online Revenue</v>
      </c>
      <c r="K40" s="8" t="str">
        <f>_xlfn.XLOOKUP(tblFinancials[[#This Row],[AccountKey]],tblAccounts[AccountKey],tblAccounts[FinancialStatement],"")</f>
        <v>Income Statement</v>
      </c>
      <c r="L40" s="8" t="str">
        <f>_xlfn.XLOOKUP(tblFinancials[[#This Row],[AccountKey]],tblAccounts[AccountKey],tblAccounts[AccountCategory],"")</f>
        <v>Revenue</v>
      </c>
      <c r="M40" s="8" t="str">
        <f>_xlfn.XLOOKUP(tblFinancials[[#This Row],[AccountKey]],tblAccounts[AccountKey],tblAccounts[NormalBalance],"")</f>
        <v>Credit</v>
      </c>
      <c r="N40" s="8" t="str">
        <f>_xlfn.XLOOKUP(tblFinancials[[#This Row],[DepartmentKey]],tblDepartments[DepartmentKey],tblDepartments[DepartmentName],"")</f>
        <v>Finance</v>
      </c>
      <c r="O40" s="8" t="str">
        <f>_xlfn.XLOOKUP(tblFinancials[[#This Row],[BusinessUnitKey]],tblBusinessUnits[BusinessUnitKey],tblBusinessUnits[BusinessUnitName],"")</f>
        <v xml:space="preserve">Manufacturing </v>
      </c>
      <c r="P40" s="8" t="str">
        <f>_xlfn.XLOOKUP(tblFinancials[[#This Row],[RegionKey]],tblRegions[RegionKey],tblRegions[RegionName],"")</f>
        <v>West</v>
      </c>
    </row>
    <row r="41" spans="1:16">
      <c r="A41">
        <v>20230201</v>
      </c>
      <c r="B41">
        <v>7</v>
      </c>
      <c r="C41">
        <v>3</v>
      </c>
      <c r="D41">
        <v>3</v>
      </c>
      <c r="E41">
        <v>12</v>
      </c>
      <c r="F41" t="s">
        <v>92</v>
      </c>
      <c r="G41">
        <v>24361.64</v>
      </c>
      <c r="H41">
        <f>_xlfn.XLOOKUP(tblFinancials[[#This Row],[DateKey]],tblCalendar[DateKey],tblCalendar[FullDate],"")</f>
        <v>44958</v>
      </c>
      <c r="I41">
        <f>_xlfn.XLOOKUP(tblFinancials[[#This Row],[AccountKey]],tblAccounts[AccountKey],tblAccounts[AccountNumber],"")</f>
        <v>4010</v>
      </c>
      <c r="J41" t="str">
        <f>_xlfn.XLOOKUP(tblFinancials[[#This Row],[AccountKey]],tblAccounts[AccountKey],tblAccounts[AccountName],"")</f>
        <v>Service Revenue</v>
      </c>
      <c r="K41" s="8" t="str">
        <f>_xlfn.XLOOKUP(tblFinancials[[#This Row],[AccountKey]],tblAccounts[AccountKey],tblAccounts[FinancialStatement],"")</f>
        <v>Income Statement</v>
      </c>
      <c r="L41" s="8" t="str">
        <f>_xlfn.XLOOKUP(tblFinancials[[#This Row],[AccountKey]],tblAccounts[AccountKey],tblAccounts[AccountCategory],"")</f>
        <v>Revenue</v>
      </c>
      <c r="M41" s="8" t="str">
        <f>_xlfn.XLOOKUP(tblFinancials[[#This Row],[AccountKey]],tblAccounts[AccountKey],tblAccounts[NormalBalance],"")</f>
        <v>Credit</v>
      </c>
      <c r="N41" s="8" t="str">
        <f>_xlfn.XLOOKUP(tblFinancials[[#This Row],[DepartmentKey]],tblDepartments[DepartmentKey],tblDepartments[DepartmentName],"")</f>
        <v>Information Technology</v>
      </c>
      <c r="O41" s="8" t="str">
        <f>_xlfn.XLOOKUP(tblFinancials[[#This Row],[BusinessUnitKey]],tblBusinessUnits[BusinessUnitKey],tblBusinessUnits[BusinessUnitName],"")</f>
        <v>Retail</v>
      </c>
      <c r="P41" s="8" t="str">
        <f>_xlfn.XLOOKUP(tblFinancials[[#This Row],[RegionKey]],tblRegions[RegionKey],tblRegions[RegionName],"")</f>
        <v>South</v>
      </c>
    </row>
    <row r="42" spans="1:16">
      <c r="A42">
        <v>20230201</v>
      </c>
      <c r="B42">
        <v>7</v>
      </c>
      <c r="C42">
        <v>2</v>
      </c>
      <c r="D42">
        <v>1</v>
      </c>
      <c r="E42">
        <v>12</v>
      </c>
      <c r="F42" t="s">
        <v>92</v>
      </c>
      <c r="G42">
        <v>25125.279999999999</v>
      </c>
      <c r="H42">
        <f>_xlfn.XLOOKUP(tblFinancials[[#This Row],[DateKey]],tblCalendar[DateKey],tblCalendar[FullDate],"")</f>
        <v>44958</v>
      </c>
      <c r="I42">
        <f>_xlfn.XLOOKUP(tblFinancials[[#This Row],[AccountKey]],tblAccounts[AccountKey],tblAccounts[AccountNumber],"")</f>
        <v>4010</v>
      </c>
      <c r="J42" t="str">
        <f>_xlfn.XLOOKUP(tblFinancials[[#This Row],[AccountKey]],tblAccounts[AccountKey],tblAccounts[AccountName],"")</f>
        <v>Service Revenue</v>
      </c>
      <c r="K42" s="8" t="str">
        <f>_xlfn.XLOOKUP(tblFinancials[[#This Row],[AccountKey]],tblAccounts[AccountKey],tblAccounts[FinancialStatement],"")</f>
        <v>Income Statement</v>
      </c>
      <c r="L42" s="8" t="str">
        <f>_xlfn.XLOOKUP(tblFinancials[[#This Row],[AccountKey]],tblAccounts[AccountKey],tblAccounts[AccountCategory],"")</f>
        <v>Revenue</v>
      </c>
      <c r="M42" s="8" t="str">
        <f>_xlfn.XLOOKUP(tblFinancials[[#This Row],[AccountKey]],tblAccounts[AccountKey],tblAccounts[NormalBalance],"")</f>
        <v>Credit</v>
      </c>
      <c r="N42" s="8" t="str">
        <f>_xlfn.XLOOKUP(tblFinancials[[#This Row],[DepartmentKey]],tblDepartments[DepartmentKey],tblDepartments[DepartmentName],"")</f>
        <v>Information Technology</v>
      </c>
      <c r="O42" s="8" t="str">
        <f>_xlfn.XLOOKUP(tblFinancials[[#This Row],[BusinessUnitKey]],tblBusinessUnits[BusinessUnitKey],tblBusinessUnits[BusinessUnitName],"")</f>
        <v>Wholesale</v>
      </c>
      <c r="P42" s="8" t="str">
        <f>_xlfn.XLOOKUP(tblFinancials[[#This Row],[RegionKey]],tblRegions[RegionKey],tblRegions[RegionName],"")</f>
        <v>West</v>
      </c>
    </row>
    <row r="43" spans="1:16">
      <c r="A43">
        <v>20230201</v>
      </c>
      <c r="B43">
        <v>2</v>
      </c>
      <c r="C43">
        <v>3</v>
      </c>
      <c r="D43">
        <v>1</v>
      </c>
      <c r="E43">
        <v>13</v>
      </c>
      <c r="F43" t="s">
        <v>92</v>
      </c>
      <c r="G43">
        <v>25393.42</v>
      </c>
      <c r="H43">
        <f>_xlfn.XLOOKUP(tblFinancials[[#This Row],[DateKey]],tblCalendar[DateKey],tblCalendar[FullDate],"")</f>
        <v>44958</v>
      </c>
      <c r="I43">
        <f>_xlfn.XLOOKUP(tblFinancials[[#This Row],[AccountKey]],tblAccounts[AccountKey],tblAccounts[AccountNumber],"")</f>
        <v>4020</v>
      </c>
      <c r="J43" t="str">
        <f>_xlfn.XLOOKUP(tblFinancials[[#This Row],[AccountKey]],tblAccounts[AccountKey],tblAccounts[AccountName],"")</f>
        <v>Online Revenue</v>
      </c>
      <c r="K43" s="8" t="str">
        <f>_xlfn.XLOOKUP(tblFinancials[[#This Row],[AccountKey]],tblAccounts[AccountKey],tblAccounts[FinancialStatement],"")</f>
        <v>Income Statement</v>
      </c>
      <c r="L43" s="8" t="str">
        <f>_xlfn.XLOOKUP(tblFinancials[[#This Row],[AccountKey]],tblAccounts[AccountKey],tblAccounts[AccountCategory],"")</f>
        <v>Revenue</v>
      </c>
      <c r="M43" s="8" t="str">
        <f>_xlfn.XLOOKUP(tblFinancials[[#This Row],[AccountKey]],tblAccounts[AccountKey],tblAccounts[NormalBalance],"")</f>
        <v>Credit</v>
      </c>
      <c r="N43" s="8" t="str">
        <f>_xlfn.XLOOKUP(tblFinancials[[#This Row],[DepartmentKey]],tblDepartments[DepartmentKey],tblDepartments[DepartmentName],"")</f>
        <v>Finance</v>
      </c>
      <c r="O43" s="8" t="str">
        <f>_xlfn.XLOOKUP(tblFinancials[[#This Row],[BusinessUnitKey]],tblBusinessUnits[BusinessUnitKey],tblBusinessUnits[BusinessUnitName],"")</f>
        <v>Retail</v>
      </c>
      <c r="P43" s="8" t="str">
        <f>_xlfn.XLOOKUP(tblFinancials[[#This Row],[RegionKey]],tblRegions[RegionKey],tblRegions[RegionName],"")</f>
        <v>West</v>
      </c>
    </row>
    <row r="44" spans="1:16">
      <c r="A44">
        <v>20230201</v>
      </c>
      <c r="B44">
        <v>2</v>
      </c>
      <c r="C44">
        <v>3</v>
      </c>
      <c r="D44">
        <v>3</v>
      </c>
      <c r="E44">
        <v>12</v>
      </c>
      <c r="F44" t="s">
        <v>92</v>
      </c>
      <c r="G44">
        <v>24086.31</v>
      </c>
      <c r="H44">
        <f>_xlfn.XLOOKUP(tblFinancials[[#This Row],[DateKey]],tblCalendar[DateKey],tblCalendar[FullDate],"")</f>
        <v>44958</v>
      </c>
      <c r="I44">
        <f>_xlfn.XLOOKUP(tblFinancials[[#This Row],[AccountKey]],tblAccounts[AccountKey],tblAccounts[AccountNumber],"")</f>
        <v>4010</v>
      </c>
      <c r="J44" t="str">
        <f>_xlfn.XLOOKUP(tblFinancials[[#This Row],[AccountKey]],tblAccounts[AccountKey],tblAccounts[AccountName],"")</f>
        <v>Service Revenue</v>
      </c>
      <c r="K44" s="8" t="str">
        <f>_xlfn.XLOOKUP(tblFinancials[[#This Row],[AccountKey]],tblAccounts[AccountKey],tblAccounts[FinancialStatement],"")</f>
        <v>Income Statement</v>
      </c>
      <c r="L44" s="8" t="str">
        <f>_xlfn.XLOOKUP(tblFinancials[[#This Row],[AccountKey]],tblAccounts[AccountKey],tblAccounts[AccountCategory],"")</f>
        <v>Revenue</v>
      </c>
      <c r="M44" s="8" t="str">
        <f>_xlfn.XLOOKUP(tblFinancials[[#This Row],[AccountKey]],tblAccounts[AccountKey],tblAccounts[NormalBalance],"")</f>
        <v>Credit</v>
      </c>
      <c r="N44" s="8" t="str">
        <f>_xlfn.XLOOKUP(tblFinancials[[#This Row],[DepartmentKey]],tblDepartments[DepartmentKey],tblDepartments[DepartmentName],"")</f>
        <v>Finance</v>
      </c>
      <c r="O44" s="8" t="str">
        <f>_xlfn.XLOOKUP(tblFinancials[[#This Row],[BusinessUnitKey]],tblBusinessUnits[BusinessUnitKey],tblBusinessUnits[BusinessUnitName],"")</f>
        <v>Retail</v>
      </c>
      <c r="P44" s="8" t="str">
        <f>_xlfn.XLOOKUP(tblFinancials[[#This Row],[RegionKey]],tblRegions[RegionKey],tblRegions[RegionName],"")</f>
        <v>South</v>
      </c>
    </row>
    <row r="45" spans="1:16">
      <c r="A45">
        <v>20230201</v>
      </c>
      <c r="B45">
        <v>2</v>
      </c>
      <c r="C45">
        <v>1</v>
      </c>
      <c r="D45">
        <v>3</v>
      </c>
      <c r="E45">
        <v>12</v>
      </c>
      <c r="F45" t="s">
        <v>92</v>
      </c>
      <c r="G45">
        <v>23078.76</v>
      </c>
      <c r="H45">
        <f>_xlfn.XLOOKUP(tblFinancials[[#This Row],[DateKey]],tblCalendar[DateKey],tblCalendar[FullDate],"")</f>
        <v>44958</v>
      </c>
      <c r="I45">
        <f>_xlfn.XLOOKUP(tblFinancials[[#This Row],[AccountKey]],tblAccounts[AccountKey],tblAccounts[AccountNumber],"")</f>
        <v>4010</v>
      </c>
      <c r="J45" t="str">
        <f>_xlfn.XLOOKUP(tblFinancials[[#This Row],[AccountKey]],tblAccounts[AccountKey],tblAccounts[AccountName],"")</f>
        <v>Service Revenue</v>
      </c>
      <c r="K45" s="8" t="str">
        <f>_xlfn.XLOOKUP(tblFinancials[[#This Row],[AccountKey]],tblAccounts[AccountKey],tblAccounts[FinancialStatement],"")</f>
        <v>Income Statement</v>
      </c>
      <c r="L45" s="8" t="str">
        <f>_xlfn.XLOOKUP(tblFinancials[[#This Row],[AccountKey]],tblAccounts[AccountKey],tblAccounts[AccountCategory],"")</f>
        <v>Revenue</v>
      </c>
      <c r="M45" s="8" t="str">
        <f>_xlfn.XLOOKUP(tblFinancials[[#This Row],[AccountKey]],tblAccounts[AccountKey],tblAccounts[NormalBalance],"")</f>
        <v>Credit</v>
      </c>
      <c r="N45" s="8" t="str">
        <f>_xlfn.XLOOKUP(tblFinancials[[#This Row],[DepartmentKey]],tblDepartments[DepartmentKey],tblDepartments[DepartmentName],"")</f>
        <v>Finance</v>
      </c>
      <c r="O45" s="8" t="str">
        <f>_xlfn.XLOOKUP(tblFinancials[[#This Row],[BusinessUnitKey]],tblBusinessUnits[BusinessUnitKey],tblBusinessUnits[BusinessUnitName],"")</f>
        <v xml:space="preserve">Manufacturing </v>
      </c>
      <c r="P45" s="8" t="str">
        <f>_xlfn.XLOOKUP(tblFinancials[[#This Row],[RegionKey]],tblRegions[RegionKey],tblRegions[RegionName],"")</f>
        <v>South</v>
      </c>
    </row>
    <row r="46" spans="1:16">
      <c r="A46">
        <v>20230201</v>
      </c>
      <c r="B46">
        <v>5</v>
      </c>
      <c r="C46">
        <v>3</v>
      </c>
      <c r="D46">
        <v>4</v>
      </c>
      <c r="E46">
        <v>11</v>
      </c>
      <c r="F46" t="s">
        <v>92</v>
      </c>
      <c r="G46">
        <v>23732.18</v>
      </c>
      <c r="H46">
        <f>_xlfn.XLOOKUP(tblFinancials[[#This Row],[DateKey]],tblCalendar[DateKey],tblCalendar[FullDate],"")</f>
        <v>44958</v>
      </c>
      <c r="I46">
        <f>_xlfn.XLOOKUP(tblFinancials[[#This Row],[AccountKey]],tblAccounts[AccountKey],tblAccounts[AccountNumber],"")</f>
        <v>4000</v>
      </c>
      <c r="J46" t="str">
        <f>_xlfn.XLOOKUP(tblFinancials[[#This Row],[AccountKey]],tblAccounts[AccountKey],tblAccounts[AccountName],"")</f>
        <v>Product Revenue</v>
      </c>
      <c r="K46" s="8" t="str">
        <f>_xlfn.XLOOKUP(tblFinancials[[#This Row],[AccountKey]],tblAccounts[AccountKey],tblAccounts[FinancialStatement],"")</f>
        <v>Income Statement</v>
      </c>
      <c r="L46" s="8" t="str">
        <f>_xlfn.XLOOKUP(tblFinancials[[#This Row],[AccountKey]],tblAccounts[AccountKey],tblAccounts[AccountCategory],"")</f>
        <v>Revenue</v>
      </c>
      <c r="M46" s="8" t="str">
        <f>_xlfn.XLOOKUP(tblFinancials[[#This Row],[AccountKey]],tblAccounts[AccountKey],tblAccounts[NormalBalance],"")</f>
        <v>Credit</v>
      </c>
      <c r="N46" s="8" t="str">
        <f>_xlfn.XLOOKUP(tblFinancials[[#This Row],[DepartmentKey]],tblDepartments[DepartmentKey],tblDepartments[DepartmentName],"")</f>
        <v>Marketing</v>
      </c>
      <c r="O46" s="8" t="str">
        <f>_xlfn.XLOOKUP(tblFinancials[[#This Row],[BusinessUnitKey]],tblBusinessUnits[BusinessUnitKey],tblBusinessUnits[BusinessUnitName],"")</f>
        <v>Retail</v>
      </c>
      <c r="P46" s="8" t="str">
        <f>_xlfn.XLOOKUP(tblFinancials[[#This Row],[RegionKey]],tblRegions[RegionKey],tblRegions[RegionName],"")</f>
        <v>East</v>
      </c>
    </row>
    <row r="47" spans="1:16">
      <c r="A47">
        <v>20230201</v>
      </c>
      <c r="B47">
        <v>3</v>
      </c>
      <c r="C47">
        <v>3</v>
      </c>
      <c r="D47">
        <v>1</v>
      </c>
      <c r="E47">
        <v>11</v>
      </c>
      <c r="F47" t="s">
        <v>92</v>
      </c>
      <c r="G47">
        <v>23487.89</v>
      </c>
      <c r="H47">
        <f>_xlfn.XLOOKUP(tblFinancials[[#This Row],[DateKey]],tblCalendar[DateKey],tblCalendar[FullDate],"")</f>
        <v>44958</v>
      </c>
      <c r="I47">
        <f>_xlfn.XLOOKUP(tblFinancials[[#This Row],[AccountKey]],tblAccounts[AccountKey],tblAccounts[AccountNumber],"")</f>
        <v>4000</v>
      </c>
      <c r="J47" t="str">
        <f>_xlfn.XLOOKUP(tblFinancials[[#This Row],[AccountKey]],tblAccounts[AccountKey],tblAccounts[AccountName],"")</f>
        <v>Product Revenue</v>
      </c>
      <c r="K47" s="8" t="str">
        <f>_xlfn.XLOOKUP(tblFinancials[[#This Row],[AccountKey]],tblAccounts[AccountKey],tblAccounts[FinancialStatement],"")</f>
        <v>Income Statement</v>
      </c>
      <c r="L47" s="8" t="str">
        <f>_xlfn.XLOOKUP(tblFinancials[[#This Row],[AccountKey]],tblAccounts[AccountKey],tblAccounts[AccountCategory],"")</f>
        <v>Revenue</v>
      </c>
      <c r="M47" s="8" t="str">
        <f>_xlfn.XLOOKUP(tblFinancials[[#This Row],[AccountKey]],tblAccounts[AccountKey],tblAccounts[NormalBalance],"")</f>
        <v>Credit</v>
      </c>
      <c r="N47" s="8" t="str">
        <f>_xlfn.XLOOKUP(tblFinancials[[#This Row],[DepartmentKey]],tblDepartments[DepartmentKey],tblDepartments[DepartmentName],"")</f>
        <v>Human Resources</v>
      </c>
      <c r="O47" s="8" t="str">
        <f>_xlfn.XLOOKUP(tblFinancials[[#This Row],[BusinessUnitKey]],tblBusinessUnits[BusinessUnitKey],tblBusinessUnits[BusinessUnitName],"")</f>
        <v>Retail</v>
      </c>
      <c r="P47" s="8" t="str">
        <f>_xlfn.XLOOKUP(tblFinancials[[#This Row],[RegionKey]],tblRegions[RegionKey],tblRegions[RegionName],"")</f>
        <v>West</v>
      </c>
    </row>
    <row r="48" spans="1:16">
      <c r="A48">
        <v>20230201</v>
      </c>
      <c r="B48">
        <v>8</v>
      </c>
      <c r="C48">
        <v>1</v>
      </c>
      <c r="D48">
        <v>1</v>
      </c>
      <c r="E48">
        <v>12</v>
      </c>
      <c r="F48" t="s">
        <v>92</v>
      </c>
      <c r="G48">
        <v>23591.14</v>
      </c>
      <c r="H48">
        <f>_xlfn.XLOOKUP(tblFinancials[[#This Row],[DateKey]],tblCalendar[DateKey],tblCalendar[FullDate],"")</f>
        <v>44958</v>
      </c>
      <c r="I48">
        <f>_xlfn.XLOOKUP(tblFinancials[[#This Row],[AccountKey]],tblAccounts[AccountKey],tblAccounts[AccountNumber],"")</f>
        <v>4010</v>
      </c>
      <c r="J48" t="str">
        <f>_xlfn.XLOOKUP(tblFinancials[[#This Row],[AccountKey]],tblAccounts[AccountKey],tblAccounts[AccountName],"")</f>
        <v>Service Revenue</v>
      </c>
      <c r="K48" s="8" t="str">
        <f>_xlfn.XLOOKUP(tblFinancials[[#This Row],[AccountKey]],tblAccounts[AccountKey],tblAccounts[FinancialStatement],"")</f>
        <v>Income Statement</v>
      </c>
      <c r="L48" s="8" t="str">
        <f>_xlfn.XLOOKUP(tblFinancials[[#This Row],[AccountKey]],tblAccounts[AccountKey],tblAccounts[AccountCategory],"")</f>
        <v>Revenue</v>
      </c>
      <c r="M48" s="8" t="str">
        <f>_xlfn.XLOOKUP(tblFinancials[[#This Row],[AccountKey]],tblAccounts[AccountKey],tblAccounts[NormalBalance],"")</f>
        <v>Credit</v>
      </c>
      <c r="N48" s="8" t="str">
        <f>_xlfn.XLOOKUP(tblFinancials[[#This Row],[DepartmentKey]],tblDepartments[DepartmentKey],tblDepartments[DepartmentName],"")</f>
        <v>Customer Service</v>
      </c>
      <c r="O48" s="8" t="str">
        <f>_xlfn.XLOOKUP(tblFinancials[[#This Row],[BusinessUnitKey]],tblBusinessUnits[BusinessUnitKey],tblBusinessUnits[BusinessUnitName],"")</f>
        <v xml:space="preserve">Manufacturing </v>
      </c>
      <c r="P48" s="8" t="str">
        <f>_xlfn.XLOOKUP(tblFinancials[[#This Row],[RegionKey]],tblRegions[RegionKey],tblRegions[RegionName],"")</f>
        <v>West</v>
      </c>
    </row>
    <row r="49" spans="1:16">
      <c r="A49">
        <v>20230201</v>
      </c>
      <c r="B49">
        <v>8</v>
      </c>
      <c r="C49">
        <v>4</v>
      </c>
      <c r="D49">
        <v>4</v>
      </c>
      <c r="E49">
        <v>13</v>
      </c>
      <c r="F49" t="s">
        <v>92</v>
      </c>
      <c r="G49">
        <v>26477.4</v>
      </c>
      <c r="H49">
        <f>_xlfn.XLOOKUP(tblFinancials[[#This Row],[DateKey]],tblCalendar[DateKey],tblCalendar[FullDate],"")</f>
        <v>44958</v>
      </c>
      <c r="I49">
        <f>_xlfn.XLOOKUP(tblFinancials[[#This Row],[AccountKey]],tblAccounts[AccountKey],tblAccounts[AccountNumber],"")</f>
        <v>4020</v>
      </c>
      <c r="J49" t="str">
        <f>_xlfn.XLOOKUP(tblFinancials[[#This Row],[AccountKey]],tblAccounts[AccountKey],tblAccounts[AccountName],"")</f>
        <v>Online Revenue</v>
      </c>
      <c r="K49" s="8" t="str">
        <f>_xlfn.XLOOKUP(tblFinancials[[#This Row],[AccountKey]],tblAccounts[AccountKey],tblAccounts[FinancialStatement],"")</f>
        <v>Income Statement</v>
      </c>
      <c r="L49" s="8" t="str">
        <f>_xlfn.XLOOKUP(tblFinancials[[#This Row],[AccountKey]],tblAccounts[AccountKey],tblAccounts[AccountCategory],"")</f>
        <v>Revenue</v>
      </c>
      <c r="M49" s="8" t="str">
        <f>_xlfn.XLOOKUP(tblFinancials[[#This Row],[AccountKey]],tblAccounts[AccountKey],tblAccounts[NormalBalance],"")</f>
        <v>Credit</v>
      </c>
      <c r="N49" s="8" t="str">
        <f>_xlfn.XLOOKUP(tblFinancials[[#This Row],[DepartmentKey]],tblDepartments[DepartmentKey],tblDepartments[DepartmentName],"")</f>
        <v>Customer Service</v>
      </c>
      <c r="O49" s="8" t="str">
        <f>_xlfn.XLOOKUP(tblFinancials[[#This Row],[BusinessUnitKey]],tblBusinessUnits[BusinessUnitKey],tblBusinessUnits[BusinessUnitName],"")</f>
        <v>E-Commerce</v>
      </c>
      <c r="P49" s="8" t="str">
        <f>_xlfn.XLOOKUP(tblFinancials[[#This Row],[RegionKey]],tblRegions[RegionKey],tblRegions[RegionName],"")</f>
        <v>East</v>
      </c>
    </row>
    <row r="50" spans="1:16">
      <c r="A50">
        <v>20230201</v>
      </c>
      <c r="B50">
        <v>8</v>
      </c>
      <c r="C50">
        <v>2</v>
      </c>
      <c r="D50">
        <v>2</v>
      </c>
      <c r="E50">
        <v>14</v>
      </c>
      <c r="F50" t="s">
        <v>92</v>
      </c>
      <c r="G50">
        <v>-13847.21</v>
      </c>
      <c r="H50">
        <f>_xlfn.XLOOKUP(tblFinancials[[#This Row],[DateKey]],tblCalendar[DateKey],tblCalendar[FullDate],"")</f>
        <v>44958</v>
      </c>
      <c r="I50">
        <f>_xlfn.XLOOKUP(tblFinancials[[#This Row],[AccountKey]],tblAccounts[AccountKey],tblAccounts[AccountNumber],"")</f>
        <v>5000</v>
      </c>
      <c r="J50" t="str">
        <f>_xlfn.XLOOKUP(tblFinancials[[#This Row],[AccountKey]],tblAccounts[AccountKey],tblAccounts[AccountName],"")</f>
        <v>Cost of Goods Sold</v>
      </c>
      <c r="K50" s="8" t="str">
        <f>_xlfn.XLOOKUP(tblFinancials[[#This Row],[AccountKey]],tblAccounts[AccountKey],tblAccounts[FinancialStatement],"")</f>
        <v>Income Statement</v>
      </c>
      <c r="L50" s="8" t="str">
        <f>_xlfn.XLOOKUP(tblFinancials[[#This Row],[AccountKey]],tblAccounts[AccountKey],tblAccounts[AccountCategory],"")</f>
        <v>Cost of Sales</v>
      </c>
      <c r="M50" s="8" t="str">
        <f>_xlfn.XLOOKUP(tblFinancials[[#This Row],[AccountKey]],tblAccounts[AccountKey],tblAccounts[NormalBalance],"")</f>
        <v>Debit</v>
      </c>
      <c r="N50" s="8" t="str">
        <f>_xlfn.XLOOKUP(tblFinancials[[#This Row],[DepartmentKey]],tblDepartments[DepartmentKey],tblDepartments[DepartmentName],"")</f>
        <v>Customer Service</v>
      </c>
      <c r="O50" s="8" t="str">
        <f>_xlfn.XLOOKUP(tblFinancials[[#This Row],[BusinessUnitKey]],tblBusinessUnits[BusinessUnitKey],tblBusinessUnits[BusinessUnitName],"")</f>
        <v>Wholesale</v>
      </c>
      <c r="P50" s="8" t="str">
        <f>_xlfn.XLOOKUP(tblFinancials[[#This Row],[RegionKey]],tblRegions[RegionKey],tblRegions[RegionName],"")</f>
        <v>Midwest</v>
      </c>
    </row>
    <row r="51" spans="1:16">
      <c r="A51">
        <v>20230201</v>
      </c>
      <c r="B51">
        <v>4</v>
      </c>
      <c r="C51">
        <v>2</v>
      </c>
      <c r="D51">
        <v>1</v>
      </c>
      <c r="E51">
        <v>14</v>
      </c>
      <c r="F51" t="s">
        <v>92</v>
      </c>
      <c r="G51">
        <v>-13637.96</v>
      </c>
      <c r="H51">
        <f>_xlfn.XLOOKUP(tblFinancials[[#This Row],[DateKey]],tblCalendar[DateKey],tblCalendar[FullDate],"")</f>
        <v>44958</v>
      </c>
      <c r="I51">
        <f>_xlfn.XLOOKUP(tblFinancials[[#This Row],[AccountKey]],tblAccounts[AccountKey],tblAccounts[AccountNumber],"")</f>
        <v>5000</v>
      </c>
      <c r="J51" t="str">
        <f>_xlfn.XLOOKUP(tblFinancials[[#This Row],[AccountKey]],tblAccounts[AccountKey],tblAccounts[AccountName],"")</f>
        <v>Cost of Goods Sold</v>
      </c>
      <c r="K51" s="8" t="str">
        <f>_xlfn.XLOOKUP(tblFinancials[[#This Row],[AccountKey]],tblAccounts[AccountKey],tblAccounts[FinancialStatement],"")</f>
        <v>Income Statement</v>
      </c>
      <c r="L51" s="8" t="str">
        <f>_xlfn.XLOOKUP(tblFinancials[[#This Row],[AccountKey]],tblAccounts[AccountKey],tblAccounts[AccountCategory],"")</f>
        <v>Cost of Sales</v>
      </c>
      <c r="M51" s="8" t="str">
        <f>_xlfn.XLOOKUP(tblFinancials[[#This Row],[AccountKey]],tblAccounts[AccountKey],tblAccounts[NormalBalance],"")</f>
        <v>Debit</v>
      </c>
      <c r="N51" s="8" t="str">
        <f>_xlfn.XLOOKUP(tblFinancials[[#This Row],[DepartmentKey]],tblDepartments[DepartmentKey],tblDepartments[DepartmentName],"")</f>
        <v>Sales</v>
      </c>
      <c r="O51" s="8" t="str">
        <f>_xlfn.XLOOKUP(tblFinancials[[#This Row],[BusinessUnitKey]],tblBusinessUnits[BusinessUnitKey],tblBusinessUnits[BusinessUnitName],"")</f>
        <v>Wholesale</v>
      </c>
      <c r="P51" s="8" t="str">
        <f>_xlfn.XLOOKUP(tblFinancials[[#This Row],[RegionKey]],tblRegions[RegionKey],tblRegions[RegionName],"")</f>
        <v>West</v>
      </c>
    </row>
    <row r="52" spans="1:16">
      <c r="A52">
        <v>20230201</v>
      </c>
      <c r="B52">
        <v>2</v>
      </c>
      <c r="C52">
        <v>1</v>
      </c>
      <c r="D52">
        <v>1</v>
      </c>
      <c r="E52">
        <v>14</v>
      </c>
      <c r="F52" t="s">
        <v>92</v>
      </c>
      <c r="G52">
        <v>-14152.1</v>
      </c>
      <c r="H52">
        <f>_xlfn.XLOOKUP(tblFinancials[[#This Row],[DateKey]],tblCalendar[DateKey],tblCalendar[FullDate],"")</f>
        <v>44958</v>
      </c>
      <c r="I52">
        <f>_xlfn.XLOOKUP(tblFinancials[[#This Row],[AccountKey]],tblAccounts[AccountKey],tblAccounts[AccountNumber],"")</f>
        <v>5000</v>
      </c>
      <c r="J52" t="str">
        <f>_xlfn.XLOOKUP(tblFinancials[[#This Row],[AccountKey]],tblAccounts[AccountKey],tblAccounts[AccountName],"")</f>
        <v>Cost of Goods Sold</v>
      </c>
      <c r="K52" s="8" t="str">
        <f>_xlfn.XLOOKUP(tblFinancials[[#This Row],[AccountKey]],tblAccounts[AccountKey],tblAccounts[FinancialStatement],"")</f>
        <v>Income Statement</v>
      </c>
      <c r="L52" s="8" t="str">
        <f>_xlfn.XLOOKUP(tblFinancials[[#This Row],[AccountKey]],tblAccounts[AccountKey],tblAccounts[AccountCategory],"")</f>
        <v>Cost of Sales</v>
      </c>
      <c r="M52" s="8" t="str">
        <f>_xlfn.XLOOKUP(tblFinancials[[#This Row],[AccountKey]],tblAccounts[AccountKey],tblAccounts[NormalBalance],"")</f>
        <v>Debit</v>
      </c>
      <c r="N52" s="8" t="str">
        <f>_xlfn.XLOOKUP(tblFinancials[[#This Row],[DepartmentKey]],tblDepartments[DepartmentKey],tblDepartments[DepartmentName],"")</f>
        <v>Finance</v>
      </c>
      <c r="O52" s="8" t="str">
        <f>_xlfn.XLOOKUP(tblFinancials[[#This Row],[BusinessUnitKey]],tblBusinessUnits[BusinessUnitKey],tblBusinessUnits[BusinessUnitName],"")</f>
        <v xml:space="preserve">Manufacturing </v>
      </c>
      <c r="P52" s="8" t="str">
        <f>_xlfn.XLOOKUP(tblFinancials[[#This Row],[RegionKey]],tblRegions[RegionKey],tblRegions[RegionName],"")</f>
        <v>West</v>
      </c>
    </row>
    <row r="53" spans="1:16">
      <c r="A53">
        <v>20230201</v>
      </c>
      <c r="B53">
        <v>3</v>
      </c>
      <c r="C53">
        <v>2</v>
      </c>
      <c r="D53">
        <v>4</v>
      </c>
      <c r="E53">
        <v>14</v>
      </c>
      <c r="F53" t="s">
        <v>92</v>
      </c>
      <c r="G53">
        <v>-14021.67</v>
      </c>
      <c r="H53">
        <f>_xlfn.XLOOKUP(tblFinancials[[#This Row],[DateKey]],tblCalendar[DateKey],tblCalendar[FullDate],"")</f>
        <v>44958</v>
      </c>
      <c r="I53">
        <f>_xlfn.XLOOKUP(tblFinancials[[#This Row],[AccountKey]],tblAccounts[AccountKey],tblAccounts[AccountNumber],"")</f>
        <v>5000</v>
      </c>
      <c r="J53" t="str">
        <f>_xlfn.XLOOKUP(tblFinancials[[#This Row],[AccountKey]],tblAccounts[AccountKey],tblAccounts[AccountName],"")</f>
        <v>Cost of Goods Sold</v>
      </c>
      <c r="K53" s="8" t="str">
        <f>_xlfn.XLOOKUP(tblFinancials[[#This Row],[AccountKey]],tblAccounts[AccountKey],tblAccounts[FinancialStatement],"")</f>
        <v>Income Statement</v>
      </c>
      <c r="L53" s="8" t="str">
        <f>_xlfn.XLOOKUP(tblFinancials[[#This Row],[AccountKey]],tblAccounts[AccountKey],tblAccounts[AccountCategory],"")</f>
        <v>Cost of Sales</v>
      </c>
      <c r="M53" s="8" t="str">
        <f>_xlfn.XLOOKUP(tblFinancials[[#This Row],[AccountKey]],tblAccounts[AccountKey],tblAccounts[NormalBalance],"")</f>
        <v>Debit</v>
      </c>
      <c r="N53" s="8" t="str">
        <f>_xlfn.XLOOKUP(tblFinancials[[#This Row],[DepartmentKey]],tblDepartments[DepartmentKey],tblDepartments[DepartmentName],"")</f>
        <v>Human Resources</v>
      </c>
      <c r="O53" s="8" t="str">
        <f>_xlfn.XLOOKUP(tblFinancials[[#This Row],[BusinessUnitKey]],tblBusinessUnits[BusinessUnitKey],tblBusinessUnits[BusinessUnitName],"")</f>
        <v>Wholesale</v>
      </c>
      <c r="P53" s="8" t="str">
        <f>_xlfn.XLOOKUP(tblFinancials[[#This Row],[RegionKey]],tblRegions[RegionKey],tblRegions[RegionName],"")</f>
        <v>East</v>
      </c>
    </row>
    <row r="54" spans="1:16">
      <c r="A54">
        <v>20230201</v>
      </c>
      <c r="B54">
        <v>5</v>
      </c>
      <c r="C54">
        <v>1</v>
      </c>
      <c r="D54">
        <v>3</v>
      </c>
      <c r="E54">
        <v>14</v>
      </c>
      <c r="F54" t="s">
        <v>92</v>
      </c>
      <c r="G54">
        <v>-13340.53</v>
      </c>
      <c r="H54">
        <f>_xlfn.XLOOKUP(tblFinancials[[#This Row],[DateKey]],tblCalendar[DateKey],tblCalendar[FullDate],"")</f>
        <v>44958</v>
      </c>
      <c r="I54">
        <f>_xlfn.XLOOKUP(tblFinancials[[#This Row],[AccountKey]],tblAccounts[AccountKey],tblAccounts[AccountNumber],"")</f>
        <v>5000</v>
      </c>
      <c r="J54" t="str">
        <f>_xlfn.XLOOKUP(tblFinancials[[#This Row],[AccountKey]],tblAccounts[AccountKey],tblAccounts[AccountName],"")</f>
        <v>Cost of Goods Sold</v>
      </c>
      <c r="K54" s="8" t="str">
        <f>_xlfn.XLOOKUP(tblFinancials[[#This Row],[AccountKey]],tblAccounts[AccountKey],tblAccounts[FinancialStatement],"")</f>
        <v>Income Statement</v>
      </c>
      <c r="L54" s="8" t="str">
        <f>_xlfn.XLOOKUP(tblFinancials[[#This Row],[AccountKey]],tblAccounts[AccountKey],tblAccounts[AccountCategory],"")</f>
        <v>Cost of Sales</v>
      </c>
      <c r="M54" s="8" t="str">
        <f>_xlfn.XLOOKUP(tblFinancials[[#This Row],[AccountKey]],tblAccounts[AccountKey],tblAccounts[NormalBalance],"")</f>
        <v>Debit</v>
      </c>
      <c r="N54" s="8" t="str">
        <f>_xlfn.XLOOKUP(tblFinancials[[#This Row],[DepartmentKey]],tblDepartments[DepartmentKey],tblDepartments[DepartmentName],"")</f>
        <v>Marketing</v>
      </c>
      <c r="O54" s="8" t="str">
        <f>_xlfn.XLOOKUP(tblFinancials[[#This Row],[BusinessUnitKey]],tblBusinessUnits[BusinessUnitKey],tblBusinessUnits[BusinessUnitName],"")</f>
        <v xml:space="preserve">Manufacturing </v>
      </c>
      <c r="P54" s="8" t="str">
        <f>_xlfn.XLOOKUP(tblFinancials[[#This Row],[RegionKey]],tblRegions[RegionKey],tblRegions[RegionName],"")</f>
        <v>South</v>
      </c>
    </row>
    <row r="55" spans="1:16">
      <c r="A55">
        <v>20230201</v>
      </c>
      <c r="B55">
        <v>3</v>
      </c>
      <c r="C55">
        <v>4</v>
      </c>
      <c r="D55">
        <v>1</v>
      </c>
      <c r="E55">
        <v>14</v>
      </c>
      <c r="F55" t="s">
        <v>92</v>
      </c>
      <c r="G55">
        <v>-15302.88</v>
      </c>
      <c r="H55">
        <f>_xlfn.XLOOKUP(tblFinancials[[#This Row],[DateKey]],tblCalendar[DateKey],tblCalendar[FullDate],"")</f>
        <v>44958</v>
      </c>
      <c r="I55">
        <f>_xlfn.XLOOKUP(tblFinancials[[#This Row],[AccountKey]],tblAccounts[AccountKey],tblAccounts[AccountNumber],"")</f>
        <v>5000</v>
      </c>
      <c r="J55" t="str">
        <f>_xlfn.XLOOKUP(tblFinancials[[#This Row],[AccountKey]],tblAccounts[AccountKey],tblAccounts[AccountName],"")</f>
        <v>Cost of Goods Sold</v>
      </c>
      <c r="K55" s="8" t="str">
        <f>_xlfn.XLOOKUP(tblFinancials[[#This Row],[AccountKey]],tblAccounts[AccountKey],tblAccounts[FinancialStatement],"")</f>
        <v>Income Statement</v>
      </c>
      <c r="L55" s="8" t="str">
        <f>_xlfn.XLOOKUP(tblFinancials[[#This Row],[AccountKey]],tblAccounts[AccountKey],tblAccounts[AccountCategory],"")</f>
        <v>Cost of Sales</v>
      </c>
      <c r="M55" s="8" t="str">
        <f>_xlfn.XLOOKUP(tblFinancials[[#This Row],[AccountKey]],tblAccounts[AccountKey],tblAccounts[NormalBalance],"")</f>
        <v>Debit</v>
      </c>
      <c r="N55" s="8" t="str">
        <f>_xlfn.XLOOKUP(tblFinancials[[#This Row],[DepartmentKey]],tblDepartments[DepartmentKey],tblDepartments[DepartmentName],"")</f>
        <v>Human Resources</v>
      </c>
      <c r="O55" s="8" t="str">
        <f>_xlfn.XLOOKUP(tblFinancials[[#This Row],[BusinessUnitKey]],tblBusinessUnits[BusinessUnitKey],tblBusinessUnits[BusinessUnitName],"")</f>
        <v>E-Commerce</v>
      </c>
      <c r="P55" s="8" t="str">
        <f>_xlfn.XLOOKUP(tblFinancials[[#This Row],[RegionKey]],tblRegions[RegionKey],tblRegions[RegionName],"")</f>
        <v>West</v>
      </c>
    </row>
    <row r="56" spans="1:16">
      <c r="A56">
        <v>20230201</v>
      </c>
      <c r="B56">
        <v>6</v>
      </c>
      <c r="C56">
        <v>1</v>
      </c>
      <c r="D56">
        <v>2</v>
      </c>
      <c r="E56">
        <v>14</v>
      </c>
      <c r="F56" t="s">
        <v>92</v>
      </c>
      <c r="G56">
        <v>-13782.63</v>
      </c>
      <c r="H56">
        <f>_xlfn.XLOOKUP(tblFinancials[[#This Row],[DateKey]],tblCalendar[DateKey],tblCalendar[FullDate],"")</f>
        <v>44958</v>
      </c>
      <c r="I56">
        <f>_xlfn.XLOOKUP(tblFinancials[[#This Row],[AccountKey]],tblAccounts[AccountKey],tblAccounts[AccountNumber],"")</f>
        <v>5000</v>
      </c>
      <c r="J56" t="str">
        <f>_xlfn.XLOOKUP(tblFinancials[[#This Row],[AccountKey]],tblAccounts[AccountKey],tblAccounts[AccountName],"")</f>
        <v>Cost of Goods Sold</v>
      </c>
      <c r="K56" s="8" t="str">
        <f>_xlfn.XLOOKUP(tblFinancials[[#This Row],[AccountKey]],tblAccounts[AccountKey],tblAccounts[FinancialStatement],"")</f>
        <v>Income Statement</v>
      </c>
      <c r="L56" s="8" t="str">
        <f>_xlfn.XLOOKUP(tblFinancials[[#This Row],[AccountKey]],tblAccounts[AccountKey],tblAccounts[AccountCategory],"")</f>
        <v>Cost of Sales</v>
      </c>
      <c r="M56" s="8" t="str">
        <f>_xlfn.XLOOKUP(tblFinancials[[#This Row],[AccountKey]],tblAccounts[AccountKey],tblAccounts[NormalBalance],"")</f>
        <v>Debit</v>
      </c>
      <c r="N56" s="8" t="str">
        <f>_xlfn.XLOOKUP(tblFinancials[[#This Row],[DepartmentKey]],tblDepartments[DepartmentKey],tblDepartments[DepartmentName],"")</f>
        <v>Operations</v>
      </c>
      <c r="O56" s="8" t="str">
        <f>_xlfn.XLOOKUP(tblFinancials[[#This Row],[BusinessUnitKey]],tblBusinessUnits[BusinessUnitKey],tblBusinessUnits[BusinessUnitName],"")</f>
        <v xml:space="preserve">Manufacturing </v>
      </c>
      <c r="P56" s="8" t="str">
        <f>_xlfn.XLOOKUP(tblFinancials[[#This Row],[RegionKey]],tblRegions[RegionKey],tblRegions[RegionName],"")</f>
        <v>Midwest</v>
      </c>
    </row>
    <row r="57" spans="1:16">
      <c r="A57">
        <v>20230201</v>
      </c>
      <c r="B57">
        <v>4</v>
      </c>
      <c r="C57">
        <v>3</v>
      </c>
      <c r="D57">
        <v>4</v>
      </c>
      <c r="E57">
        <v>14</v>
      </c>
      <c r="F57" t="s">
        <v>92</v>
      </c>
      <c r="G57">
        <v>-13610.67</v>
      </c>
      <c r="H57">
        <f>_xlfn.XLOOKUP(tblFinancials[[#This Row],[DateKey]],tblCalendar[DateKey],tblCalendar[FullDate],"")</f>
        <v>44958</v>
      </c>
      <c r="I57">
        <f>_xlfn.XLOOKUP(tblFinancials[[#This Row],[AccountKey]],tblAccounts[AccountKey],tblAccounts[AccountNumber],"")</f>
        <v>5000</v>
      </c>
      <c r="J57" t="str">
        <f>_xlfn.XLOOKUP(tblFinancials[[#This Row],[AccountKey]],tblAccounts[AccountKey],tblAccounts[AccountName],"")</f>
        <v>Cost of Goods Sold</v>
      </c>
      <c r="K57" s="8" t="str">
        <f>_xlfn.XLOOKUP(tblFinancials[[#This Row],[AccountKey]],tblAccounts[AccountKey],tblAccounts[FinancialStatement],"")</f>
        <v>Income Statement</v>
      </c>
      <c r="L57" s="8" t="str">
        <f>_xlfn.XLOOKUP(tblFinancials[[#This Row],[AccountKey]],tblAccounts[AccountKey],tblAccounts[AccountCategory],"")</f>
        <v>Cost of Sales</v>
      </c>
      <c r="M57" s="8" t="str">
        <f>_xlfn.XLOOKUP(tblFinancials[[#This Row],[AccountKey]],tblAccounts[AccountKey],tblAccounts[NormalBalance],"")</f>
        <v>Debit</v>
      </c>
      <c r="N57" s="8" t="str">
        <f>_xlfn.XLOOKUP(tblFinancials[[#This Row],[DepartmentKey]],tblDepartments[DepartmentKey],tblDepartments[DepartmentName],"")</f>
        <v>Sales</v>
      </c>
      <c r="O57" s="8" t="str">
        <f>_xlfn.XLOOKUP(tblFinancials[[#This Row],[BusinessUnitKey]],tblBusinessUnits[BusinessUnitKey],tblBusinessUnits[BusinessUnitName],"")</f>
        <v>Retail</v>
      </c>
      <c r="P57" s="8" t="str">
        <f>_xlfn.XLOOKUP(tblFinancials[[#This Row],[RegionKey]],tblRegions[RegionKey],tblRegions[RegionName],"")</f>
        <v>East</v>
      </c>
    </row>
    <row r="58" spans="1:16">
      <c r="A58">
        <v>20230201</v>
      </c>
      <c r="B58">
        <v>5</v>
      </c>
      <c r="C58">
        <v>3</v>
      </c>
      <c r="D58">
        <v>2</v>
      </c>
      <c r="E58">
        <v>14</v>
      </c>
      <c r="F58" t="s">
        <v>92</v>
      </c>
      <c r="G58">
        <v>-15300.89</v>
      </c>
      <c r="H58">
        <f>_xlfn.XLOOKUP(tblFinancials[[#This Row],[DateKey]],tblCalendar[DateKey],tblCalendar[FullDate],"")</f>
        <v>44958</v>
      </c>
      <c r="I58">
        <f>_xlfn.XLOOKUP(tblFinancials[[#This Row],[AccountKey]],tblAccounts[AccountKey],tblAccounts[AccountNumber],"")</f>
        <v>5000</v>
      </c>
      <c r="J58" t="str">
        <f>_xlfn.XLOOKUP(tblFinancials[[#This Row],[AccountKey]],tblAccounts[AccountKey],tblAccounts[AccountName],"")</f>
        <v>Cost of Goods Sold</v>
      </c>
      <c r="K58" s="8" t="str">
        <f>_xlfn.XLOOKUP(tblFinancials[[#This Row],[AccountKey]],tblAccounts[AccountKey],tblAccounts[FinancialStatement],"")</f>
        <v>Income Statement</v>
      </c>
      <c r="L58" s="8" t="str">
        <f>_xlfn.XLOOKUP(tblFinancials[[#This Row],[AccountKey]],tblAccounts[AccountKey],tblAccounts[AccountCategory],"")</f>
        <v>Cost of Sales</v>
      </c>
      <c r="M58" s="8" t="str">
        <f>_xlfn.XLOOKUP(tblFinancials[[#This Row],[AccountKey]],tblAccounts[AccountKey],tblAccounts[NormalBalance],"")</f>
        <v>Debit</v>
      </c>
      <c r="N58" s="8" t="str">
        <f>_xlfn.XLOOKUP(tblFinancials[[#This Row],[DepartmentKey]],tblDepartments[DepartmentKey],tblDepartments[DepartmentName],"")</f>
        <v>Marketing</v>
      </c>
      <c r="O58" s="8" t="str">
        <f>_xlfn.XLOOKUP(tblFinancials[[#This Row],[BusinessUnitKey]],tblBusinessUnits[BusinessUnitKey],tblBusinessUnits[BusinessUnitName],"")</f>
        <v>Retail</v>
      </c>
      <c r="P58" s="8" t="str">
        <f>_xlfn.XLOOKUP(tblFinancials[[#This Row],[RegionKey]],tblRegions[RegionKey],tblRegions[RegionName],"")</f>
        <v>Midwest</v>
      </c>
    </row>
    <row r="59" spans="1:16">
      <c r="A59">
        <v>20230201</v>
      </c>
      <c r="B59">
        <v>1</v>
      </c>
      <c r="C59">
        <v>4</v>
      </c>
      <c r="D59">
        <v>4</v>
      </c>
      <c r="E59">
        <v>14</v>
      </c>
      <c r="F59" t="s">
        <v>92</v>
      </c>
      <c r="G59">
        <v>-14479.79</v>
      </c>
      <c r="H59">
        <f>_xlfn.XLOOKUP(tblFinancials[[#This Row],[DateKey]],tblCalendar[DateKey],tblCalendar[FullDate],"")</f>
        <v>44958</v>
      </c>
      <c r="I59">
        <f>_xlfn.XLOOKUP(tblFinancials[[#This Row],[AccountKey]],tblAccounts[AccountKey],tblAccounts[AccountNumber],"")</f>
        <v>5000</v>
      </c>
      <c r="J59" t="str">
        <f>_xlfn.XLOOKUP(tblFinancials[[#This Row],[AccountKey]],tblAccounts[AccountKey],tblAccounts[AccountName],"")</f>
        <v>Cost of Goods Sold</v>
      </c>
      <c r="K59" s="8" t="str">
        <f>_xlfn.XLOOKUP(tblFinancials[[#This Row],[AccountKey]],tblAccounts[AccountKey],tblAccounts[FinancialStatement],"")</f>
        <v>Income Statement</v>
      </c>
      <c r="L59" s="8" t="str">
        <f>_xlfn.XLOOKUP(tblFinancials[[#This Row],[AccountKey]],tblAccounts[AccountKey],tblAccounts[AccountCategory],"")</f>
        <v>Cost of Sales</v>
      </c>
      <c r="M59" s="8" t="str">
        <f>_xlfn.XLOOKUP(tblFinancials[[#This Row],[AccountKey]],tblAccounts[AccountKey],tblAccounts[NormalBalance],"")</f>
        <v>Debit</v>
      </c>
      <c r="N59" s="8" t="str">
        <f>_xlfn.XLOOKUP(tblFinancials[[#This Row],[DepartmentKey]],tblDepartments[DepartmentKey],tblDepartments[DepartmentName],"")</f>
        <v>Executive</v>
      </c>
      <c r="O59" s="8" t="str">
        <f>_xlfn.XLOOKUP(tblFinancials[[#This Row],[BusinessUnitKey]],tblBusinessUnits[BusinessUnitKey],tblBusinessUnits[BusinessUnitName],"")</f>
        <v>E-Commerce</v>
      </c>
      <c r="P59" s="8" t="str">
        <f>_xlfn.XLOOKUP(tblFinancials[[#This Row],[RegionKey]],tblRegions[RegionKey],tblRegions[RegionName],"")</f>
        <v>East</v>
      </c>
    </row>
    <row r="60" spans="1:16">
      <c r="A60">
        <v>20230201</v>
      </c>
      <c r="B60">
        <v>6</v>
      </c>
      <c r="C60">
        <v>2</v>
      </c>
      <c r="D60">
        <v>3</v>
      </c>
      <c r="E60">
        <v>14</v>
      </c>
      <c r="F60" t="s">
        <v>92</v>
      </c>
      <c r="G60">
        <v>-14383.67</v>
      </c>
      <c r="H60">
        <f>_xlfn.XLOOKUP(tblFinancials[[#This Row],[DateKey]],tblCalendar[DateKey],tblCalendar[FullDate],"")</f>
        <v>44958</v>
      </c>
      <c r="I60">
        <f>_xlfn.XLOOKUP(tblFinancials[[#This Row],[AccountKey]],tblAccounts[AccountKey],tblAccounts[AccountNumber],"")</f>
        <v>5000</v>
      </c>
      <c r="J60" t="str">
        <f>_xlfn.XLOOKUP(tblFinancials[[#This Row],[AccountKey]],tblAccounts[AccountKey],tblAccounts[AccountName],"")</f>
        <v>Cost of Goods Sold</v>
      </c>
      <c r="K60" s="8" t="str">
        <f>_xlfn.XLOOKUP(tblFinancials[[#This Row],[AccountKey]],tblAccounts[AccountKey],tblAccounts[FinancialStatement],"")</f>
        <v>Income Statement</v>
      </c>
      <c r="L60" s="8" t="str">
        <f>_xlfn.XLOOKUP(tblFinancials[[#This Row],[AccountKey]],tblAccounts[AccountKey],tblAccounts[AccountCategory],"")</f>
        <v>Cost of Sales</v>
      </c>
      <c r="M60" s="8" t="str">
        <f>_xlfn.XLOOKUP(tblFinancials[[#This Row],[AccountKey]],tblAccounts[AccountKey],tblAccounts[NormalBalance],"")</f>
        <v>Debit</v>
      </c>
      <c r="N60" s="8" t="str">
        <f>_xlfn.XLOOKUP(tblFinancials[[#This Row],[DepartmentKey]],tblDepartments[DepartmentKey],tblDepartments[DepartmentName],"")</f>
        <v>Operations</v>
      </c>
      <c r="O60" s="8" t="str">
        <f>_xlfn.XLOOKUP(tblFinancials[[#This Row],[BusinessUnitKey]],tblBusinessUnits[BusinessUnitKey],tblBusinessUnits[BusinessUnitName],"")</f>
        <v>Wholesale</v>
      </c>
      <c r="P60" s="8" t="str">
        <f>_xlfn.XLOOKUP(tblFinancials[[#This Row],[RegionKey]],tblRegions[RegionKey],tblRegions[RegionName],"")</f>
        <v>South</v>
      </c>
    </row>
    <row r="61" spans="1:16">
      <c r="A61">
        <v>20230201</v>
      </c>
      <c r="B61">
        <v>2</v>
      </c>
      <c r="C61">
        <v>4</v>
      </c>
      <c r="D61">
        <v>3</v>
      </c>
      <c r="E61">
        <v>14</v>
      </c>
      <c r="F61" t="s">
        <v>92</v>
      </c>
      <c r="G61">
        <v>-14450.39</v>
      </c>
      <c r="H61">
        <f>_xlfn.XLOOKUP(tblFinancials[[#This Row],[DateKey]],tblCalendar[DateKey],tblCalendar[FullDate],"")</f>
        <v>44958</v>
      </c>
      <c r="I61">
        <f>_xlfn.XLOOKUP(tblFinancials[[#This Row],[AccountKey]],tblAccounts[AccountKey],tblAccounts[AccountNumber],"")</f>
        <v>5000</v>
      </c>
      <c r="J61" t="str">
        <f>_xlfn.XLOOKUP(tblFinancials[[#This Row],[AccountKey]],tblAccounts[AccountKey],tblAccounts[AccountName],"")</f>
        <v>Cost of Goods Sold</v>
      </c>
      <c r="K61" s="8" t="str">
        <f>_xlfn.XLOOKUP(tblFinancials[[#This Row],[AccountKey]],tblAccounts[AccountKey],tblAccounts[FinancialStatement],"")</f>
        <v>Income Statement</v>
      </c>
      <c r="L61" s="8" t="str">
        <f>_xlfn.XLOOKUP(tblFinancials[[#This Row],[AccountKey]],tblAccounts[AccountKey],tblAccounts[AccountCategory],"")</f>
        <v>Cost of Sales</v>
      </c>
      <c r="M61" s="8" t="str">
        <f>_xlfn.XLOOKUP(tblFinancials[[#This Row],[AccountKey]],tblAccounts[AccountKey],tblAccounts[NormalBalance],"")</f>
        <v>Debit</v>
      </c>
      <c r="N61" s="8" t="str">
        <f>_xlfn.XLOOKUP(tblFinancials[[#This Row],[DepartmentKey]],tblDepartments[DepartmentKey],tblDepartments[DepartmentName],"")</f>
        <v>Finance</v>
      </c>
      <c r="O61" s="8" t="str">
        <f>_xlfn.XLOOKUP(tblFinancials[[#This Row],[BusinessUnitKey]],tblBusinessUnits[BusinessUnitKey],tblBusinessUnits[BusinessUnitName],"")</f>
        <v>E-Commerce</v>
      </c>
      <c r="P61" s="8" t="str">
        <f>_xlfn.XLOOKUP(tblFinancials[[#This Row],[RegionKey]],tblRegions[RegionKey],tblRegions[RegionName],"")</f>
        <v>South</v>
      </c>
    </row>
    <row r="62" spans="1:16">
      <c r="A62">
        <v>20230201</v>
      </c>
      <c r="B62">
        <v>1</v>
      </c>
      <c r="C62">
        <v>2</v>
      </c>
      <c r="D62">
        <v>2</v>
      </c>
      <c r="E62">
        <v>20</v>
      </c>
      <c r="F62" t="s">
        <v>92</v>
      </c>
      <c r="G62">
        <v>-4926.18</v>
      </c>
      <c r="H62">
        <f>_xlfn.XLOOKUP(tblFinancials[[#This Row],[DateKey]],tblCalendar[DateKey],tblCalendar[FullDate],"")</f>
        <v>44958</v>
      </c>
      <c r="I62">
        <f>_xlfn.XLOOKUP(tblFinancials[[#This Row],[AccountKey]],tblAccounts[AccountKey],tblAccounts[AccountNumber],"")</f>
        <v>6500</v>
      </c>
      <c r="J62" t="str">
        <f>_xlfn.XLOOKUP(tblFinancials[[#This Row],[AccountKey]],tblAccounts[AccountKey],tblAccounts[AccountName],"")</f>
        <v>Rent Expense</v>
      </c>
      <c r="K62" s="8" t="str">
        <f>_xlfn.XLOOKUP(tblFinancials[[#This Row],[AccountKey]],tblAccounts[AccountKey],tblAccounts[FinancialStatement],"")</f>
        <v>Income Statement</v>
      </c>
      <c r="L62" s="8" t="str">
        <f>_xlfn.XLOOKUP(tblFinancials[[#This Row],[AccountKey]],tblAccounts[AccountKey],tblAccounts[AccountCategory],"")</f>
        <v>Operating Expense</v>
      </c>
      <c r="M62" s="8" t="str">
        <f>_xlfn.XLOOKUP(tblFinancials[[#This Row],[AccountKey]],tblAccounts[AccountKey],tblAccounts[NormalBalance],"")</f>
        <v>Debit</v>
      </c>
      <c r="N62" s="8" t="str">
        <f>_xlfn.XLOOKUP(tblFinancials[[#This Row],[DepartmentKey]],tblDepartments[DepartmentKey],tblDepartments[DepartmentName],"")</f>
        <v>Executive</v>
      </c>
      <c r="O62" s="8" t="str">
        <f>_xlfn.XLOOKUP(tblFinancials[[#This Row],[BusinessUnitKey]],tblBusinessUnits[BusinessUnitKey],tblBusinessUnits[BusinessUnitName],"")</f>
        <v>Wholesale</v>
      </c>
      <c r="P62" s="8" t="str">
        <f>_xlfn.XLOOKUP(tblFinancials[[#This Row],[RegionKey]],tblRegions[RegionKey],tblRegions[RegionName],"")</f>
        <v>Midwest</v>
      </c>
    </row>
    <row r="63" spans="1:16">
      <c r="A63">
        <v>20230201</v>
      </c>
      <c r="B63">
        <v>7</v>
      </c>
      <c r="C63">
        <v>1</v>
      </c>
      <c r="D63">
        <v>4</v>
      </c>
      <c r="E63">
        <v>24</v>
      </c>
      <c r="F63" t="s">
        <v>92</v>
      </c>
      <c r="G63">
        <v>-5338.37</v>
      </c>
      <c r="H63">
        <f>_xlfn.XLOOKUP(tblFinancials[[#This Row],[DateKey]],tblCalendar[DateKey],tblCalendar[FullDate],"")</f>
        <v>44958</v>
      </c>
      <c r="I63">
        <f>_xlfn.XLOOKUP(tblFinancials[[#This Row],[AccountKey]],tblAccounts[AccountKey],tblAccounts[AccountNumber],"")</f>
        <v>6900</v>
      </c>
      <c r="J63" t="str">
        <f>_xlfn.XLOOKUP(tblFinancials[[#This Row],[AccountKey]],tblAccounts[AccountKey],tblAccounts[AccountName],"")</f>
        <v>Professional Services</v>
      </c>
      <c r="K63" s="8" t="str">
        <f>_xlfn.XLOOKUP(tblFinancials[[#This Row],[AccountKey]],tblAccounts[AccountKey],tblAccounts[FinancialStatement],"")</f>
        <v>Income Statement</v>
      </c>
      <c r="L63" s="8" t="str">
        <f>_xlfn.XLOOKUP(tblFinancials[[#This Row],[AccountKey]],tblAccounts[AccountKey],tblAccounts[AccountCategory],"")</f>
        <v>Operating Expense</v>
      </c>
      <c r="M63" s="8" t="str">
        <f>_xlfn.XLOOKUP(tblFinancials[[#This Row],[AccountKey]],tblAccounts[AccountKey],tblAccounts[NormalBalance],"")</f>
        <v>Debit</v>
      </c>
      <c r="N63" s="8" t="str">
        <f>_xlfn.XLOOKUP(tblFinancials[[#This Row],[DepartmentKey]],tblDepartments[DepartmentKey],tblDepartments[DepartmentName],"")</f>
        <v>Information Technology</v>
      </c>
      <c r="O63" s="8" t="str">
        <f>_xlfn.XLOOKUP(tblFinancials[[#This Row],[BusinessUnitKey]],tblBusinessUnits[BusinessUnitKey],tblBusinessUnits[BusinessUnitName],"")</f>
        <v xml:space="preserve">Manufacturing </v>
      </c>
      <c r="P63" s="8" t="str">
        <f>_xlfn.XLOOKUP(tblFinancials[[#This Row],[RegionKey]],tblRegions[RegionKey],tblRegions[RegionName],"")</f>
        <v>East</v>
      </c>
    </row>
    <row r="64" spans="1:16">
      <c r="A64">
        <v>20230201</v>
      </c>
      <c r="B64">
        <v>5</v>
      </c>
      <c r="C64">
        <v>3</v>
      </c>
      <c r="D64">
        <v>1</v>
      </c>
      <c r="E64">
        <v>15</v>
      </c>
      <c r="F64" t="s">
        <v>92</v>
      </c>
      <c r="G64">
        <v>-5260.24</v>
      </c>
      <c r="H64">
        <f>_xlfn.XLOOKUP(tblFinancials[[#This Row],[DateKey]],tblCalendar[DateKey],tblCalendar[FullDate],"")</f>
        <v>44958</v>
      </c>
      <c r="I64">
        <f>_xlfn.XLOOKUP(tblFinancials[[#This Row],[AccountKey]],tblAccounts[AccountKey],tblAccounts[AccountNumber],"")</f>
        <v>6100</v>
      </c>
      <c r="J64" t="str">
        <f>_xlfn.XLOOKUP(tblFinancials[[#This Row],[AccountKey]],tblAccounts[AccountKey],tblAccounts[AccountName],"")</f>
        <v>Salaries Expense</v>
      </c>
      <c r="K64" s="8" t="str">
        <f>_xlfn.XLOOKUP(tblFinancials[[#This Row],[AccountKey]],tblAccounts[AccountKey],tblAccounts[FinancialStatement],"")</f>
        <v>Income Statement</v>
      </c>
      <c r="L64" s="8" t="str">
        <f>_xlfn.XLOOKUP(tblFinancials[[#This Row],[AccountKey]],tblAccounts[AccountKey],tblAccounts[AccountCategory],"")</f>
        <v>Operating Expense</v>
      </c>
      <c r="M64" s="8" t="str">
        <f>_xlfn.XLOOKUP(tblFinancials[[#This Row],[AccountKey]],tblAccounts[AccountKey],tblAccounts[NormalBalance],"")</f>
        <v>Debit</v>
      </c>
      <c r="N64" s="8" t="str">
        <f>_xlfn.XLOOKUP(tblFinancials[[#This Row],[DepartmentKey]],tblDepartments[DepartmentKey],tblDepartments[DepartmentName],"")</f>
        <v>Marketing</v>
      </c>
      <c r="O64" s="8" t="str">
        <f>_xlfn.XLOOKUP(tblFinancials[[#This Row],[BusinessUnitKey]],tblBusinessUnits[BusinessUnitKey],tblBusinessUnits[BusinessUnitName],"")</f>
        <v>Retail</v>
      </c>
      <c r="P64" s="8" t="str">
        <f>_xlfn.XLOOKUP(tblFinancials[[#This Row],[RegionKey]],tblRegions[RegionKey],tblRegions[RegionName],"")</f>
        <v>West</v>
      </c>
    </row>
    <row r="65" spans="1:16">
      <c r="A65">
        <v>20230201</v>
      </c>
      <c r="B65">
        <v>7</v>
      </c>
      <c r="C65">
        <v>1</v>
      </c>
      <c r="D65">
        <v>1</v>
      </c>
      <c r="E65">
        <v>17</v>
      </c>
      <c r="F65" t="s">
        <v>92</v>
      </c>
      <c r="G65">
        <v>-5187.8999999999996</v>
      </c>
      <c r="H65">
        <f>_xlfn.XLOOKUP(tblFinancials[[#This Row],[DateKey]],tblCalendar[DateKey],tblCalendar[FullDate],"")</f>
        <v>44958</v>
      </c>
      <c r="I65">
        <f>_xlfn.XLOOKUP(tblFinancials[[#This Row],[AccountKey]],tblAccounts[AccountKey],tblAccounts[AccountNumber],"")</f>
        <v>6120</v>
      </c>
      <c r="J65" t="str">
        <f>_xlfn.XLOOKUP(tblFinancials[[#This Row],[AccountKey]],tblAccounts[AccountKey],tblAccounts[AccountName],"")</f>
        <v>Employee Benefits</v>
      </c>
      <c r="K65" s="8" t="str">
        <f>_xlfn.XLOOKUP(tblFinancials[[#This Row],[AccountKey]],tblAccounts[AccountKey],tblAccounts[FinancialStatement],"")</f>
        <v>Income Statement</v>
      </c>
      <c r="L65" s="8" t="str">
        <f>_xlfn.XLOOKUP(tblFinancials[[#This Row],[AccountKey]],tblAccounts[AccountKey],tblAccounts[AccountCategory],"")</f>
        <v>Operating Expense</v>
      </c>
      <c r="M65" s="8" t="str">
        <f>_xlfn.XLOOKUP(tblFinancials[[#This Row],[AccountKey]],tblAccounts[AccountKey],tblAccounts[NormalBalance],"")</f>
        <v>Debit</v>
      </c>
      <c r="N65" s="8" t="str">
        <f>_xlfn.XLOOKUP(tblFinancials[[#This Row],[DepartmentKey]],tblDepartments[DepartmentKey],tblDepartments[DepartmentName],"")</f>
        <v>Information Technology</v>
      </c>
      <c r="O65" s="8" t="str">
        <f>_xlfn.XLOOKUP(tblFinancials[[#This Row],[BusinessUnitKey]],tblBusinessUnits[BusinessUnitKey],tblBusinessUnits[BusinessUnitName],"")</f>
        <v xml:space="preserve">Manufacturing </v>
      </c>
      <c r="P65" s="8" t="str">
        <f>_xlfn.XLOOKUP(tblFinancials[[#This Row],[RegionKey]],tblRegions[RegionKey],tblRegions[RegionName],"")</f>
        <v>West</v>
      </c>
    </row>
    <row r="66" spans="1:16">
      <c r="A66">
        <v>20230201</v>
      </c>
      <c r="B66">
        <v>4</v>
      </c>
      <c r="C66">
        <v>3</v>
      </c>
      <c r="D66">
        <v>2</v>
      </c>
      <c r="E66">
        <v>17</v>
      </c>
      <c r="F66" t="s">
        <v>92</v>
      </c>
      <c r="G66">
        <v>-5853.52</v>
      </c>
      <c r="H66">
        <f>_xlfn.XLOOKUP(tblFinancials[[#This Row],[DateKey]],tblCalendar[DateKey],tblCalendar[FullDate],"")</f>
        <v>44958</v>
      </c>
      <c r="I66">
        <f>_xlfn.XLOOKUP(tblFinancials[[#This Row],[AccountKey]],tblAccounts[AccountKey],tblAccounts[AccountNumber],"")</f>
        <v>6120</v>
      </c>
      <c r="J66" t="str">
        <f>_xlfn.XLOOKUP(tblFinancials[[#This Row],[AccountKey]],tblAccounts[AccountKey],tblAccounts[AccountName],"")</f>
        <v>Employee Benefits</v>
      </c>
      <c r="K66" s="8" t="str">
        <f>_xlfn.XLOOKUP(tblFinancials[[#This Row],[AccountKey]],tblAccounts[AccountKey],tblAccounts[FinancialStatement],"")</f>
        <v>Income Statement</v>
      </c>
      <c r="L66" s="8" t="str">
        <f>_xlfn.XLOOKUP(tblFinancials[[#This Row],[AccountKey]],tblAccounts[AccountKey],tblAccounts[AccountCategory],"")</f>
        <v>Operating Expense</v>
      </c>
      <c r="M66" s="8" t="str">
        <f>_xlfn.XLOOKUP(tblFinancials[[#This Row],[AccountKey]],tblAccounts[AccountKey],tblAccounts[NormalBalance],"")</f>
        <v>Debit</v>
      </c>
      <c r="N66" s="8" t="str">
        <f>_xlfn.XLOOKUP(tblFinancials[[#This Row],[DepartmentKey]],tblDepartments[DepartmentKey],tblDepartments[DepartmentName],"")</f>
        <v>Sales</v>
      </c>
      <c r="O66" s="8" t="str">
        <f>_xlfn.XLOOKUP(tblFinancials[[#This Row],[BusinessUnitKey]],tblBusinessUnits[BusinessUnitKey],tblBusinessUnits[BusinessUnitName],"")</f>
        <v>Retail</v>
      </c>
      <c r="P66" s="8" t="str">
        <f>_xlfn.XLOOKUP(tblFinancials[[#This Row],[RegionKey]],tblRegions[RegionKey],tblRegions[RegionName],"")</f>
        <v>Midwest</v>
      </c>
    </row>
    <row r="67" spans="1:16">
      <c r="A67">
        <v>20230201</v>
      </c>
      <c r="B67">
        <v>4</v>
      </c>
      <c r="C67">
        <v>3</v>
      </c>
      <c r="D67">
        <v>4</v>
      </c>
      <c r="E67">
        <v>24</v>
      </c>
      <c r="F67" t="s">
        <v>92</v>
      </c>
      <c r="G67">
        <v>-5222.53</v>
      </c>
      <c r="H67">
        <f>_xlfn.XLOOKUP(tblFinancials[[#This Row],[DateKey]],tblCalendar[DateKey],tblCalendar[FullDate],"")</f>
        <v>44958</v>
      </c>
      <c r="I67">
        <f>_xlfn.XLOOKUP(tblFinancials[[#This Row],[AccountKey]],tblAccounts[AccountKey],tblAccounts[AccountNumber],"")</f>
        <v>6900</v>
      </c>
      <c r="J67" t="str">
        <f>_xlfn.XLOOKUP(tblFinancials[[#This Row],[AccountKey]],tblAccounts[AccountKey],tblAccounts[AccountName],"")</f>
        <v>Professional Services</v>
      </c>
      <c r="K67" s="8" t="str">
        <f>_xlfn.XLOOKUP(tblFinancials[[#This Row],[AccountKey]],tblAccounts[AccountKey],tblAccounts[FinancialStatement],"")</f>
        <v>Income Statement</v>
      </c>
      <c r="L67" s="8" t="str">
        <f>_xlfn.XLOOKUP(tblFinancials[[#This Row],[AccountKey]],tblAccounts[AccountKey],tblAccounts[AccountCategory],"")</f>
        <v>Operating Expense</v>
      </c>
      <c r="M67" s="8" t="str">
        <f>_xlfn.XLOOKUP(tblFinancials[[#This Row],[AccountKey]],tblAccounts[AccountKey],tblAccounts[NormalBalance],"")</f>
        <v>Debit</v>
      </c>
      <c r="N67" s="8" t="str">
        <f>_xlfn.XLOOKUP(tblFinancials[[#This Row],[DepartmentKey]],tblDepartments[DepartmentKey],tblDepartments[DepartmentName],"")</f>
        <v>Sales</v>
      </c>
      <c r="O67" s="8" t="str">
        <f>_xlfn.XLOOKUP(tblFinancials[[#This Row],[BusinessUnitKey]],tblBusinessUnits[BusinessUnitKey],tblBusinessUnits[BusinessUnitName],"")</f>
        <v>Retail</v>
      </c>
      <c r="P67" s="8" t="str">
        <f>_xlfn.XLOOKUP(tblFinancials[[#This Row],[RegionKey]],tblRegions[RegionKey],tblRegions[RegionName],"")</f>
        <v>East</v>
      </c>
    </row>
    <row r="68" spans="1:16">
      <c r="A68">
        <v>20230201</v>
      </c>
      <c r="B68">
        <v>8</v>
      </c>
      <c r="C68">
        <v>2</v>
      </c>
      <c r="D68">
        <v>3</v>
      </c>
      <c r="E68">
        <v>25</v>
      </c>
      <c r="F68" t="s">
        <v>92</v>
      </c>
      <c r="G68">
        <v>-5077.08</v>
      </c>
      <c r="H68">
        <f>_xlfn.XLOOKUP(tblFinancials[[#This Row],[DateKey]],tblCalendar[DateKey],tblCalendar[FullDate],"")</f>
        <v>44958</v>
      </c>
      <c r="I68">
        <f>_xlfn.XLOOKUP(tblFinancials[[#This Row],[AccountKey]],tblAccounts[AccountKey],tblAccounts[AccountNumber],"")</f>
        <v>8200</v>
      </c>
      <c r="J68" t="str">
        <f>_xlfn.XLOOKUP(tblFinancials[[#This Row],[AccountKey]],tblAccounts[AccountKey],tblAccounts[AccountName],"")</f>
        <v>Income Tax Expense</v>
      </c>
      <c r="K68" s="8" t="str">
        <f>_xlfn.XLOOKUP(tblFinancials[[#This Row],[AccountKey]],tblAccounts[AccountKey],tblAccounts[FinancialStatement],"")</f>
        <v>Income Statement</v>
      </c>
      <c r="L68" s="8" t="str">
        <f>_xlfn.XLOOKUP(tblFinancials[[#This Row],[AccountKey]],tblAccounts[AccountKey],tblAccounts[AccountCategory],"")</f>
        <v>Tax Expense</v>
      </c>
      <c r="M68" s="8" t="str">
        <f>_xlfn.XLOOKUP(tblFinancials[[#This Row],[AccountKey]],tblAccounts[AccountKey],tblAccounts[NormalBalance],"")</f>
        <v>Debit</v>
      </c>
      <c r="N68" s="8" t="str">
        <f>_xlfn.XLOOKUP(tblFinancials[[#This Row],[DepartmentKey]],tblDepartments[DepartmentKey],tblDepartments[DepartmentName],"")</f>
        <v>Customer Service</v>
      </c>
      <c r="O68" s="8" t="str">
        <f>_xlfn.XLOOKUP(tblFinancials[[#This Row],[BusinessUnitKey]],tblBusinessUnits[BusinessUnitKey],tblBusinessUnits[BusinessUnitName],"")</f>
        <v>Wholesale</v>
      </c>
      <c r="P68" s="8" t="str">
        <f>_xlfn.XLOOKUP(tblFinancials[[#This Row],[RegionKey]],tblRegions[RegionKey],tblRegions[RegionName],"")</f>
        <v>South</v>
      </c>
    </row>
    <row r="69" spans="1:16">
      <c r="A69">
        <v>20230201</v>
      </c>
      <c r="B69">
        <v>6</v>
      </c>
      <c r="C69">
        <v>3</v>
      </c>
      <c r="D69">
        <v>3</v>
      </c>
      <c r="E69">
        <v>21</v>
      </c>
      <c r="F69" t="s">
        <v>92</v>
      </c>
      <c r="G69">
        <v>-4954.58</v>
      </c>
      <c r="H69">
        <f>_xlfn.XLOOKUP(tblFinancials[[#This Row],[DateKey]],tblCalendar[DateKey],tblCalendar[FullDate],"")</f>
        <v>44958</v>
      </c>
      <c r="I69">
        <f>_xlfn.XLOOKUP(tblFinancials[[#This Row],[AccountKey]],tblAccounts[AccountKey],tblAccounts[AccountNumber],"")</f>
        <v>6600</v>
      </c>
      <c r="J69" t="str">
        <f>_xlfn.XLOOKUP(tblFinancials[[#This Row],[AccountKey]],tblAccounts[AccountKey],tblAccounts[AccountName],"")</f>
        <v>Utilities Expense</v>
      </c>
      <c r="K69" s="8" t="str">
        <f>_xlfn.XLOOKUP(tblFinancials[[#This Row],[AccountKey]],tblAccounts[AccountKey],tblAccounts[FinancialStatement],"")</f>
        <v>Income Statement</v>
      </c>
      <c r="L69" s="8" t="str">
        <f>_xlfn.XLOOKUP(tblFinancials[[#This Row],[AccountKey]],tblAccounts[AccountKey],tblAccounts[AccountCategory],"")</f>
        <v>Operating Expense</v>
      </c>
      <c r="M69" s="8" t="str">
        <f>_xlfn.XLOOKUP(tblFinancials[[#This Row],[AccountKey]],tblAccounts[AccountKey],tblAccounts[NormalBalance],"")</f>
        <v>Debit</v>
      </c>
      <c r="N69" s="8" t="str">
        <f>_xlfn.XLOOKUP(tblFinancials[[#This Row],[DepartmentKey]],tblDepartments[DepartmentKey],tblDepartments[DepartmentName],"")</f>
        <v>Operations</v>
      </c>
      <c r="O69" s="8" t="str">
        <f>_xlfn.XLOOKUP(tblFinancials[[#This Row],[BusinessUnitKey]],tblBusinessUnits[BusinessUnitKey],tblBusinessUnits[BusinessUnitName],"")</f>
        <v>Retail</v>
      </c>
      <c r="P69" s="8" t="str">
        <f>_xlfn.XLOOKUP(tblFinancials[[#This Row],[RegionKey]],tblRegions[RegionKey],tblRegions[RegionName],"")</f>
        <v>South</v>
      </c>
    </row>
    <row r="70" spans="1:16">
      <c r="A70">
        <v>20230201</v>
      </c>
      <c r="B70">
        <v>8</v>
      </c>
      <c r="C70">
        <v>3</v>
      </c>
      <c r="D70">
        <v>3</v>
      </c>
      <c r="E70">
        <v>22</v>
      </c>
      <c r="F70" t="s">
        <v>92</v>
      </c>
      <c r="G70">
        <v>-6890.44</v>
      </c>
      <c r="H70">
        <f>_xlfn.XLOOKUP(tblFinancials[[#This Row],[DateKey]],tblCalendar[DateKey],tblCalendar[FullDate],"")</f>
        <v>44958</v>
      </c>
      <c r="I70">
        <f>_xlfn.XLOOKUP(tblFinancials[[#This Row],[AccountKey]],tblAccounts[AccountKey],tblAccounts[AccountNumber],"")</f>
        <v>6700</v>
      </c>
      <c r="J70" t="str">
        <f>_xlfn.XLOOKUP(tblFinancials[[#This Row],[AccountKey]],tblAccounts[AccountKey],tblAccounts[AccountName],"")</f>
        <v>Insurance Expense</v>
      </c>
      <c r="K70" s="8" t="str">
        <f>_xlfn.XLOOKUP(tblFinancials[[#This Row],[AccountKey]],tblAccounts[AccountKey],tblAccounts[FinancialStatement],"")</f>
        <v>Income Statement</v>
      </c>
      <c r="L70" s="8" t="str">
        <f>_xlfn.XLOOKUP(tblFinancials[[#This Row],[AccountKey]],tblAccounts[AccountKey],tblAccounts[AccountCategory],"")</f>
        <v>Operating Expense</v>
      </c>
      <c r="M70" s="8" t="str">
        <f>_xlfn.XLOOKUP(tblFinancials[[#This Row],[AccountKey]],tblAccounts[AccountKey],tblAccounts[NormalBalance],"")</f>
        <v>Debit</v>
      </c>
      <c r="N70" s="8" t="str">
        <f>_xlfn.XLOOKUP(tblFinancials[[#This Row],[DepartmentKey]],tblDepartments[DepartmentKey],tblDepartments[DepartmentName],"")</f>
        <v>Customer Service</v>
      </c>
      <c r="O70" s="8" t="str">
        <f>_xlfn.XLOOKUP(tblFinancials[[#This Row],[BusinessUnitKey]],tblBusinessUnits[BusinessUnitKey],tblBusinessUnits[BusinessUnitName],"")</f>
        <v>Retail</v>
      </c>
      <c r="P70" s="8" t="str">
        <f>_xlfn.XLOOKUP(tblFinancials[[#This Row],[RegionKey]],tblRegions[RegionKey],tblRegions[RegionName],"")</f>
        <v>South</v>
      </c>
    </row>
    <row r="71" spans="1:16">
      <c r="A71">
        <v>20230201</v>
      </c>
      <c r="B71">
        <v>7</v>
      </c>
      <c r="C71">
        <v>3</v>
      </c>
      <c r="D71">
        <v>1</v>
      </c>
      <c r="E71">
        <v>24</v>
      </c>
      <c r="F71" t="s">
        <v>92</v>
      </c>
      <c r="G71">
        <v>-5649.6</v>
      </c>
      <c r="H71">
        <f>_xlfn.XLOOKUP(tblFinancials[[#This Row],[DateKey]],tblCalendar[DateKey],tblCalendar[FullDate],"")</f>
        <v>44958</v>
      </c>
      <c r="I71">
        <f>_xlfn.XLOOKUP(tblFinancials[[#This Row],[AccountKey]],tblAccounts[AccountKey],tblAccounts[AccountNumber],"")</f>
        <v>6900</v>
      </c>
      <c r="J71" t="str">
        <f>_xlfn.XLOOKUP(tblFinancials[[#This Row],[AccountKey]],tblAccounts[AccountKey],tblAccounts[AccountName],"")</f>
        <v>Professional Services</v>
      </c>
      <c r="K71" s="8" t="str">
        <f>_xlfn.XLOOKUP(tblFinancials[[#This Row],[AccountKey]],tblAccounts[AccountKey],tblAccounts[FinancialStatement],"")</f>
        <v>Income Statement</v>
      </c>
      <c r="L71" s="8" t="str">
        <f>_xlfn.XLOOKUP(tblFinancials[[#This Row],[AccountKey]],tblAccounts[AccountKey],tblAccounts[AccountCategory],"")</f>
        <v>Operating Expense</v>
      </c>
      <c r="M71" s="8" t="str">
        <f>_xlfn.XLOOKUP(tblFinancials[[#This Row],[AccountKey]],tblAccounts[AccountKey],tblAccounts[NormalBalance],"")</f>
        <v>Debit</v>
      </c>
      <c r="N71" s="8" t="str">
        <f>_xlfn.XLOOKUP(tblFinancials[[#This Row],[DepartmentKey]],tblDepartments[DepartmentKey],tblDepartments[DepartmentName],"")</f>
        <v>Information Technology</v>
      </c>
      <c r="O71" s="8" t="str">
        <f>_xlfn.XLOOKUP(tblFinancials[[#This Row],[BusinessUnitKey]],tblBusinessUnits[BusinessUnitKey],tblBusinessUnits[BusinessUnitName],"")</f>
        <v>Retail</v>
      </c>
      <c r="P71" s="8" t="str">
        <f>_xlfn.XLOOKUP(tblFinancials[[#This Row],[RegionKey]],tblRegions[RegionKey],tblRegions[RegionName],"")</f>
        <v>West</v>
      </c>
    </row>
    <row r="72" spans="1:16">
      <c r="A72">
        <v>20230201</v>
      </c>
      <c r="B72">
        <v>6</v>
      </c>
      <c r="C72">
        <v>4</v>
      </c>
      <c r="D72">
        <v>1</v>
      </c>
      <c r="E72">
        <v>15</v>
      </c>
      <c r="F72" t="s">
        <v>92</v>
      </c>
      <c r="G72">
        <v>-5442.78</v>
      </c>
      <c r="H72">
        <f>_xlfn.XLOOKUP(tblFinancials[[#This Row],[DateKey]],tblCalendar[DateKey],tblCalendar[FullDate],"")</f>
        <v>44958</v>
      </c>
      <c r="I72">
        <f>_xlfn.XLOOKUP(tblFinancials[[#This Row],[AccountKey]],tblAccounts[AccountKey],tblAccounts[AccountNumber],"")</f>
        <v>6100</v>
      </c>
      <c r="J72" t="str">
        <f>_xlfn.XLOOKUP(tblFinancials[[#This Row],[AccountKey]],tblAccounts[AccountKey],tblAccounts[AccountName],"")</f>
        <v>Salaries Expense</v>
      </c>
      <c r="K72" s="8" t="str">
        <f>_xlfn.XLOOKUP(tblFinancials[[#This Row],[AccountKey]],tblAccounts[AccountKey],tblAccounts[FinancialStatement],"")</f>
        <v>Income Statement</v>
      </c>
      <c r="L72" s="8" t="str">
        <f>_xlfn.XLOOKUP(tblFinancials[[#This Row],[AccountKey]],tblAccounts[AccountKey],tblAccounts[AccountCategory],"")</f>
        <v>Operating Expense</v>
      </c>
      <c r="M72" s="8" t="str">
        <f>_xlfn.XLOOKUP(tblFinancials[[#This Row],[AccountKey]],tblAccounts[AccountKey],tblAccounts[NormalBalance],"")</f>
        <v>Debit</v>
      </c>
      <c r="N72" s="8" t="str">
        <f>_xlfn.XLOOKUP(tblFinancials[[#This Row],[DepartmentKey]],tblDepartments[DepartmentKey],tblDepartments[DepartmentName],"")</f>
        <v>Operations</v>
      </c>
      <c r="O72" s="8" t="str">
        <f>_xlfn.XLOOKUP(tblFinancials[[#This Row],[BusinessUnitKey]],tblBusinessUnits[BusinessUnitKey],tblBusinessUnits[BusinessUnitName],"")</f>
        <v>E-Commerce</v>
      </c>
      <c r="P72" s="8" t="str">
        <f>_xlfn.XLOOKUP(tblFinancials[[#This Row],[RegionKey]],tblRegions[RegionKey],tblRegions[RegionName],"")</f>
        <v>West</v>
      </c>
    </row>
    <row r="73" spans="1:16">
      <c r="A73">
        <v>20230201</v>
      </c>
      <c r="B73">
        <v>3</v>
      </c>
      <c r="C73">
        <v>1</v>
      </c>
      <c r="D73">
        <v>2</v>
      </c>
      <c r="E73">
        <v>22</v>
      </c>
      <c r="F73" t="s">
        <v>92</v>
      </c>
      <c r="G73">
        <v>-8612.07</v>
      </c>
      <c r="H73">
        <f>_xlfn.XLOOKUP(tblFinancials[[#This Row],[DateKey]],tblCalendar[DateKey],tblCalendar[FullDate],"")</f>
        <v>44958</v>
      </c>
      <c r="I73">
        <f>_xlfn.XLOOKUP(tblFinancials[[#This Row],[AccountKey]],tblAccounts[AccountKey],tblAccounts[AccountNumber],"")</f>
        <v>6700</v>
      </c>
      <c r="J73" t="str">
        <f>_xlfn.XLOOKUP(tblFinancials[[#This Row],[AccountKey]],tblAccounts[AccountKey],tblAccounts[AccountName],"")</f>
        <v>Insurance Expense</v>
      </c>
      <c r="K73" s="8" t="str">
        <f>_xlfn.XLOOKUP(tblFinancials[[#This Row],[AccountKey]],tblAccounts[AccountKey],tblAccounts[FinancialStatement],"")</f>
        <v>Income Statement</v>
      </c>
      <c r="L73" s="8" t="str">
        <f>_xlfn.XLOOKUP(tblFinancials[[#This Row],[AccountKey]],tblAccounts[AccountKey],tblAccounts[AccountCategory],"")</f>
        <v>Operating Expense</v>
      </c>
      <c r="M73" s="8" t="str">
        <f>_xlfn.XLOOKUP(tblFinancials[[#This Row],[AccountKey]],tblAccounts[AccountKey],tblAccounts[NormalBalance],"")</f>
        <v>Debit</v>
      </c>
      <c r="N73" s="8" t="str">
        <f>_xlfn.XLOOKUP(tblFinancials[[#This Row],[DepartmentKey]],tblDepartments[DepartmentKey],tblDepartments[DepartmentName],"")</f>
        <v>Human Resources</v>
      </c>
      <c r="O73" s="8" t="str">
        <f>_xlfn.XLOOKUP(tblFinancials[[#This Row],[BusinessUnitKey]],tblBusinessUnits[BusinessUnitKey],tblBusinessUnits[BusinessUnitName],"")</f>
        <v xml:space="preserve">Manufacturing </v>
      </c>
      <c r="P73" s="8" t="str">
        <f>_xlfn.XLOOKUP(tblFinancials[[#This Row],[RegionKey]],tblRegions[RegionKey],tblRegions[RegionName],"")</f>
        <v>Midwest</v>
      </c>
    </row>
    <row r="74" spans="1:16">
      <c r="A74">
        <v>20230301</v>
      </c>
      <c r="B74">
        <v>8</v>
      </c>
      <c r="C74">
        <v>3</v>
      </c>
      <c r="D74">
        <v>4</v>
      </c>
      <c r="E74">
        <v>12</v>
      </c>
      <c r="F74" t="s">
        <v>92</v>
      </c>
      <c r="G74">
        <v>25916.77</v>
      </c>
      <c r="H74">
        <f>_xlfn.XLOOKUP(tblFinancials[[#This Row],[DateKey]],tblCalendar[DateKey],tblCalendar[FullDate],"")</f>
        <v>44986</v>
      </c>
      <c r="I74">
        <f>_xlfn.XLOOKUP(tblFinancials[[#This Row],[AccountKey]],tblAccounts[AccountKey],tblAccounts[AccountNumber],"")</f>
        <v>4010</v>
      </c>
      <c r="J74" t="str">
        <f>_xlfn.XLOOKUP(tblFinancials[[#This Row],[AccountKey]],tblAccounts[AccountKey],tblAccounts[AccountName],"")</f>
        <v>Service Revenue</v>
      </c>
      <c r="K74" s="8" t="str">
        <f>_xlfn.XLOOKUP(tblFinancials[[#This Row],[AccountKey]],tblAccounts[AccountKey],tblAccounts[FinancialStatement],"")</f>
        <v>Income Statement</v>
      </c>
      <c r="L74" s="8" t="str">
        <f>_xlfn.XLOOKUP(tblFinancials[[#This Row],[AccountKey]],tblAccounts[AccountKey],tblAccounts[AccountCategory],"")</f>
        <v>Revenue</v>
      </c>
      <c r="M74" s="8" t="str">
        <f>_xlfn.XLOOKUP(tblFinancials[[#This Row],[AccountKey]],tblAccounts[AccountKey],tblAccounts[NormalBalance],"")</f>
        <v>Credit</v>
      </c>
      <c r="N74" s="8" t="str">
        <f>_xlfn.XLOOKUP(tblFinancials[[#This Row],[DepartmentKey]],tblDepartments[DepartmentKey],tblDepartments[DepartmentName],"")</f>
        <v>Customer Service</v>
      </c>
      <c r="O74" s="8" t="str">
        <f>_xlfn.XLOOKUP(tblFinancials[[#This Row],[BusinessUnitKey]],tblBusinessUnits[BusinessUnitKey],tblBusinessUnits[BusinessUnitName],"")</f>
        <v>Retail</v>
      </c>
      <c r="P74" s="8" t="str">
        <f>_xlfn.XLOOKUP(tblFinancials[[#This Row],[RegionKey]],tblRegions[RegionKey],tblRegions[RegionName],"")</f>
        <v>East</v>
      </c>
    </row>
    <row r="75" spans="1:16">
      <c r="A75">
        <v>20230301</v>
      </c>
      <c r="B75">
        <v>5</v>
      </c>
      <c r="C75">
        <v>4</v>
      </c>
      <c r="D75">
        <v>1</v>
      </c>
      <c r="E75">
        <v>11</v>
      </c>
      <c r="F75" t="s">
        <v>92</v>
      </c>
      <c r="G75">
        <v>25793.59</v>
      </c>
      <c r="H75">
        <f>_xlfn.XLOOKUP(tblFinancials[[#This Row],[DateKey]],tblCalendar[DateKey],tblCalendar[FullDate],"")</f>
        <v>44986</v>
      </c>
      <c r="I75">
        <f>_xlfn.XLOOKUP(tblFinancials[[#This Row],[AccountKey]],tblAccounts[AccountKey],tblAccounts[AccountNumber],"")</f>
        <v>4000</v>
      </c>
      <c r="J75" t="str">
        <f>_xlfn.XLOOKUP(tblFinancials[[#This Row],[AccountKey]],tblAccounts[AccountKey],tblAccounts[AccountName],"")</f>
        <v>Product Revenue</v>
      </c>
      <c r="K75" s="8" t="str">
        <f>_xlfn.XLOOKUP(tblFinancials[[#This Row],[AccountKey]],tblAccounts[AccountKey],tblAccounts[FinancialStatement],"")</f>
        <v>Income Statement</v>
      </c>
      <c r="L75" s="8" t="str">
        <f>_xlfn.XLOOKUP(tblFinancials[[#This Row],[AccountKey]],tblAccounts[AccountKey],tblAccounts[AccountCategory],"")</f>
        <v>Revenue</v>
      </c>
      <c r="M75" s="8" t="str">
        <f>_xlfn.XLOOKUP(tblFinancials[[#This Row],[AccountKey]],tblAccounts[AccountKey],tblAccounts[NormalBalance],"")</f>
        <v>Credit</v>
      </c>
      <c r="N75" s="8" t="str">
        <f>_xlfn.XLOOKUP(tblFinancials[[#This Row],[DepartmentKey]],tblDepartments[DepartmentKey],tblDepartments[DepartmentName],"")</f>
        <v>Marketing</v>
      </c>
      <c r="O75" s="8" t="str">
        <f>_xlfn.XLOOKUP(tblFinancials[[#This Row],[BusinessUnitKey]],tblBusinessUnits[BusinessUnitKey],tblBusinessUnits[BusinessUnitName],"")</f>
        <v>E-Commerce</v>
      </c>
      <c r="P75" s="8" t="str">
        <f>_xlfn.XLOOKUP(tblFinancials[[#This Row],[RegionKey]],tblRegions[RegionKey],tblRegions[RegionName],"")</f>
        <v>West</v>
      </c>
    </row>
    <row r="76" spans="1:16">
      <c r="A76">
        <v>20230301</v>
      </c>
      <c r="B76">
        <v>1</v>
      </c>
      <c r="C76">
        <v>4</v>
      </c>
      <c r="D76">
        <v>3</v>
      </c>
      <c r="E76">
        <v>12</v>
      </c>
      <c r="F76" t="s">
        <v>92</v>
      </c>
      <c r="G76">
        <v>27079.81</v>
      </c>
      <c r="H76">
        <f>_xlfn.XLOOKUP(tblFinancials[[#This Row],[DateKey]],tblCalendar[DateKey],tblCalendar[FullDate],"")</f>
        <v>44986</v>
      </c>
      <c r="I76">
        <f>_xlfn.XLOOKUP(tblFinancials[[#This Row],[AccountKey]],tblAccounts[AccountKey],tblAccounts[AccountNumber],"")</f>
        <v>4010</v>
      </c>
      <c r="J76" t="str">
        <f>_xlfn.XLOOKUP(tblFinancials[[#This Row],[AccountKey]],tblAccounts[AccountKey],tblAccounts[AccountName],"")</f>
        <v>Service Revenue</v>
      </c>
      <c r="K76" s="8" t="str">
        <f>_xlfn.XLOOKUP(tblFinancials[[#This Row],[AccountKey]],tblAccounts[AccountKey],tblAccounts[FinancialStatement],"")</f>
        <v>Income Statement</v>
      </c>
      <c r="L76" s="8" t="str">
        <f>_xlfn.XLOOKUP(tblFinancials[[#This Row],[AccountKey]],tblAccounts[AccountKey],tblAccounts[AccountCategory],"")</f>
        <v>Revenue</v>
      </c>
      <c r="M76" s="8" t="str">
        <f>_xlfn.XLOOKUP(tblFinancials[[#This Row],[AccountKey]],tblAccounts[AccountKey],tblAccounts[NormalBalance],"")</f>
        <v>Credit</v>
      </c>
      <c r="N76" s="8" t="str">
        <f>_xlfn.XLOOKUP(tblFinancials[[#This Row],[DepartmentKey]],tblDepartments[DepartmentKey],tblDepartments[DepartmentName],"")</f>
        <v>Executive</v>
      </c>
      <c r="O76" s="8" t="str">
        <f>_xlfn.XLOOKUP(tblFinancials[[#This Row],[BusinessUnitKey]],tblBusinessUnits[BusinessUnitKey],tblBusinessUnits[BusinessUnitName],"")</f>
        <v>E-Commerce</v>
      </c>
      <c r="P76" s="8" t="str">
        <f>_xlfn.XLOOKUP(tblFinancials[[#This Row],[RegionKey]],tblRegions[RegionKey],tblRegions[RegionName],"")</f>
        <v>South</v>
      </c>
    </row>
    <row r="77" spans="1:16">
      <c r="A77">
        <v>20230301</v>
      </c>
      <c r="B77">
        <v>2</v>
      </c>
      <c r="C77">
        <v>4</v>
      </c>
      <c r="D77">
        <v>4</v>
      </c>
      <c r="E77">
        <v>12</v>
      </c>
      <c r="F77" t="s">
        <v>92</v>
      </c>
      <c r="G77">
        <v>27070.33</v>
      </c>
      <c r="H77">
        <f>_xlfn.XLOOKUP(tblFinancials[[#This Row],[DateKey]],tblCalendar[DateKey],tblCalendar[FullDate],"")</f>
        <v>44986</v>
      </c>
      <c r="I77">
        <f>_xlfn.XLOOKUP(tblFinancials[[#This Row],[AccountKey]],tblAccounts[AccountKey],tblAccounts[AccountNumber],"")</f>
        <v>4010</v>
      </c>
      <c r="J77" t="str">
        <f>_xlfn.XLOOKUP(tblFinancials[[#This Row],[AccountKey]],tblAccounts[AccountKey],tblAccounts[AccountName],"")</f>
        <v>Service Revenue</v>
      </c>
      <c r="K77" s="8" t="str">
        <f>_xlfn.XLOOKUP(tblFinancials[[#This Row],[AccountKey]],tblAccounts[AccountKey],tblAccounts[FinancialStatement],"")</f>
        <v>Income Statement</v>
      </c>
      <c r="L77" s="8" t="str">
        <f>_xlfn.XLOOKUP(tblFinancials[[#This Row],[AccountKey]],tblAccounts[AccountKey],tblAccounts[AccountCategory],"")</f>
        <v>Revenue</v>
      </c>
      <c r="M77" s="8" t="str">
        <f>_xlfn.XLOOKUP(tblFinancials[[#This Row],[AccountKey]],tblAccounts[AccountKey],tblAccounts[NormalBalance],"")</f>
        <v>Credit</v>
      </c>
      <c r="N77" s="8" t="str">
        <f>_xlfn.XLOOKUP(tblFinancials[[#This Row],[DepartmentKey]],tblDepartments[DepartmentKey],tblDepartments[DepartmentName],"")</f>
        <v>Finance</v>
      </c>
      <c r="O77" s="8" t="str">
        <f>_xlfn.XLOOKUP(tblFinancials[[#This Row],[BusinessUnitKey]],tblBusinessUnits[BusinessUnitKey],tblBusinessUnits[BusinessUnitName],"")</f>
        <v>E-Commerce</v>
      </c>
      <c r="P77" s="8" t="str">
        <f>_xlfn.XLOOKUP(tblFinancials[[#This Row],[RegionKey]],tblRegions[RegionKey],tblRegions[RegionName],"")</f>
        <v>East</v>
      </c>
    </row>
    <row r="78" spans="1:16">
      <c r="A78">
        <v>20230301</v>
      </c>
      <c r="B78">
        <v>4</v>
      </c>
      <c r="C78">
        <v>2</v>
      </c>
      <c r="D78">
        <v>1</v>
      </c>
      <c r="E78">
        <v>11</v>
      </c>
      <c r="F78" t="s">
        <v>92</v>
      </c>
      <c r="G78">
        <v>26071.32</v>
      </c>
      <c r="H78">
        <f>_xlfn.XLOOKUP(tblFinancials[[#This Row],[DateKey]],tblCalendar[DateKey],tblCalendar[FullDate],"")</f>
        <v>44986</v>
      </c>
      <c r="I78">
        <f>_xlfn.XLOOKUP(tblFinancials[[#This Row],[AccountKey]],tblAccounts[AccountKey],tblAccounts[AccountNumber],"")</f>
        <v>4000</v>
      </c>
      <c r="J78" t="str">
        <f>_xlfn.XLOOKUP(tblFinancials[[#This Row],[AccountKey]],tblAccounts[AccountKey],tblAccounts[AccountName],"")</f>
        <v>Product Revenue</v>
      </c>
      <c r="K78" s="8" t="str">
        <f>_xlfn.XLOOKUP(tblFinancials[[#This Row],[AccountKey]],tblAccounts[AccountKey],tblAccounts[FinancialStatement],"")</f>
        <v>Income Statement</v>
      </c>
      <c r="L78" s="8" t="str">
        <f>_xlfn.XLOOKUP(tblFinancials[[#This Row],[AccountKey]],tblAccounts[AccountKey],tblAccounts[AccountCategory],"")</f>
        <v>Revenue</v>
      </c>
      <c r="M78" s="8" t="str">
        <f>_xlfn.XLOOKUP(tblFinancials[[#This Row],[AccountKey]],tblAccounts[AccountKey],tblAccounts[NormalBalance],"")</f>
        <v>Credit</v>
      </c>
      <c r="N78" s="8" t="str">
        <f>_xlfn.XLOOKUP(tblFinancials[[#This Row],[DepartmentKey]],tblDepartments[DepartmentKey],tblDepartments[DepartmentName],"")</f>
        <v>Sales</v>
      </c>
      <c r="O78" s="8" t="str">
        <f>_xlfn.XLOOKUP(tblFinancials[[#This Row],[BusinessUnitKey]],tblBusinessUnits[BusinessUnitKey],tblBusinessUnits[BusinessUnitName],"")</f>
        <v>Wholesale</v>
      </c>
      <c r="P78" s="8" t="str">
        <f>_xlfn.XLOOKUP(tblFinancials[[#This Row],[RegionKey]],tblRegions[RegionKey],tblRegions[RegionName],"")</f>
        <v>West</v>
      </c>
    </row>
    <row r="79" spans="1:16">
      <c r="A79">
        <v>20230301</v>
      </c>
      <c r="B79">
        <v>3</v>
      </c>
      <c r="C79">
        <v>2</v>
      </c>
      <c r="D79">
        <v>4</v>
      </c>
      <c r="E79">
        <v>13</v>
      </c>
      <c r="F79" t="s">
        <v>92</v>
      </c>
      <c r="G79">
        <v>27084.9</v>
      </c>
      <c r="H79">
        <f>_xlfn.XLOOKUP(tblFinancials[[#This Row],[DateKey]],tblCalendar[DateKey],tblCalendar[FullDate],"")</f>
        <v>44986</v>
      </c>
      <c r="I79">
        <f>_xlfn.XLOOKUP(tblFinancials[[#This Row],[AccountKey]],tblAccounts[AccountKey],tblAccounts[AccountNumber],"")</f>
        <v>4020</v>
      </c>
      <c r="J79" t="str">
        <f>_xlfn.XLOOKUP(tblFinancials[[#This Row],[AccountKey]],tblAccounts[AccountKey],tblAccounts[AccountName],"")</f>
        <v>Online Revenue</v>
      </c>
      <c r="K79" s="8" t="str">
        <f>_xlfn.XLOOKUP(tblFinancials[[#This Row],[AccountKey]],tblAccounts[AccountKey],tblAccounts[FinancialStatement],"")</f>
        <v>Income Statement</v>
      </c>
      <c r="L79" s="8" t="str">
        <f>_xlfn.XLOOKUP(tblFinancials[[#This Row],[AccountKey]],tblAccounts[AccountKey],tblAccounts[AccountCategory],"")</f>
        <v>Revenue</v>
      </c>
      <c r="M79" s="8" t="str">
        <f>_xlfn.XLOOKUP(tblFinancials[[#This Row],[AccountKey]],tblAccounts[AccountKey],tblAccounts[NormalBalance],"")</f>
        <v>Credit</v>
      </c>
      <c r="N79" s="8" t="str">
        <f>_xlfn.XLOOKUP(tblFinancials[[#This Row],[DepartmentKey]],tblDepartments[DepartmentKey],tblDepartments[DepartmentName],"")</f>
        <v>Human Resources</v>
      </c>
      <c r="O79" s="8" t="str">
        <f>_xlfn.XLOOKUP(tblFinancials[[#This Row],[BusinessUnitKey]],tblBusinessUnits[BusinessUnitKey],tblBusinessUnits[BusinessUnitName],"")</f>
        <v>Wholesale</v>
      </c>
      <c r="P79" s="8" t="str">
        <f>_xlfn.XLOOKUP(tblFinancials[[#This Row],[RegionKey]],tblRegions[RegionKey],tblRegions[RegionName],"")</f>
        <v>East</v>
      </c>
    </row>
    <row r="80" spans="1:16">
      <c r="A80">
        <v>20230301</v>
      </c>
      <c r="B80">
        <v>2</v>
      </c>
      <c r="C80">
        <v>2</v>
      </c>
      <c r="D80">
        <v>1</v>
      </c>
      <c r="E80">
        <v>12</v>
      </c>
      <c r="F80" t="s">
        <v>92</v>
      </c>
      <c r="G80">
        <v>27634.59</v>
      </c>
      <c r="H80">
        <f>_xlfn.XLOOKUP(tblFinancials[[#This Row],[DateKey]],tblCalendar[DateKey],tblCalendar[FullDate],"")</f>
        <v>44986</v>
      </c>
      <c r="I80">
        <f>_xlfn.XLOOKUP(tblFinancials[[#This Row],[AccountKey]],tblAccounts[AccountKey],tblAccounts[AccountNumber],"")</f>
        <v>4010</v>
      </c>
      <c r="J80" t="str">
        <f>_xlfn.XLOOKUP(tblFinancials[[#This Row],[AccountKey]],tblAccounts[AccountKey],tblAccounts[AccountName],"")</f>
        <v>Service Revenue</v>
      </c>
      <c r="K80" s="8" t="str">
        <f>_xlfn.XLOOKUP(tblFinancials[[#This Row],[AccountKey]],tblAccounts[AccountKey],tblAccounts[FinancialStatement],"")</f>
        <v>Income Statement</v>
      </c>
      <c r="L80" s="8" t="str">
        <f>_xlfn.XLOOKUP(tblFinancials[[#This Row],[AccountKey]],tblAccounts[AccountKey],tblAccounts[AccountCategory],"")</f>
        <v>Revenue</v>
      </c>
      <c r="M80" s="8" t="str">
        <f>_xlfn.XLOOKUP(tblFinancials[[#This Row],[AccountKey]],tblAccounts[AccountKey],tblAccounts[NormalBalance],"")</f>
        <v>Credit</v>
      </c>
      <c r="N80" s="8" t="str">
        <f>_xlfn.XLOOKUP(tblFinancials[[#This Row],[DepartmentKey]],tblDepartments[DepartmentKey],tblDepartments[DepartmentName],"")</f>
        <v>Finance</v>
      </c>
      <c r="O80" s="8" t="str">
        <f>_xlfn.XLOOKUP(tblFinancials[[#This Row],[BusinessUnitKey]],tblBusinessUnits[BusinessUnitKey],tblBusinessUnits[BusinessUnitName],"")</f>
        <v>Wholesale</v>
      </c>
      <c r="P80" s="8" t="str">
        <f>_xlfn.XLOOKUP(tblFinancials[[#This Row],[RegionKey]],tblRegions[RegionKey],tblRegions[RegionName],"")</f>
        <v>West</v>
      </c>
    </row>
    <row r="81" spans="1:16">
      <c r="A81">
        <v>20230301</v>
      </c>
      <c r="B81">
        <v>4</v>
      </c>
      <c r="C81">
        <v>3</v>
      </c>
      <c r="D81">
        <v>1</v>
      </c>
      <c r="E81">
        <v>13</v>
      </c>
      <c r="F81" t="s">
        <v>92</v>
      </c>
      <c r="G81">
        <v>27622.61</v>
      </c>
      <c r="H81">
        <f>_xlfn.XLOOKUP(tblFinancials[[#This Row],[DateKey]],tblCalendar[DateKey],tblCalendar[FullDate],"")</f>
        <v>44986</v>
      </c>
      <c r="I81">
        <f>_xlfn.XLOOKUP(tblFinancials[[#This Row],[AccountKey]],tblAccounts[AccountKey],tblAccounts[AccountNumber],"")</f>
        <v>4020</v>
      </c>
      <c r="J81" t="str">
        <f>_xlfn.XLOOKUP(tblFinancials[[#This Row],[AccountKey]],tblAccounts[AccountKey],tblAccounts[AccountName],"")</f>
        <v>Online Revenue</v>
      </c>
      <c r="K81" s="8" t="str">
        <f>_xlfn.XLOOKUP(tblFinancials[[#This Row],[AccountKey]],tblAccounts[AccountKey],tblAccounts[FinancialStatement],"")</f>
        <v>Income Statement</v>
      </c>
      <c r="L81" s="8" t="str">
        <f>_xlfn.XLOOKUP(tblFinancials[[#This Row],[AccountKey]],tblAccounts[AccountKey],tblAccounts[AccountCategory],"")</f>
        <v>Revenue</v>
      </c>
      <c r="M81" s="8" t="str">
        <f>_xlfn.XLOOKUP(tblFinancials[[#This Row],[AccountKey]],tblAccounts[AccountKey],tblAccounts[NormalBalance],"")</f>
        <v>Credit</v>
      </c>
      <c r="N81" s="8" t="str">
        <f>_xlfn.XLOOKUP(tblFinancials[[#This Row],[DepartmentKey]],tblDepartments[DepartmentKey],tblDepartments[DepartmentName],"")</f>
        <v>Sales</v>
      </c>
      <c r="O81" s="8" t="str">
        <f>_xlfn.XLOOKUP(tblFinancials[[#This Row],[BusinessUnitKey]],tblBusinessUnits[BusinessUnitKey],tblBusinessUnits[BusinessUnitName],"")</f>
        <v>Retail</v>
      </c>
      <c r="P81" s="8" t="str">
        <f>_xlfn.XLOOKUP(tblFinancials[[#This Row],[RegionKey]],tblRegions[RegionKey],tblRegions[RegionName],"")</f>
        <v>West</v>
      </c>
    </row>
    <row r="82" spans="1:16">
      <c r="A82">
        <v>20230301</v>
      </c>
      <c r="B82">
        <v>6</v>
      </c>
      <c r="C82">
        <v>3</v>
      </c>
      <c r="D82">
        <v>3</v>
      </c>
      <c r="E82">
        <v>12</v>
      </c>
      <c r="F82" t="s">
        <v>92</v>
      </c>
      <c r="G82">
        <v>27613.99</v>
      </c>
      <c r="H82">
        <f>_xlfn.XLOOKUP(tblFinancials[[#This Row],[DateKey]],tblCalendar[DateKey],tblCalendar[FullDate],"")</f>
        <v>44986</v>
      </c>
      <c r="I82">
        <f>_xlfn.XLOOKUP(tblFinancials[[#This Row],[AccountKey]],tblAccounts[AccountKey],tblAccounts[AccountNumber],"")</f>
        <v>4010</v>
      </c>
      <c r="J82" t="str">
        <f>_xlfn.XLOOKUP(tblFinancials[[#This Row],[AccountKey]],tblAccounts[AccountKey],tblAccounts[AccountName],"")</f>
        <v>Service Revenue</v>
      </c>
      <c r="K82" s="8" t="str">
        <f>_xlfn.XLOOKUP(tblFinancials[[#This Row],[AccountKey]],tblAccounts[AccountKey],tblAccounts[FinancialStatement],"")</f>
        <v>Income Statement</v>
      </c>
      <c r="L82" s="8" t="str">
        <f>_xlfn.XLOOKUP(tblFinancials[[#This Row],[AccountKey]],tblAccounts[AccountKey],tblAccounts[AccountCategory],"")</f>
        <v>Revenue</v>
      </c>
      <c r="M82" s="8" t="str">
        <f>_xlfn.XLOOKUP(tblFinancials[[#This Row],[AccountKey]],tblAccounts[AccountKey],tblAccounts[NormalBalance],"")</f>
        <v>Credit</v>
      </c>
      <c r="N82" s="8" t="str">
        <f>_xlfn.XLOOKUP(tblFinancials[[#This Row],[DepartmentKey]],tblDepartments[DepartmentKey],tblDepartments[DepartmentName],"")</f>
        <v>Operations</v>
      </c>
      <c r="O82" s="8" t="str">
        <f>_xlfn.XLOOKUP(tblFinancials[[#This Row],[BusinessUnitKey]],tblBusinessUnits[BusinessUnitKey],tblBusinessUnits[BusinessUnitName],"")</f>
        <v>Retail</v>
      </c>
      <c r="P82" s="8" t="str">
        <f>_xlfn.XLOOKUP(tblFinancials[[#This Row],[RegionKey]],tblRegions[RegionKey],tblRegions[RegionName],"")</f>
        <v>South</v>
      </c>
    </row>
    <row r="83" spans="1:16">
      <c r="A83">
        <v>20230301</v>
      </c>
      <c r="B83">
        <v>4</v>
      </c>
      <c r="C83">
        <v>3</v>
      </c>
      <c r="D83">
        <v>2</v>
      </c>
      <c r="E83">
        <v>12</v>
      </c>
      <c r="F83" t="s">
        <v>92</v>
      </c>
      <c r="G83">
        <v>25870.41</v>
      </c>
      <c r="H83">
        <f>_xlfn.XLOOKUP(tblFinancials[[#This Row],[DateKey]],tblCalendar[DateKey],tblCalendar[FullDate],"")</f>
        <v>44986</v>
      </c>
      <c r="I83">
        <f>_xlfn.XLOOKUP(tblFinancials[[#This Row],[AccountKey]],tblAccounts[AccountKey],tblAccounts[AccountNumber],"")</f>
        <v>4010</v>
      </c>
      <c r="J83" t="str">
        <f>_xlfn.XLOOKUP(tblFinancials[[#This Row],[AccountKey]],tblAccounts[AccountKey],tblAccounts[AccountName],"")</f>
        <v>Service Revenue</v>
      </c>
      <c r="K83" s="8" t="str">
        <f>_xlfn.XLOOKUP(tblFinancials[[#This Row],[AccountKey]],tblAccounts[AccountKey],tblAccounts[FinancialStatement],"")</f>
        <v>Income Statement</v>
      </c>
      <c r="L83" s="8" t="str">
        <f>_xlfn.XLOOKUP(tblFinancials[[#This Row],[AccountKey]],tblAccounts[AccountKey],tblAccounts[AccountCategory],"")</f>
        <v>Revenue</v>
      </c>
      <c r="M83" s="8" t="str">
        <f>_xlfn.XLOOKUP(tblFinancials[[#This Row],[AccountKey]],tblAccounts[AccountKey],tblAccounts[NormalBalance],"")</f>
        <v>Credit</v>
      </c>
      <c r="N83" s="8" t="str">
        <f>_xlfn.XLOOKUP(tblFinancials[[#This Row],[DepartmentKey]],tblDepartments[DepartmentKey],tblDepartments[DepartmentName],"")</f>
        <v>Sales</v>
      </c>
      <c r="O83" s="8" t="str">
        <f>_xlfn.XLOOKUP(tblFinancials[[#This Row],[BusinessUnitKey]],tblBusinessUnits[BusinessUnitKey],tblBusinessUnits[BusinessUnitName],"")</f>
        <v>Retail</v>
      </c>
      <c r="P83" s="8" t="str">
        <f>_xlfn.XLOOKUP(tblFinancials[[#This Row],[RegionKey]],tblRegions[RegionKey],tblRegions[RegionName],"")</f>
        <v>Midwest</v>
      </c>
    </row>
    <row r="84" spans="1:16">
      <c r="A84">
        <v>20230301</v>
      </c>
      <c r="B84">
        <v>2</v>
      </c>
      <c r="C84">
        <v>2</v>
      </c>
      <c r="D84">
        <v>4</v>
      </c>
      <c r="E84">
        <v>13</v>
      </c>
      <c r="F84" t="s">
        <v>92</v>
      </c>
      <c r="G84">
        <v>25856</v>
      </c>
      <c r="H84">
        <f>_xlfn.XLOOKUP(tblFinancials[[#This Row],[DateKey]],tblCalendar[DateKey],tblCalendar[FullDate],"")</f>
        <v>44986</v>
      </c>
      <c r="I84">
        <f>_xlfn.XLOOKUP(tblFinancials[[#This Row],[AccountKey]],tblAccounts[AccountKey],tblAccounts[AccountNumber],"")</f>
        <v>4020</v>
      </c>
      <c r="J84" t="str">
        <f>_xlfn.XLOOKUP(tblFinancials[[#This Row],[AccountKey]],tblAccounts[AccountKey],tblAccounts[AccountName],"")</f>
        <v>Online Revenue</v>
      </c>
      <c r="K84" s="8" t="str">
        <f>_xlfn.XLOOKUP(tblFinancials[[#This Row],[AccountKey]],tblAccounts[AccountKey],tblAccounts[FinancialStatement],"")</f>
        <v>Income Statement</v>
      </c>
      <c r="L84" s="8" t="str">
        <f>_xlfn.XLOOKUP(tblFinancials[[#This Row],[AccountKey]],tblAccounts[AccountKey],tblAccounts[AccountCategory],"")</f>
        <v>Revenue</v>
      </c>
      <c r="M84" s="8" t="str">
        <f>_xlfn.XLOOKUP(tblFinancials[[#This Row],[AccountKey]],tblAccounts[AccountKey],tblAccounts[NormalBalance],"")</f>
        <v>Credit</v>
      </c>
      <c r="N84" s="8" t="str">
        <f>_xlfn.XLOOKUP(tblFinancials[[#This Row],[DepartmentKey]],tblDepartments[DepartmentKey],tblDepartments[DepartmentName],"")</f>
        <v>Finance</v>
      </c>
      <c r="O84" s="8" t="str">
        <f>_xlfn.XLOOKUP(tblFinancials[[#This Row],[BusinessUnitKey]],tblBusinessUnits[BusinessUnitKey],tblBusinessUnits[BusinessUnitName],"")</f>
        <v>Wholesale</v>
      </c>
      <c r="P84" s="8" t="str">
        <f>_xlfn.XLOOKUP(tblFinancials[[#This Row],[RegionKey]],tblRegions[RegionKey],tblRegions[RegionName],"")</f>
        <v>East</v>
      </c>
    </row>
    <row r="85" spans="1:16">
      <c r="A85">
        <v>20230301</v>
      </c>
      <c r="B85">
        <v>2</v>
      </c>
      <c r="C85">
        <v>4</v>
      </c>
      <c r="D85">
        <v>4</v>
      </c>
      <c r="E85">
        <v>11</v>
      </c>
      <c r="F85" t="s">
        <v>92</v>
      </c>
      <c r="G85">
        <v>23797.279999999999</v>
      </c>
      <c r="H85">
        <f>_xlfn.XLOOKUP(tblFinancials[[#This Row],[DateKey]],tblCalendar[DateKey],tblCalendar[FullDate],"")</f>
        <v>44986</v>
      </c>
      <c r="I85">
        <f>_xlfn.XLOOKUP(tblFinancials[[#This Row],[AccountKey]],tblAccounts[AccountKey],tblAccounts[AccountNumber],"")</f>
        <v>4000</v>
      </c>
      <c r="J85" t="str">
        <f>_xlfn.XLOOKUP(tblFinancials[[#This Row],[AccountKey]],tblAccounts[AccountKey],tblAccounts[AccountName],"")</f>
        <v>Product Revenue</v>
      </c>
      <c r="K85" s="8" t="str">
        <f>_xlfn.XLOOKUP(tblFinancials[[#This Row],[AccountKey]],tblAccounts[AccountKey],tblAccounts[FinancialStatement],"")</f>
        <v>Income Statement</v>
      </c>
      <c r="L85" s="8" t="str">
        <f>_xlfn.XLOOKUP(tblFinancials[[#This Row],[AccountKey]],tblAccounts[AccountKey],tblAccounts[AccountCategory],"")</f>
        <v>Revenue</v>
      </c>
      <c r="M85" s="8" t="str">
        <f>_xlfn.XLOOKUP(tblFinancials[[#This Row],[AccountKey]],tblAccounts[AccountKey],tblAccounts[NormalBalance],"")</f>
        <v>Credit</v>
      </c>
      <c r="N85" s="8" t="str">
        <f>_xlfn.XLOOKUP(tblFinancials[[#This Row],[DepartmentKey]],tblDepartments[DepartmentKey],tblDepartments[DepartmentName],"")</f>
        <v>Finance</v>
      </c>
      <c r="O85" s="8" t="str">
        <f>_xlfn.XLOOKUP(tblFinancials[[#This Row],[BusinessUnitKey]],tblBusinessUnits[BusinessUnitKey],tblBusinessUnits[BusinessUnitName],"")</f>
        <v>E-Commerce</v>
      </c>
      <c r="P85" s="8" t="str">
        <f>_xlfn.XLOOKUP(tblFinancials[[#This Row],[RegionKey]],tblRegions[RegionKey],tblRegions[RegionName],"")</f>
        <v>East</v>
      </c>
    </row>
    <row r="86" spans="1:16">
      <c r="A86">
        <v>20230301</v>
      </c>
      <c r="B86">
        <v>8</v>
      </c>
      <c r="C86">
        <v>4</v>
      </c>
      <c r="D86">
        <v>2</v>
      </c>
      <c r="E86">
        <v>14</v>
      </c>
      <c r="F86" t="s">
        <v>92</v>
      </c>
      <c r="G86">
        <v>-15842.21</v>
      </c>
      <c r="H86">
        <f>_xlfn.XLOOKUP(tblFinancials[[#This Row],[DateKey]],tblCalendar[DateKey],tblCalendar[FullDate],"")</f>
        <v>44986</v>
      </c>
      <c r="I86">
        <f>_xlfn.XLOOKUP(tblFinancials[[#This Row],[AccountKey]],tblAccounts[AccountKey],tblAccounts[AccountNumber],"")</f>
        <v>5000</v>
      </c>
      <c r="J86" t="str">
        <f>_xlfn.XLOOKUP(tblFinancials[[#This Row],[AccountKey]],tblAccounts[AccountKey],tblAccounts[AccountName],"")</f>
        <v>Cost of Goods Sold</v>
      </c>
      <c r="K86" s="8" t="str">
        <f>_xlfn.XLOOKUP(tblFinancials[[#This Row],[AccountKey]],tblAccounts[AccountKey],tblAccounts[FinancialStatement],"")</f>
        <v>Income Statement</v>
      </c>
      <c r="L86" s="8" t="str">
        <f>_xlfn.XLOOKUP(tblFinancials[[#This Row],[AccountKey]],tblAccounts[AccountKey],tblAccounts[AccountCategory],"")</f>
        <v>Cost of Sales</v>
      </c>
      <c r="M86" s="8" t="str">
        <f>_xlfn.XLOOKUP(tblFinancials[[#This Row],[AccountKey]],tblAccounts[AccountKey],tblAccounts[NormalBalance],"")</f>
        <v>Debit</v>
      </c>
      <c r="N86" s="8" t="str">
        <f>_xlfn.XLOOKUP(tblFinancials[[#This Row],[DepartmentKey]],tblDepartments[DepartmentKey],tblDepartments[DepartmentName],"")</f>
        <v>Customer Service</v>
      </c>
      <c r="O86" s="8" t="str">
        <f>_xlfn.XLOOKUP(tblFinancials[[#This Row],[BusinessUnitKey]],tblBusinessUnits[BusinessUnitKey],tblBusinessUnits[BusinessUnitName],"")</f>
        <v>E-Commerce</v>
      </c>
      <c r="P86" s="8" t="str">
        <f>_xlfn.XLOOKUP(tblFinancials[[#This Row],[RegionKey]],tblRegions[RegionKey],tblRegions[RegionName],"")</f>
        <v>Midwest</v>
      </c>
    </row>
    <row r="87" spans="1:16">
      <c r="A87">
        <v>20230301</v>
      </c>
      <c r="B87">
        <v>1</v>
      </c>
      <c r="C87">
        <v>4</v>
      </c>
      <c r="D87">
        <v>3</v>
      </c>
      <c r="E87">
        <v>14</v>
      </c>
      <c r="F87" t="s">
        <v>92</v>
      </c>
      <c r="G87">
        <v>-15632.14</v>
      </c>
      <c r="H87">
        <f>_xlfn.XLOOKUP(tblFinancials[[#This Row],[DateKey]],tblCalendar[DateKey],tblCalendar[FullDate],"")</f>
        <v>44986</v>
      </c>
      <c r="I87">
        <f>_xlfn.XLOOKUP(tblFinancials[[#This Row],[AccountKey]],tblAccounts[AccountKey],tblAccounts[AccountNumber],"")</f>
        <v>5000</v>
      </c>
      <c r="J87" t="str">
        <f>_xlfn.XLOOKUP(tblFinancials[[#This Row],[AccountKey]],tblAccounts[AccountKey],tblAccounts[AccountName],"")</f>
        <v>Cost of Goods Sold</v>
      </c>
      <c r="K87" s="8" t="str">
        <f>_xlfn.XLOOKUP(tblFinancials[[#This Row],[AccountKey]],tblAccounts[AccountKey],tblAccounts[FinancialStatement],"")</f>
        <v>Income Statement</v>
      </c>
      <c r="L87" s="8" t="str">
        <f>_xlfn.XLOOKUP(tblFinancials[[#This Row],[AccountKey]],tblAccounts[AccountKey],tblAccounts[AccountCategory],"")</f>
        <v>Cost of Sales</v>
      </c>
      <c r="M87" s="8" t="str">
        <f>_xlfn.XLOOKUP(tblFinancials[[#This Row],[AccountKey]],tblAccounts[AccountKey],tblAccounts[NormalBalance],"")</f>
        <v>Debit</v>
      </c>
      <c r="N87" s="8" t="str">
        <f>_xlfn.XLOOKUP(tblFinancials[[#This Row],[DepartmentKey]],tblDepartments[DepartmentKey],tblDepartments[DepartmentName],"")</f>
        <v>Executive</v>
      </c>
      <c r="O87" s="8" t="str">
        <f>_xlfn.XLOOKUP(tblFinancials[[#This Row],[BusinessUnitKey]],tblBusinessUnits[BusinessUnitKey],tblBusinessUnits[BusinessUnitName],"")</f>
        <v>E-Commerce</v>
      </c>
      <c r="P87" s="8" t="str">
        <f>_xlfn.XLOOKUP(tblFinancials[[#This Row],[RegionKey]],tblRegions[RegionKey],tblRegions[RegionName],"")</f>
        <v>South</v>
      </c>
    </row>
    <row r="88" spans="1:16">
      <c r="A88">
        <v>20230301</v>
      </c>
      <c r="B88">
        <v>7</v>
      </c>
      <c r="C88">
        <v>1</v>
      </c>
      <c r="D88">
        <v>1</v>
      </c>
      <c r="E88">
        <v>14</v>
      </c>
      <c r="F88" t="s">
        <v>92</v>
      </c>
      <c r="G88">
        <v>-15377.73</v>
      </c>
      <c r="H88">
        <f>_xlfn.XLOOKUP(tblFinancials[[#This Row],[DateKey]],tblCalendar[DateKey],tblCalendar[FullDate],"")</f>
        <v>44986</v>
      </c>
      <c r="I88">
        <f>_xlfn.XLOOKUP(tblFinancials[[#This Row],[AccountKey]],tblAccounts[AccountKey],tblAccounts[AccountNumber],"")</f>
        <v>5000</v>
      </c>
      <c r="J88" t="str">
        <f>_xlfn.XLOOKUP(tblFinancials[[#This Row],[AccountKey]],tblAccounts[AccountKey],tblAccounts[AccountName],"")</f>
        <v>Cost of Goods Sold</v>
      </c>
      <c r="K88" s="8" t="str">
        <f>_xlfn.XLOOKUP(tblFinancials[[#This Row],[AccountKey]],tblAccounts[AccountKey],tblAccounts[FinancialStatement],"")</f>
        <v>Income Statement</v>
      </c>
      <c r="L88" s="8" t="str">
        <f>_xlfn.XLOOKUP(tblFinancials[[#This Row],[AccountKey]],tblAccounts[AccountKey],tblAccounts[AccountCategory],"")</f>
        <v>Cost of Sales</v>
      </c>
      <c r="M88" s="8" t="str">
        <f>_xlfn.XLOOKUP(tblFinancials[[#This Row],[AccountKey]],tblAccounts[AccountKey],tblAccounts[NormalBalance],"")</f>
        <v>Debit</v>
      </c>
      <c r="N88" s="8" t="str">
        <f>_xlfn.XLOOKUP(tblFinancials[[#This Row],[DepartmentKey]],tblDepartments[DepartmentKey],tblDepartments[DepartmentName],"")</f>
        <v>Information Technology</v>
      </c>
      <c r="O88" s="8" t="str">
        <f>_xlfn.XLOOKUP(tblFinancials[[#This Row],[BusinessUnitKey]],tblBusinessUnits[BusinessUnitKey],tblBusinessUnits[BusinessUnitName],"")</f>
        <v xml:space="preserve">Manufacturing </v>
      </c>
      <c r="P88" s="8" t="str">
        <f>_xlfn.XLOOKUP(tblFinancials[[#This Row],[RegionKey]],tblRegions[RegionKey],tblRegions[RegionName],"")</f>
        <v>West</v>
      </c>
    </row>
    <row r="89" spans="1:16">
      <c r="A89">
        <v>20230301</v>
      </c>
      <c r="B89">
        <v>2</v>
      </c>
      <c r="C89">
        <v>4</v>
      </c>
      <c r="D89">
        <v>3</v>
      </c>
      <c r="E89">
        <v>14</v>
      </c>
      <c r="F89" t="s">
        <v>92</v>
      </c>
      <c r="G89">
        <v>-14364.75</v>
      </c>
      <c r="H89">
        <f>_xlfn.XLOOKUP(tblFinancials[[#This Row],[DateKey]],tblCalendar[DateKey],tblCalendar[FullDate],"")</f>
        <v>44986</v>
      </c>
      <c r="I89">
        <f>_xlfn.XLOOKUP(tblFinancials[[#This Row],[AccountKey]],tblAccounts[AccountKey],tblAccounts[AccountNumber],"")</f>
        <v>5000</v>
      </c>
      <c r="J89" t="str">
        <f>_xlfn.XLOOKUP(tblFinancials[[#This Row],[AccountKey]],tblAccounts[AccountKey],tblAccounts[AccountName],"")</f>
        <v>Cost of Goods Sold</v>
      </c>
      <c r="K89" s="8" t="str">
        <f>_xlfn.XLOOKUP(tblFinancials[[#This Row],[AccountKey]],tblAccounts[AccountKey],tblAccounts[FinancialStatement],"")</f>
        <v>Income Statement</v>
      </c>
      <c r="L89" s="8" t="str">
        <f>_xlfn.XLOOKUP(tblFinancials[[#This Row],[AccountKey]],tblAccounts[AccountKey],tblAccounts[AccountCategory],"")</f>
        <v>Cost of Sales</v>
      </c>
      <c r="M89" s="8" t="str">
        <f>_xlfn.XLOOKUP(tblFinancials[[#This Row],[AccountKey]],tblAccounts[AccountKey],tblAccounts[NormalBalance],"")</f>
        <v>Debit</v>
      </c>
      <c r="N89" s="8" t="str">
        <f>_xlfn.XLOOKUP(tblFinancials[[#This Row],[DepartmentKey]],tblDepartments[DepartmentKey],tblDepartments[DepartmentName],"")</f>
        <v>Finance</v>
      </c>
      <c r="O89" s="8" t="str">
        <f>_xlfn.XLOOKUP(tblFinancials[[#This Row],[BusinessUnitKey]],tblBusinessUnits[BusinessUnitKey],tblBusinessUnits[BusinessUnitName],"")</f>
        <v>E-Commerce</v>
      </c>
      <c r="P89" s="8" t="str">
        <f>_xlfn.XLOOKUP(tblFinancials[[#This Row],[RegionKey]],tblRegions[RegionKey],tblRegions[RegionName],"")</f>
        <v>South</v>
      </c>
    </row>
    <row r="90" spans="1:16">
      <c r="A90">
        <v>20230301</v>
      </c>
      <c r="B90">
        <v>8</v>
      </c>
      <c r="C90">
        <v>2</v>
      </c>
      <c r="D90">
        <v>4</v>
      </c>
      <c r="E90">
        <v>14</v>
      </c>
      <c r="F90" t="s">
        <v>92</v>
      </c>
      <c r="G90">
        <v>-15248.54</v>
      </c>
      <c r="H90">
        <f>_xlfn.XLOOKUP(tblFinancials[[#This Row],[DateKey]],tblCalendar[DateKey],tblCalendar[FullDate],"")</f>
        <v>44986</v>
      </c>
      <c r="I90">
        <f>_xlfn.XLOOKUP(tblFinancials[[#This Row],[AccountKey]],tblAccounts[AccountKey],tblAccounts[AccountNumber],"")</f>
        <v>5000</v>
      </c>
      <c r="J90" t="str">
        <f>_xlfn.XLOOKUP(tblFinancials[[#This Row],[AccountKey]],tblAccounts[AccountKey],tblAccounts[AccountName],"")</f>
        <v>Cost of Goods Sold</v>
      </c>
      <c r="K90" s="8" t="str">
        <f>_xlfn.XLOOKUP(tblFinancials[[#This Row],[AccountKey]],tblAccounts[AccountKey],tblAccounts[FinancialStatement],"")</f>
        <v>Income Statement</v>
      </c>
      <c r="L90" s="8" t="str">
        <f>_xlfn.XLOOKUP(tblFinancials[[#This Row],[AccountKey]],tblAccounts[AccountKey],tblAccounts[AccountCategory],"")</f>
        <v>Cost of Sales</v>
      </c>
      <c r="M90" s="8" t="str">
        <f>_xlfn.XLOOKUP(tblFinancials[[#This Row],[AccountKey]],tblAccounts[AccountKey],tblAccounts[NormalBalance],"")</f>
        <v>Debit</v>
      </c>
      <c r="N90" s="8" t="str">
        <f>_xlfn.XLOOKUP(tblFinancials[[#This Row],[DepartmentKey]],tblDepartments[DepartmentKey],tblDepartments[DepartmentName],"")</f>
        <v>Customer Service</v>
      </c>
      <c r="O90" s="8" t="str">
        <f>_xlfn.XLOOKUP(tblFinancials[[#This Row],[BusinessUnitKey]],tblBusinessUnits[BusinessUnitKey],tblBusinessUnits[BusinessUnitName],"")</f>
        <v>Wholesale</v>
      </c>
      <c r="P90" s="8" t="str">
        <f>_xlfn.XLOOKUP(tblFinancials[[#This Row],[RegionKey]],tblRegions[RegionKey],tblRegions[RegionName],"")</f>
        <v>East</v>
      </c>
    </row>
    <row r="91" spans="1:16">
      <c r="A91">
        <v>20230301</v>
      </c>
      <c r="B91">
        <v>6</v>
      </c>
      <c r="C91">
        <v>4</v>
      </c>
      <c r="D91">
        <v>1</v>
      </c>
      <c r="E91">
        <v>14</v>
      </c>
      <c r="F91" t="s">
        <v>92</v>
      </c>
      <c r="G91">
        <v>-16106.74</v>
      </c>
      <c r="H91">
        <f>_xlfn.XLOOKUP(tblFinancials[[#This Row],[DateKey]],tblCalendar[DateKey],tblCalendar[FullDate],"")</f>
        <v>44986</v>
      </c>
      <c r="I91">
        <f>_xlfn.XLOOKUP(tblFinancials[[#This Row],[AccountKey]],tblAccounts[AccountKey],tblAccounts[AccountNumber],"")</f>
        <v>5000</v>
      </c>
      <c r="J91" t="str">
        <f>_xlfn.XLOOKUP(tblFinancials[[#This Row],[AccountKey]],tblAccounts[AccountKey],tblAccounts[AccountName],"")</f>
        <v>Cost of Goods Sold</v>
      </c>
      <c r="K91" s="8" t="str">
        <f>_xlfn.XLOOKUP(tblFinancials[[#This Row],[AccountKey]],tblAccounts[AccountKey],tblAccounts[FinancialStatement],"")</f>
        <v>Income Statement</v>
      </c>
      <c r="L91" s="8" t="str">
        <f>_xlfn.XLOOKUP(tblFinancials[[#This Row],[AccountKey]],tblAccounts[AccountKey],tblAccounts[AccountCategory],"")</f>
        <v>Cost of Sales</v>
      </c>
      <c r="M91" s="8" t="str">
        <f>_xlfn.XLOOKUP(tblFinancials[[#This Row],[AccountKey]],tblAccounts[AccountKey],tblAccounts[NormalBalance],"")</f>
        <v>Debit</v>
      </c>
      <c r="N91" s="8" t="str">
        <f>_xlfn.XLOOKUP(tblFinancials[[#This Row],[DepartmentKey]],tblDepartments[DepartmentKey],tblDepartments[DepartmentName],"")</f>
        <v>Operations</v>
      </c>
      <c r="O91" s="8" t="str">
        <f>_xlfn.XLOOKUP(tblFinancials[[#This Row],[BusinessUnitKey]],tblBusinessUnits[BusinessUnitKey],tblBusinessUnits[BusinessUnitName],"")</f>
        <v>E-Commerce</v>
      </c>
      <c r="P91" s="8" t="str">
        <f>_xlfn.XLOOKUP(tblFinancials[[#This Row],[RegionKey]],tblRegions[RegionKey],tblRegions[RegionName],"")</f>
        <v>West</v>
      </c>
    </row>
    <row r="92" spans="1:16">
      <c r="A92">
        <v>20230301</v>
      </c>
      <c r="B92">
        <v>1</v>
      </c>
      <c r="C92">
        <v>3</v>
      </c>
      <c r="D92">
        <v>4</v>
      </c>
      <c r="E92">
        <v>14</v>
      </c>
      <c r="F92" t="s">
        <v>92</v>
      </c>
      <c r="G92">
        <v>-15809.16</v>
      </c>
      <c r="H92">
        <f>_xlfn.XLOOKUP(tblFinancials[[#This Row],[DateKey]],tblCalendar[DateKey],tblCalendar[FullDate],"")</f>
        <v>44986</v>
      </c>
      <c r="I92">
        <f>_xlfn.XLOOKUP(tblFinancials[[#This Row],[AccountKey]],tblAccounts[AccountKey],tblAccounts[AccountNumber],"")</f>
        <v>5000</v>
      </c>
      <c r="J92" t="str">
        <f>_xlfn.XLOOKUP(tblFinancials[[#This Row],[AccountKey]],tblAccounts[AccountKey],tblAccounts[AccountName],"")</f>
        <v>Cost of Goods Sold</v>
      </c>
      <c r="K92" s="8" t="str">
        <f>_xlfn.XLOOKUP(tblFinancials[[#This Row],[AccountKey]],tblAccounts[AccountKey],tblAccounts[FinancialStatement],"")</f>
        <v>Income Statement</v>
      </c>
      <c r="L92" s="8" t="str">
        <f>_xlfn.XLOOKUP(tblFinancials[[#This Row],[AccountKey]],tblAccounts[AccountKey],tblAccounts[AccountCategory],"")</f>
        <v>Cost of Sales</v>
      </c>
      <c r="M92" s="8" t="str">
        <f>_xlfn.XLOOKUP(tblFinancials[[#This Row],[AccountKey]],tblAccounts[AccountKey],tblAccounts[NormalBalance],"")</f>
        <v>Debit</v>
      </c>
      <c r="N92" s="8" t="str">
        <f>_xlfn.XLOOKUP(tblFinancials[[#This Row],[DepartmentKey]],tblDepartments[DepartmentKey],tblDepartments[DepartmentName],"")</f>
        <v>Executive</v>
      </c>
      <c r="O92" s="8" t="str">
        <f>_xlfn.XLOOKUP(tblFinancials[[#This Row],[BusinessUnitKey]],tblBusinessUnits[BusinessUnitKey],tblBusinessUnits[BusinessUnitName],"")</f>
        <v>Retail</v>
      </c>
      <c r="P92" s="8" t="str">
        <f>_xlfn.XLOOKUP(tblFinancials[[#This Row],[RegionKey]],tblRegions[RegionKey],tblRegions[RegionName],"")</f>
        <v>East</v>
      </c>
    </row>
    <row r="93" spans="1:16">
      <c r="A93">
        <v>20230301</v>
      </c>
      <c r="B93">
        <v>8</v>
      </c>
      <c r="C93">
        <v>1</v>
      </c>
      <c r="D93">
        <v>2</v>
      </c>
      <c r="E93">
        <v>14</v>
      </c>
      <c r="F93" t="s">
        <v>92</v>
      </c>
      <c r="G93">
        <v>-15997.63</v>
      </c>
      <c r="H93">
        <f>_xlfn.XLOOKUP(tblFinancials[[#This Row],[DateKey]],tblCalendar[DateKey],tblCalendar[FullDate],"")</f>
        <v>44986</v>
      </c>
      <c r="I93">
        <f>_xlfn.XLOOKUP(tblFinancials[[#This Row],[AccountKey]],tblAccounts[AccountKey],tblAccounts[AccountNumber],"")</f>
        <v>5000</v>
      </c>
      <c r="J93" t="str">
        <f>_xlfn.XLOOKUP(tblFinancials[[#This Row],[AccountKey]],tblAccounts[AccountKey],tblAccounts[AccountName],"")</f>
        <v>Cost of Goods Sold</v>
      </c>
      <c r="K93" s="8" t="str">
        <f>_xlfn.XLOOKUP(tblFinancials[[#This Row],[AccountKey]],tblAccounts[AccountKey],tblAccounts[FinancialStatement],"")</f>
        <v>Income Statement</v>
      </c>
      <c r="L93" s="8" t="str">
        <f>_xlfn.XLOOKUP(tblFinancials[[#This Row],[AccountKey]],tblAccounts[AccountKey],tblAccounts[AccountCategory],"")</f>
        <v>Cost of Sales</v>
      </c>
      <c r="M93" s="8" t="str">
        <f>_xlfn.XLOOKUP(tblFinancials[[#This Row],[AccountKey]],tblAccounts[AccountKey],tblAccounts[NormalBalance],"")</f>
        <v>Debit</v>
      </c>
      <c r="N93" s="8" t="str">
        <f>_xlfn.XLOOKUP(tblFinancials[[#This Row],[DepartmentKey]],tblDepartments[DepartmentKey],tblDepartments[DepartmentName],"")</f>
        <v>Customer Service</v>
      </c>
      <c r="O93" s="8" t="str">
        <f>_xlfn.XLOOKUP(tblFinancials[[#This Row],[BusinessUnitKey]],tblBusinessUnits[BusinessUnitKey],tblBusinessUnits[BusinessUnitName],"")</f>
        <v xml:space="preserve">Manufacturing </v>
      </c>
      <c r="P93" s="8" t="str">
        <f>_xlfn.XLOOKUP(tblFinancials[[#This Row],[RegionKey]],tblRegions[RegionKey],tblRegions[RegionName],"")</f>
        <v>Midwest</v>
      </c>
    </row>
    <row r="94" spans="1:16">
      <c r="A94">
        <v>20230301</v>
      </c>
      <c r="B94">
        <v>6</v>
      </c>
      <c r="C94">
        <v>1</v>
      </c>
      <c r="D94">
        <v>4</v>
      </c>
      <c r="E94">
        <v>14</v>
      </c>
      <c r="F94" t="s">
        <v>92</v>
      </c>
      <c r="G94">
        <v>-15697.49</v>
      </c>
      <c r="H94">
        <f>_xlfn.XLOOKUP(tblFinancials[[#This Row],[DateKey]],tblCalendar[DateKey],tblCalendar[FullDate],"")</f>
        <v>44986</v>
      </c>
      <c r="I94">
        <f>_xlfn.XLOOKUP(tblFinancials[[#This Row],[AccountKey]],tblAccounts[AccountKey],tblAccounts[AccountNumber],"")</f>
        <v>5000</v>
      </c>
      <c r="J94" t="str">
        <f>_xlfn.XLOOKUP(tblFinancials[[#This Row],[AccountKey]],tblAccounts[AccountKey],tblAccounts[AccountName],"")</f>
        <v>Cost of Goods Sold</v>
      </c>
      <c r="K94" s="8" t="str">
        <f>_xlfn.XLOOKUP(tblFinancials[[#This Row],[AccountKey]],tblAccounts[AccountKey],tblAccounts[FinancialStatement],"")</f>
        <v>Income Statement</v>
      </c>
      <c r="L94" s="8" t="str">
        <f>_xlfn.XLOOKUP(tblFinancials[[#This Row],[AccountKey]],tblAccounts[AccountKey],tblAccounts[AccountCategory],"")</f>
        <v>Cost of Sales</v>
      </c>
      <c r="M94" s="8" t="str">
        <f>_xlfn.XLOOKUP(tblFinancials[[#This Row],[AccountKey]],tblAccounts[AccountKey],tblAccounts[NormalBalance],"")</f>
        <v>Debit</v>
      </c>
      <c r="N94" s="8" t="str">
        <f>_xlfn.XLOOKUP(tblFinancials[[#This Row],[DepartmentKey]],tblDepartments[DepartmentKey],tblDepartments[DepartmentName],"")</f>
        <v>Operations</v>
      </c>
      <c r="O94" s="8" t="str">
        <f>_xlfn.XLOOKUP(tblFinancials[[#This Row],[BusinessUnitKey]],tblBusinessUnits[BusinessUnitKey],tblBusinessUnits[BusinessUnitName],"")</f>
        <v xml:space="preserve">Manufacturing </v>
      </c>
      <c r="P94" s="8" t="str">
        <f>_xlfn.XLOOKUP(tblFinancials[[#This Row],[RegionKey]],tblRegions[RegionKey],tblRegions[RegionName],"")</f>
        <v>East</v>
      </c>
    </row>
    <row r="95" spans="1:16">
      <c r="A95">
        <v>20230301</v>
      </c>
      <c r="B95">
        <v>6</v>
      </c>
      <c r="C95">
        <v>1</v>
      </c>
      <c r="D95">
        <v>4</v>
      </c>
      <c r="E95">
        <v>14</v>
      </c>
      <c r="F95" t="s">
        <v>92</v>
      </c>
      <c r="G95">
        <v>-16626.61</v>
      </c>
      <c r="H95">
        <f>_xlfn.XLOOKUP(tblFinancials[[#This Row],[DateKey]],tblCalendar[DateKey],tblCalendar[FullDate],"")</f>
        <v>44986</v>
      </c>
      <c r="I95">
        <f>_xlfn.XLOOKUP(tblFinancials[[#This Row],[AccountKey]],tblAccounts[AccountKey],tblAccounts[AccountNumber],"")</f>
        <v>5000</v>
      </c>
      <c r="J95" t="str">
        <f>_xlfn.XLOOKUP(tblFinancials[[#This Row],[AccountKey]],tblAccounts[AccountKey],tblAccounts[AccountName],"")</f>
        <v>Cost of Goods Sold</v>
      </c>
      <c r="K95" s="8" t="str">
        <f>_xlfn.XLOOKUP(tblFinancials[[#This Row],[AccountKey]],tblAccounts[AccountKey],tblAccounts[FinancialStatement],"")</f>
        <v>Income Statement</v>
      </c>
      <c r="L95" s="8" t="str">
        <f>_xlfn.XLOOKUP(tblFinancials[[#This Row],[AccountKey]],tblAccounts[AccountKey],tblAccounts[AccountCategory],"")</f>
        <v>Cost of Sales</v>
      </c>
      <c r="M95" s="8" t="str">
        <f>_xlfn.XLOOKUP(tblFinancials[[#This Row],[AccountKey]],tblAccounts[AccountKey],tblAccounts[NormalBalance],"")</f>
        <v>Debit</v>
      </c>
      <c r="N95" s="8" t="str">
        <f>_xlfn.XLOOKUP(tblFinancials[[#This Row],[DepartmentKey]],tblDepartments[DepartmentKey],tblDepartments[DepartmentName],"")</f>
        <v>Operations</v>
      </c>
      <c r="O95" s="8" t="str">
        <f>_xlfn.XLOOKUP(tblFinancials[[#This Row],[BusinessUnitKey]],tblBusinessUnits[BusinessUnitKey],tblBusinessUnits[BusinessUnitName],"")</f>
        <v xml:space="preserve">Manufacturing </v>
      </c>
      <c r="P95" s="8" t="str">
        <f>_xlfn.XLOOKUP(tblFinancials[[#This Row],[RegionKey]],tblRegions[RegionKey],tblRegions[RegionName],"")</f>
        <v>East</v>
      </c>
    </row>
    <row r="96" spans="1:16">
      <c r="A96">
        <v>20230301</v>
      </c>
      <c r="B96">
        <v>2</v>
      </c>
      <c r="C96">
        <v>4</v>
      </c>
      <c r="D96">
        <v>2</v>
      </c>
      <c r="E96">
        <v>14</v>
      </c>
      <c r="F96" t="s">
        <v>92</v>
      </c>
      <c r="G96">
        <v>-14596.56</v>
      </c>
      <c r="H96">
        <f>_xlfn.XLOOKUP(tblFinancials[[#This Row],[DateKey]],tblCalendar[DateKey],tblCalendar[FullDate],"")</f>
        <v>44986</v>
      </c>
      <c r="I96">
        <f>_xlfn.XLOOKUP(tblFinancials[[#This Row],[AccountKey]],tblAccounts[AccountKey],tblAccounts[AccountNumber],"")</f>
        <v>5000</v>
      </c>
      <c r="J96" t="str">
        <f>_xlfn.XLOOKUP(tblFinancials[[#This Row],[AccountKey]],tblAccounts[AccountKey],tblAccounts[AccountName],"")</f>
        <v>Cost of Goods Sold</v>
      </c>
      <c r="K96" s="8" t="str">
        <f>_xlfn.XLOOKUP(tblFinancials[[#This Row],[AccountKey]],tblAccounts[AccountKey],tblAccounts[FinancialStatement],"")</f>
        <v>Income Statement</v>
      </c>
      <c r="L96" s="8" t="str">
        <f>_xlfn.XLOOKUP(tblFinancials[[#This Row],[AccountKey]],tblAccounts[AccountKey],tblAccounts[AccountCategory],"")</f>
        <v>Cost of Sales</v>
      </c>
      <c r="M96" s="8" t="str">
        <f>_xlfn.XLOOKUP(tblFinancials[[#This Row],[AccountKey]],tblAccounts[AccountKey],tblAccounts[NormalBalance],"")</f>
        <v>Debit</v>
      </c>
      <c r="N96" s="8" t="str">
        <f>_xlfn.XLOOKUP(tblFinancials[[#This Row],[DepartmentKey]],tblDepartments[DepartmentKey],tblDepartments[DepartmentName],"")</f>
        <v>Finance</v>
      </c>
      <c r="O96" s="8" t="str">
        <f>_xlfn.XLOOKUP(tblFinancials[[#This Row],[BusinessUnitKey]],tblBusinessUnits[BusinessUnitKey],tblBusinessUnits[BusinessUnitName],"")</f>
        <v>E-Commerce</v>
      </c>
      <c r="P96" s="8" t="str">
        <f>_xlfn.XLOOKUP(tblFinancials[[#This Row],[RegionKey]],tblRegions[RegionKey],tblRegions[RegionName],"")</f>
        <v>Midwest</v>
      </c>
    </row>
    <row r="97" spans="1:16">
      <c r="A97">
        <v>20230301</v>
      </c>
      <c r="B97">
        <v>3</v>
      </c>
      <c r="C97">
        <v>3</v>
      </c>
      <c r="D97">
        <v>1</v>
      </c>
      <c r="E97">
        <v>14</v>
      </c>
      <c r="F97" t="s">
        <v>92</v>
      </c>
      <c r="G97">
        <v>-14386.22</v>
      </c>
      <c r="H97">
        <f>_xlfn.XLOOKUP(tblFinancials[[#This Row],[DateKey]],tblCalendar[DateKey],tblCalendar[FullDate],"")</f>
        <v>44986</v>
      </c>
      <c r="I97">
        <f>_xlfn.XLOOKUP(tblFinancials[[#This Row],[AccountKey]],tblAccounts[AccountKey],tblAccounts[AccountNumber],"")</f>
        <v>5000</v>
      </c>
      <c r="J97" t="str">
        <f>_xlfn.XLOOKUP(tblFinancials[[#This Row],[AccountKey]],tblAccounts[AccountKey],tblAccounts[AccountName],"")</f>
        <v>Cost of Goods Sold</v>
      </c>
      <c r="K97" s="8" t="str">
        <f>_xlfn.XLOOKUP(tblFinancials[[#This Row],[AccountKey]],tblAccounts[AccountKey],tblAccounts[FinancialStatement],"")</f>
        <v>Income Statement</v>
      </c>
      <c r="L97" s="8" t="str">
        <f>_xlfn.XLOOKUP(tblFinancials[[#This Row],[AccountKey]],tblAccounts[AccountKey],tblAccounts[AccountCategory],"")</f>
        <v>Cost of Sales</v>
      </c>
      <c r="M97" s="8" t="str">
        <f>_xlfn.XLOOKUP(tblFinancials[[#This Row],[AccountKey]],tblAccounts[AccountKey],tblAccounts[NormalBalance],"")</f>
        <v>Debit</v>
      </c>
      <c r="N97" s="8" t="str">
        <f>_xlfn.XLOOKUP(tblFinancials[[#This Row],[DepartmentKey]],tblDepartments[DepartmentKey],tblDepartments[DepartmentName],"")</f>
        <v>Human Resources</v>
      </c>
      <c r="O97" s="8" t="str">
        <f>_xlfn.XLOOKUP(tblFinancials[[#This Row],[BusinessUnitKey]],tblBusinessUnits[BusinessUnitKey],tblBusinessUnits[BusinessUnitName],"")</f>
        <v>Retail</v>
      </c>
      <c r="P97" s="8" t="str">
        <f>_xlfn.XLOOKUP(tblFinancials[[#This Row],[RegionKey]],tblRegions[RegionKey],tblRegions[RegionName],"")</f>
        <v>West</v>
      </c>
    </row>
    <row r="98" spans="1:16">
      <c r="A98">
        <v>20230301</v>
      </c>
      <c r="B98">
        <v>7</v>
      </c>
      <c r="C98">
        <v>1</v>
      </c>
      <c r="D98">
        <v>3</v>
      </c>
      <c r="E98">
        <v>19</v>
      </c>
      <c r="F98" t="s">
        <v>92</v>
      </c>
      <c r="G98">
        <v>-7277.11</v>
      </c>
      <c r="H98">
        <f>_xlfn.XLOOKUP(tblFinancials[[#This Row],[DateKey]],tblCalendar[DateKey],tblCalendar[FullDate],"")</f>
        <v>44986</v>
      </c>
      <c r="I98">
        <f>_xlfn.XLOOKUP(tblFinancials[[#This Row],[AccountKey]],tblAccounts[AccountKey],tblAccounts[AccountNumber],"")</f>
        <v>6300</v>
      </c>
      <c r="J98" t="str">
        <f>_xlfn.XLOOKUP(tblFinancials[[#This Row],[AccountKey]],tblAccounts[AccountKey],tblAccounts[AccountName],"")</f>
        <v>Software Expense</v>
      </c>
      <c r="K98" s="8" t="str">
        <f>_xlfn.XLOOKUP(tblFinancials[[#This Row],[AccountKey]],tblAccounts[AccountKey],tblAccounts[FinancialStatement],"")</f>
        <v>Income Statement</v>
      </c>
      <c r="L98" s="8" t="str">
        <f>_xlfn.XLOOKUP(tblFinancials[[#This Row],[AccountKey]],tblAccounts[AccountKey],tblAccounts[AccountCategory],"")</f>
        <v>Operating Expense</v>
      </c>
      <c r="M98" s="8" t="str">
        <f>_xlfn.XLOOKUP(tblFinancials[[#This Row],[AccountKey]],tblAccounts[AccountKey],tblAccounts[NormalBalance],"")</f>
        <v>Debit</v>
      </c>
      <c r="N98" s="8" t="str">
        <f>_xlfn.XLOOKUP(tblFinancials[[#This Row],[DepartmentKey]],tblDepartments[DepartmentKey],tblDepartments[DepartmentName],"")</f>
        <v>Information Technology</v>
      </c>
      <c r="O98" s="8" t="str">
        <f>_xlfn.XLOOKUP(tblFinancials[[#This Row],[BusinessUnitKey]],tblBusinessUnits[BusinessUnitKey],tblBusinessUnits[BusinessUnitName],"")</f>
        <v xml:space="preserve">Manufacturing </v>
      </c>
      <c r="P98" s="8" t="str">
        <f>_xlfn.XLOOKUP(tblFinancials[[#This Row],[RegionKey]],tblRegions[RegionKey],tblRegions[RegionName],"")</f>
        <v>South</v>
      </c>
    </row>
    <row r="99" spans="1:16">
      <c r="A99">
        <v>20230301</v>
      </c>
      <c r="B99">
        <v>4</v>
      </c>
      <c r="C99">
        <v>2</v>
      </c>
      <c r="D99">
        <v>3</v>
      </c>
      <c r="E99">
        <v>23</v>
      </c>
      <c r="F99" t="s">
        <v>92</v>
      </c>
      <c r="G99">
        <v>-6436.7</v>
      </c>
      <c r="H99">
        <f>_xlfn.XLOOKUP(tblFinancials[[#This Row],[DateKey]],tblCalendar[DateKey],tblCalendar[FullDate],"")</f>
        <v>44986</v>
      </c>
      <c r="I99">
        <f>_xlfn.XLOOKUP(tblFinancials[[#This Row],[AccountKey]],tblAccounts[AccountKey],tblAccounts[AccountNumber],"")</f>
        <v>6800</v>
      </c>
      <c r="J99" t="str">
        <f>_xlfn.XLOOKUP(tblFinancials[[#This Row],[AccountKey]],tblAccounts[AccountKey],tblAccounts[AccountName],"")</f>
        <v>Travel Expense</v>
      </c>
      <c r="K99" s="8" t="str">
        <f>_xlfn.XLOOKUP(tblFinancials[[#This Row],[AccountKey]],tblAccounts[AccountKey],tblAccounts[FinancialStatement],"")</f>
        <v>Income Statement</v>
      </c>
      <c r="L99" s="8" t="str">
        <f>_xlfn.XLOOKUP(tblFinancials[[#This Row],[AccountKey]],tblAccounts[AccountKey],tblAccounts[AccountCategory],"")</f>
        <v>Operating Expense</v>
      </c>
      <c r="M99" s="8" t="str">
        <f>_xlfn.XLOOKUP(tblFinancials[[#This Row],[AccountKey]],tblAccounts[AccountKey],tblAccounts[NormalBalance],"")</f>
        <v>Debit</v>
      </c>
      <c r="N99" s="8" t="str">
        <f>_xlfn.XLOOKUP(tblFinancials[[#This Row],[DepartmentKey]],tblDepartments[DepartmentKey],tblDepartments[DepartmentName],"")</f>
        <v>Sales</v>
      </c>
      <c r="O99" s="8" t="str">
        <f>_xlfn.XLOOKUP(tblFinancials[[#This Row],[BusinessUnitKey]],tblBusinessUnits[BusinessUnitKey],tblBusinessUnits[BusinessUnitName],"")</f>
        <v>Wholesale</v>
      </c>
      <c r="P99" s="8" t="str">
        <f>_xlfn.XLOOKUP(tblFinancials[[#This Row],[RegionKey]],tblRegions[RegionKey],tblRegions[RegionName],"")</f>
        <v>South</v>
      </c>
    </row>
    <row r="100" spans="1:16">
      <c r="A100">
        <v>20230301</v>
      </c>
      <c r="B100">
        <v>3</v>
      </c>
      <c r="C100">
        <v>3</v>
      </c>
      <c r="D100">
        <v>4</v>
      </c>
      <c r="E100">
        <v>23</v>
      </c>
      <c r="F100" t="s">
        <v>92</v>
      </c>
      <c r="G100">
        <v>-5117.68</v>
      </c>
      <c r="H100">
        <f>_xlfn.XLOOKUP(tblFinancials[[#This Row],[DateKey]],tblCalendar[DateKey],tblCalendar[FullDate],"")</f>
        <v>44986</v>
      </c>
      <c r="I100">
        <f>_xlfn.XLOOKUP(tblFinancials[[#This Row],[AccountKey]],tblAccounts[AccountKey],tblAccounts[AccountNumber],"")</f>
        <v>6800</v>
      </c>
      <c r="J100" t="str">
        <f>_xlfn.XLOOKUP(tblFinancials[[#This Row],[AccountKey]],tblAccounts[AccountKey],tblAccounts[AccountName],"")</f>
        <v>Travel Expense</v>
      </c>
      <c r="K100" s="8" t="str">
        <f>_xlfn.XLOOKUP(tblFinancials[[#This Row],[AccountKey]],tblAccounts[AccountKey],tblAccounts[FinancialStatement],"")</f>
        <v>Income Statement</v>
      </c>
      <c r="L100" s="8" t="str">
        <f>_xlfn.XLOOKUP(tblFinancials[[#This Row],[AccountKey]],tblAccounts[AccountKey],tblAccounts[AccountCategory],"")</f>
        <v>Operating Expense</v>
      </c>
      <c r="M100" s="8" t="str">
        <f>_xlfn.XLOOKUP(tblFinancials[[#This Row],[AccountKey]],tblAccounts[AccountKey],tblAccounts[NormalBalance],"")</f>
        <v>Debit</v>
      </c>
      <c r="N100" s="8" t="str">
        <f>_xlfn.XLOOKUP(tblFinancials[[#This Row],[DepartmentKey]],tblDepartments[DepartmentKey],tblDepartments[DepartmentName],"")</f>
        <v>Human Resources</v>
      </c>
      <c r="O100" s="8" t="str">
        <f>_xlfn.XLOOKUP(tblFinancials[[#This Row],[BusinessUnitKey]],tblBusinessUnits[BusinessUnitKey],tblBusinessUnits[BusinessUnitName],"")</f>
        <v>Retail</v>
      </c>
      <c r="P100" s="8" t="str">
        <f>_xlfn.XLOOKUP(tblFinancials[[#This Row],[RegionKey]],tblRegions[RegionKey],tblRegions[RegionName],"")</f>
        <v>East</v>
      </c>
    </row>
    <row r="101" spans="1:16">
      <c r="A101">
        <v>20230301</v>
      </c>
      <c r="B101">
        <v>6</v>
      </c>
      <c r="C101">
        <v>3</v>
      </c>
      <c r="D101">
        <v>3</v>
      </c>
      <c r="E101">
        <v>20</v>
      </c>
      <c r="F101" t="s">
        <v>92</v>
      </c>
      <c r="G101">
        <v>-5443.92</v>
      </c>
      <c r="H101">
        <f>_xlfn.XLOOKUP(tblFinancials[[#This Row],[DateKey]],tblCalendar[DateKey],tblCalendar[FullDate],"")</f>
        <v>44986</v>
      </c>
      <c r="I101">
        <f>_xlfn.XLOOKUP(tblFinancials[[#This Row],[AccountKey]],tblAccounts[AccountKey],tblAccounts[AccountNumber],"")</f>
        <v>6500</v>
      </c>
      <c r="J101" t="str">
        <f>_xlfn.XLOOKUP(tblFinancials[[#This Row],[AccountKey]],tblAccounts[AccountKey],tblAccounts[AccountName],"")</f>
        <v>Rent Expense</v>
      </c>
      <c r="K101" s="8" t="str">
        <f>_xlfn.XLOOKUP(tblFinancials[[#This Row],[AccountKey]],tblAccounts[AccountKey],tblAccounts[FinancialStatement],"")</f>
        <v>Income Statement</v>
      </c>
      <c r="L101" s="8" t="str">
        <f>_xlfn.XLOOKUP(tblFinancials[[#This Row],[AccountKey]],tblAccounts[AccountKey],tblAccounts[AccountCategory],"")</f>
        <v>Operating Expense</v>
      </c>
      <c r="M101" s="8" t="str">
        <f>_xlfn.XLOOKUP(tblFinancials[[#This Row],[AccountKey]],tblAccounts[AccountKey],tblAccounts[NormalBalance],"")</f>
        <v>Debit</v>
      </c>
      <c r="N101" s="8" t="str">
        <f>_xlfn.XLOOKUP(tblFinancials[[#This Row],[DepartmentKey]],tblDepartments[DepartmentKey],tblDepartments[DepartmentName],"")</f>
        <v>Operations</v>
      </c>
      <c r="O101" s="8" t="str">
        <f>_xlfn.XLOOKUP(tblFinancials[[#This Row],[BusinessUnitKey]],tblBusinessUnits[BusinessUnitKey],tblBusinessUnits[BusinessUnitName],"")</f>
        <v>Retail</v>
      </c>
      <c r="P101" s="8" t="str">
        <f>_xlfn.XLOOKUP(tblFinancials[[#This Row],[RegionKey]],tblRegions[RegionKey],tblRegions[RegionName],"")</f>
        <v>South</v>
      </c>
    </row>
    <row r="102" spans="1:16">
      <c r="A102">
        <v>20230301</v>
      </c>
      <c r="B102">
        <v>3</v>
      </c>
      <c r="C102">
        <v>2</v>
      </c>
      <c r="D102">
        <v>1</v>
      </c>
      <c r="E102">
        <v>21</v>
      </c>
      <c r="F102" t="s">
        <v>92</v>
      </c>
      <c r="G102">
        <v>-6679.75</v>
      </c>
      <c r="H102">
        <f>_xlfn.XLOOKUP(tblFinancials[[#This Row],[DateKey]],tblCalendar[DateKey],tblCalendar[FullDate],"")</f>
        <v>44986</v>
      </c>
      <c r="I102">
        <f>_xlfn.XLOOKUP(tblFinancials[[#This Row],[AccountKey]],tblAccounts[AccountKey],tblAccounts[AccountNumber],"")</f>
        <v>6600</v>
      </c>
      <c r="J102" t="str">
        <f>_xlfn.XLOOKUP(tblFinancials[[#This Row],[AccountKey]],tblAccounts[AccountKey],tblAccounts[AccountName],"")</f>
        <v>Utilities Expense</v>
      </c>
      <c r="K102" s="8" t="str">
        <f>_xlfn.XLOOKUP(tblFinancials[[#This Row],[AccountKey]],tblAccounts[AccountKey],tblAccounts[FinancialStatement],"")</f>
        <v>Income Statement</v>
      </c>
      <c r="L102" s="8" t="str">
        <f>_xlfn.XLOOKUP(tblFinancials[[#This Row],[AccountKey]],tblAccounts[AccountKey],tblAccounts[AccountCategory],"")</f>
        <v>Operating Expense</v>
      </c>
      <c r="M102" s="8" t="str">
        <f>_xlfn.XLOOKUP(tblFinancials[[#This Row],[AccountKey]],tblAccounts[AccountKey],tblAccounts[NormalBalance],"")</f>
        <v>Debit</v>
      </c>
      <c r="N102" s="8" t="str">
        <f>_xlfn.XLOOKUP(tblFinancials[[#This Row],[DepartmentKey]],tblDepartments[DepartmentKey],tblDepartments[DepartmentName],"")</f>
        <v>Human Resources</v>
      </c>
      <c r="O102" s="8" t="str">
        <f>_xlfn.XLOOKUP(tblFinancials[[#This Row],[BusinessUnitKey]],tblBusinessUnits[BusinessUnitKey],tblBusinessUnits[BusinessUnitName],"")</f>
        <v>Wholesale</v>
      </c>
      <c r="P102" s="8" t="str">
        <f>_xlfn.XLOOKUP(tblFinancials[[#This Row],[RegionKey]],tblRegions[RegionKey],tblRegions[RegionName],"")</f>
        <v>West</v>
      </c>
    </row>
    <row r="103" spans="1:16">
      <c r="A103">
        <v>20230301</v>
      </c>
      <c r="B103">
        <v>3</v>
      </c>
      <c r="C103">
        <v>2</v>
      </c>
      <c r="D103">
        <v>1</v>
      </c>
      <c r="E103">
        <v>17</v>
      </c>
      <c r="F103" t="s">
        <v>92</v>
      </c>
      <c r="G103">
        <v>-5318.75</v>
      </c>
      <c r="H103">
        <f>_xlfn.XLOOKUP(tblFinancials[[#This Row],[DateKey]],tblCalendar[DateKey],tblCalendar[FullDate],"")</f>
        <v>44986</v>
      </c>
      <c r="I103">
        <f>_xlfn.XLOOKUP(tblFinancials[[#This Row],[AccountKey]],tblAccounts[AccountKey],tblAccounts[AccountNumber],"")</f>
        <v>6120</v>
      </c>
      <c r="J103" t="str">
        <f>_xlfn.XLOOKUP(tblFinancials[[#This Row],[AccountKey]],tblAccounts[AccountKey],tblAccounts[AccountName],"")</f>
        <v>Employee Benefits</v>
      </c>
      <c r="K103" s="8" t="str">
        <f>_xlfn.XLOOKUP(tblFinancials[[#This Row],[AccountKey]],tblAccounts[AccountKey],tblAccounts[FinancialStatement],"")</f>
        <v>Income Statement</v>
      </c>
      <c r="L103" s="8" t="str">
        <f>_xlfn.XLOOKUP(tblFinancials[[#This Row],[AccountKey]],tblAccounts[AccountKey],tblAccounts[AccountCategory],"")</f>
        <v>Operating Expense</v>
      </c>
      <c r="M103" s="8" t="str">
        <f>_xlfn.XLOOKUP(tblFinancials[[#This Row],[AccountKey]],tblAccounts[AccountKey],tblAccounts[NormalBalance],"")</f>
        <v>Debit</v>
      </c>
      <c r="N103" s="8" t="str">
        <f>_xlfn.XLOOKUP(tblFinancials[[#This Row],[DepartmentKey]],tblDepartments[DepartmentKey],tblDepartments[DepartmentName],"")</f>
        <v>Human Resources</v>
      </c>
      <c r="O103" s="8" t="str">
        <f>_xlfn.XLOOKUP(tblFinancials[[#This Row],[BusinessUnitKey]],tblBusinessUnits[BusinessUnitKey],tblBusinessUnits[BusinessUnitName],"")</f>
        <v>Wholesale</v>
      </c>
      <c r="P103" s="8" t="str">
        <f>_xlfn.XLOOKUP(tblFinancials[[#This Row],[RegionKey]],tblRegions[RegionKey],tblRegions[RegionName],"")</f>
        <v>West</v>
      </c>
    </row>
    <row r="104" spans="1:16">
      <c r="A104">
        <v>20230301</v>
      </c>
      <c r="B104">
        <v>5</v>
      </c>
      <c r="C104">
        <v>3</v>
      </c>
      <c r="D104">
        <v>3</v>
      </c>
      <c r="E104">
        <v>21</v>
      </c>
      <c r="F104" t="s">
        <v>92</v>
      </c>
      <c r="G104">
        <v>-5320.08</v>
      </c>
      <c r="H104">
        <f>_xlfn.XLOOKUP(tblFinancials[[#This Row],[DateKey]],tblCalendar[DateKey],tblCalendar[FullDate],"")</f>
        <v>44986</v>
      </c>
      <c r="I104">
        <f>_xlfn.XLOOKUP(tblFinancials[[#This Row],[AccountKey]],tblAccounts[AccountKey],tblAccounts[AccountNumber],"")</f>
        <v>6600</v>
      </c>
      <c r="J104" t="str">
        <f>_xlfn.XLOOKUP(tblFinancials[[#This Row],[AccountKey]],tblAccounts[AccountKey],tblAccounts[AccountName],"")</f>
        <v>Utilities Expense</v>
      </c>
      <c r="K104" s="8" t="str">
        <f>_xlfn.XLOOKUP(tblFinancials[[#This Row],[AccountKey]],tblAccounts[AccountKey],tblAccounts[FinancialStatement],"")</f>
        <v>Income Statement</v>
      </c>
      <c r="L104" s="8" t="str">
        <f>_xlfn.XLOOKUP(tblFinancials[[#This Row],[AccountKey]],tblAccounts[AccountKey],tblAccounts[AccountCategory],"")</f>
        <v>Operating Expense</v>
      </c>
      <c r="M104" s="8" t="str">
        <f>_xlfn.XLOOKUP(tblFinancials[[#This Row],[AccountKey]],tblAccounts[AccountKey],tblAccounts[NormalBalance],"")</f>
        <v>Debit</v>
      </c>
      <c r="N104" s="8" t="str">
        <f>_xlfn.XLOOKUP(tblFinancials[[#This Row],[DepartmentKey]],tblDepartments[DepartmentKey],tblDepartments[DepartmentName],"")</f>
        <v>Marketing</v>
      </c>
      <c r="O104" s="8" t="str">
        <f>_xlfn.XLOOKUP(tblFinancials[[#This Row],[BusinessUnitKey]],tblBusinessUnits[BusinessUnitKey],tblBusinessUnits[BusinessUnitName],"")</f>
        <v>Retail</v>
      </c>
      <c r="P104" s="8" t="str">
        <f>_xlfn.XLOOKUP(tblFinancials[[#This Row],[RegionKey]],tblRegions[RegionKey],tblRegions[RegionName],"")</f>
        <v>South</v>
      </c>
    </row>
    <row r="105" spans="1:16">
      <c r="A105">
        <v>20230301</v>
      </c>
      <c r="B105">
        <v>5</v>
      </c>
      <c r="C105">
        <v>1</v>
      </c>
      <c r="D105">
        <v>1</v>
      </c>
      <c r="E105">
        <v>17</v>
      </c>
      <c r="F105" t="s">
        <v>92</v>
      </c>
      <c r="G105">
        <v>-6673.98</v>
      </c>
      <c r="H105">
        <f>_xlfn.XLOOKUP(tblFinancials[[#This Row],[DateKey]],tblCalendar[DateKey],tblCalendar[FullDate],"")</f>
        <v>44986</v>
      </c>
      <c r="I105">
        <f>_xlfn.XLOOKUP(tblFinancials[[#This Row],[AccountKey]],tblAccounts[AccountKey],tblAccounts[AccountNumber],"")</f>
        <v>6120</v>
      </c>
      <c r="J105" t="str">
        <f>_xlfn.XLOOKUP(tblFinancials[[#This Row],[AccountKey]],tblAccounts[AccountKey],tblAccounts[AccountName],"")</f>
        <v>Employee Benefits</v>
      </c>
      <c r="K105" s="8" t="str">
        <f>_xlfn.XLOOKUP(tblFinancials[[#This Row],[AccountKey]],tblAccounts[AccountKey],tblAccounts[FinancialStatement],"")</f>
        <v>Income Statement</v>
      </c>
      <c r="L105" s="8" t="str">
        <f>_xlfn.XLOOKUP(tblFinancials[[#This Row],[AccountKey]],tblAccounts[AccountKey],tblAccounts[AccountCategory],"")</f>
        <v>Operating Expense</v>
      </c>
      <c r="M105" s="8" t="str">
        <f>_xlfn.XLOOKUP(tblFinancials[[#This Row],[AccountKey]],tblAccounts[AccountKey],tblAccounts[NormalBalance],"")</f>
        <v>Debit</v>
      </c>
      <c r="N105" s="8" t="str">
        <f>_xlfn.XLOOKUP(tblFinancials[[#This Row],[DepartmentKey]],tblDepartments[DepartmentKey],tblDepartments[DepartmentName],"")</f>
        <v>Marketing</v>
      </c>
      <c r="O105" s="8" t="str">
        <f>_xlfn.XLOOKUP(tblFinancials[[#This Row],[BusinessUnitKey]],tblBusinessUnits[BusinessUnitKey],tblBusinessUnits[BusinessUnitName],"")</f>
        <v xml:space="preserve">Manufacturing </v>
      </c>
      <c r="P105" s="8" t="str">
        <f>_xlfn.XLOOKUP(tblFinancials[[#This Row],[RegionKey]],tblRegions[RegionKey],tblRegions[RegionName],"")</f>
        <v>West</v>
      </c>
    </row>
    <row r="106" spans="1:16">
      <c r="A106">
        <v>20230301</v>
      </c>
      <c r="B106">
        <v>1</v>
      </c>
      <c r="C106">
        <v>3</v>
      </c>
      <c r="D106">
        <v>2</v>
      </c>
      <c r="E106">
        <v>16</v>
      </c>
      <c r="F106" t="s">
        <v>92</v>
      </c>
      <c r="G106">
        <v>-5376.14</v>
      </c>
      <c r="H106">
        <f>_xlfn.XLOOKUP(tblFinancials[[#This Row],[DateKey]],tblCalendar[DateKey],tblCalendar[FullDate],"")</f>
        <v>44986</v>
      </c>
      <c r="I106">
        <f>_xlfn.XLOOKUP(tblFinancials[[#This Row],[AccountKey]],tblAccounts[AccountKey],tblAccounts[AccountNumber],"")</f>
        <v>6110</v>
      </c>
      <c r="J106" t="str">
        <f>_xlfn.XLOOKUP(tblFinancials[[#This Row],[AccountKey]],tblAccounts[AccountKey],tblAccounts[AccountName],"")</f>
        <v>Payroll Taxes</v>
      </c>
      <c r="K106" s="8" t="str">
        <f>_xlfn.XLOOKUP(tblFinancials[[#This Row],[AccountKey]],tblAccounts[AccountKey],tblAccounts[FinancialStatement],"")</f>
        <v>Income Statement</v>
      </c>
      <c r="L106" s="8" t="str">
        <f>_xlfn.XLOOKUP(tblFinancials[[#This Row],[AccountKey]],tblAccounts[AccountKey],tblAccounts[AccountCategory],"")</f>
        <v>Operating Expense</v>
      </c>
      <c r="M106" s="8" t="str">
        <f>_xlfn.XLOOKUP(tblFinancials[[#This Row],[AccountKey]],tblAccounts[AccountKey],tblAccounts[NormalBalance],"")</f>
        <v>Debit</v>
      </c>
      <c r="N106" s="8" t="str">
        <f>_xlfn.XLOOKUP(tblFinancials[[#This Row],[DepartmentKey]],tblDepartments[DepartmentKey],tblDepartments[DepartmentName],"")</f>
        <v>Executive</v>
      </c>
      <c r="O106" s="8" t="str">
        <f>_xlfn.XLOOKUP(tblFinancials[[#This Row],[BusinessUnitKey]],tblBusinessUnits[BusinessUnitKey],tblBusinessUnits[BusinessUnitName],"")</f>
        <v>Retail</v>
      </c>
      <c r="P106" s="8" t="str">
        <f>_xlfn.XLOOKUP(tblFinancials[[#This Row],[RegionKey]],tblRegions[RegionKey],tblRegions[RegionName],"")</f>
        <v>Midwest</v>
      </c>
    </row>
    <row r="107" spans="1:16">
      <c r="A107">
        <v>20230301</v>
      </c>
      <c r="B107">
        <v>5</v>
      </c>
      <c r="C107">
        <v>3</v>
      </c>
      <c r="D107">
        <v>4</v>
      </c>
      <c r="E107">
        <v>18</v>
      </c>
      <c r="F107" t="s">
        <v>92</v>
      </c>
      <c r="G107">
        <v>-5877.12</v>
      </c>
      <c r="H107">
        <f>_xlfn.XLOOKUP(tblFinancials[[#This Row],[DateKey]],tblCalendar[DateKey],tblCalendar[FullDate],"")</f>
        <v>44986</v>
      </c>
      <c r="I107">
        <f>_xlfn.XLOOKUP(tblFinancials[[#This Row],[AccountKey]],tblAccounts[AccountKey],tblAccounts[AccountNumber],"")</f>
        <v>6200</v>
      </c>
      <c r="J107" t="str">
        <f>_xlfn.XLOOKUP(tblFinancials[[#This Row],[AccountKey]],tblAccounts[AccountKey],tblAccounts[AccountName],"")</f>
        <v>Marketing Expense</v>
      </c>
      <c r="K107" s="8" t="str">
        <f>_xlfn.XLOOKUP(tblFinancials[[#This Row],[AccountKey]],tblAccounts[AccountKey],tblAccounts[FinancialStatement],"")</f>
        <v>Income Statement</v>
      </c>
      <c r="L107" s="8" t="str">
        <f>_xlfn.XLOOKUP(tblFinancials[[#This Row],[AccountKey]],tblAccounts[AccountKey],tblAccounts[AccountCategory],"")</f>
        <v>Operating Expense</v>
      </c>
      <c r="M107" s="8" t="str">
        <f>_xlfn.XLOOKUP(tblFinancials[[#This Row],[AccountKey]],tblAccounts[AccountKey],tblAccounts[NormalBalance],"")</f>
        <v>Debit</v>
      </c>
      <c r="N107" s="8" t="str">
        <f>_xlfn.XLOOKUP(tblFinancials[[#This Row],[DepartmentKey]],tblDepartments[DepartmentKey],tblDepartments[DepartmentName],"")</f>
        <v>Marketing</v>
      </c>
      <c r="O107" s="8" t="str">
        <f>_xlfn.XLOOKUP(tblFinancials[[#This Row],[BusinessUnitKey]],tblBusinessUnits[BusinessUnitKey],tblBusinessUnits[BusinessUnitName],"")</f>
        <v>Retail</v>
      </c>
      <c r="P107" s="8" t="str">
        <f>_xlfn.XLOOKUP(tblFinancials[[#This Row],[RegionKey]],tblRegions[RegionKey],tblRegions[RegionName],"")</f>
        <v>East</v>
      </c>
    </row>
    <row r="108" spans="1:16">
      <c r="A108">
        <v>20230301</v>
      </c>
      <c r="B108">
        <v>1</v>
      </c>
      <c r="C108">
        <v>4</v>
      </c>
      <c r="D108">
        <v>2</v>
      </c>
      <c r="E108">
        <v>17</v>
      </c>
      <c r="F108" t="s">
        <v>92</v>
      </c>
      <c r="G108">
        <v>-6805.69</v>
      </c>
      <c r="H108">
        <f>_xlfn.XLOOKUP(tblFinancials[[#This Row],[DateKey]],tblCalendar[DateKey],tblCalendar[FullDate],"")</f>
        <v>44986</v>
      </c>
      <c r="I108">
        <f>_xlfn.XLOOKUP(tblFinancials[[#This Row],[AccountKey]],tblAccounts[AccountKey],tblAccounts[AccountNumber],"")</f>
        <v>6120</v>
      </c>
      <c r="J108" t="str">
        <f>_xlfn.XLOOKUP(tblFinancials[[#This Row],[AccountKey]],tblAccounts[AccountKey],tblAccounts[AccountName],"")</f>
        <v>Employee Benefits</v>
      </c>
      <c r="K108" s="8" t="str">
        <f>_xlfn.XLOOKUP(tblFinancials[[#This Row],[AccountKey]],tblAccounts[AccountKey],tblAccounts[FinancialStatement],"")</f>
        <v>Income Statement</v>
      </c>
      <c r="L108" s="8" t="str">
        <f>_xlfn.XLOOKUP(tblFinancials[[#This Row],[AccountKey]],tblAccounts[AccountKey],tblAccounts[AccountCategory],"")</f>
        <v>Operating Expense</v>
      </c>
      <c r="M108" s="8" t="str">
        <f>_xlfn.XLOOKUP(tblFinancials[[#This Row],[AccountKey]],tblAccounts[AccountKey],tblAccounts[NormalBalance],"")</f>
        <v>Debit</v>
      </c>
      <c r="N108" s="8" t="str">
        <f>_xlfn.XLOOKUP(tblFinancials[[#This Row],[DepartmentKey]],tblDepartments[DepartmentKey],tblDepartments[DepartmentName],"")</f>
        <v>Executive</v>
      </c>
      <c r="O108" s="8" t="str">
        <f>_xlfn.XLOOKUP(tblFinancials[[#This Row],[BusinessUnitKey]],tblBusinessUnits[BusinessUnitKey],tblBusinessUnits[BusinessUnitName],"")</f>
        <v>E-Commerce</v>
      </c>
      <c r="P108" s="8" t="str">
        <f>_xlfn.XLOOKUP(tblFinancials[[#This Row],[RegionKey]],tblRegions[RegionKey],tblRegions[RegionName],"")</f>
        <v>Midwest</v>
      </c>
    </row>
    <row r="109" spans="1:16">
      <c r="A109">
        <v>20230301</v>
      </c>
      <c r="B109">
        <v>7</v>
      </c>
      <c r="C109">
        <v>4</v>
      </c>
      <c r="D109">
        <v>1</v>
      </c>
      <c r="E109">
        <v>19</v>
      </c>
      <c r="F109" t="s">
        <v>92</v>
      </c>
      <c r="G109">
        <v>-8264.81</v>
      </c>
      <c r="H109">
        <f>_xlfn.XLOOKUP(tblFinancials[[#This Row],[DateKey]],tblCalendar[DateKey],tblCalendar[FullDate],"")</f>
        <v>44986</v>
      </c>
      <c r="I109">
        <f>_xlfn.XLOOKUP(tblFinancials[[#This Row],[AccountKey]],tblAccounts[AccountKey],tblAccounts[AccountNumber],"")</f>
        <v>6300</v>
      </c>
      <c r="J109" t="str">
        <f>_xlfn.XLOOKUP(tblFinancials[[#This Row],[AccountKey]],tblAccounts[AccountKey],tblAccounts[AccountName],"")</f>
        <v>Software Expense</v>
      </c>
      <c r="K109" s="8" t="str">
        <f>_xlfn.XLOOKUP(tblFinancials[[#This Row],[AccountKey]],tblAccounts[AccountKey],tblAccounts[FinancialStatement],"")</f>
        <v>Income Statement</v>
      </c>
      <c r="L109" s="8" t="str">
        <f>_xlfn.XLOOKUP(tblFinancials[[#This Row],[AccountKey]],tblAccounts[AccountKey],tblAccounts[AccountCategory],"")</f>
        <v>Operating Expense</v>
      </c>
      <c r="M109" s="8" t="str">
        <f>_xlfn.XLOOKUP(tblFinancials[[#This Row],[AccountKey]],tblAccounts[AccountKey],tblAccounts[NormalBalance],"")</f>
        <v>Debit</v>
      </c>
      <c r="N109" s="8" t="str">
        <f>_xlfn.XLOOKUP(tblFinancials[[#This Row],[DepartmentKey]],tblDepartments[DepartmentKey],tblDepartments[DepartmentName],"")</f>
        <v>Information Technology</v>
      </c>
      <c r="O109" s="8" t="str">
        <f>_xlfn.XLOOKUP(tblFinancials[[#This Row],[BusinessUnitKey]],tblBusinessUnits[BusinessUnitKey],tblBusinessUnits[BusinessUnitName],"")</f>
        <v>E-Commerce</v>
      </c>
      <c r="P109" s="8" t="str">
        <f>_xlfn.XLOOKUP(tblFinancials[[#This Row],[RegionKey]],tblRegions[RegionKey],tblRegions[RegionName],"")</f>
        <v>West</v>
      </c>
    </row>
    <row r="110" spans="1:16">
      <c r="A110">
        <v>20230401</v>
      </c>
      <c r="B110">
        <v>7</v>
      </c>
      <c r="C110">
        <v>3</v>
      </c>
      <c r="D110">
        <v>4</v>
      </c>
      <c r="E110">
        <v>11</v>
      </c>
      <c r="F110" t="s">
        <v>92</v>
      </c>
      <c r="G110">
        <v>28527.23</v>
      </c>
      <c r="H110">
        <f>_xlfn.XLOOKUP(tblFinancials[[#This Row],[DateKey]],tblCalendar[DateKey],tblCalendar[FullDate],"")</f>
        <v>45017</v>
      </c>
      <c r="I110">
        <f>_xlfn.XLOOKUP(tblFinancials[[#This Row],[AccountKey]],tblAccounts[AccountKey],tblAccounts[AccountNumber],"")</f>
        <v>4000</v>
      </c>
      <c r="J110" t="str">
        <f>_xlfn.XLOOKUP(tblFinancials[[#This Row],[AccountKey]],tblAccounts[AccountKey],tblAccounts[AccountName],"")</f>
        <v>Product Revenue</v>
      </c>
      <c r="K110" s="8" t="str">
        <f>_xlfn.XLOOKUP(tblFinancials[[#This Row],[AccountKey]],tblAccounts[AccountKey],tblAccounts[FinancialStatement],"")</f>
        <v>Income Statement</v>
      </c>
      <c r="L110" s="8" t="str">
        <f>_xlfn.XLOOKUP(tblFinancials[[#This Row],[AccountKey]],tblAccounts[AccountKey],tblAccounts[AccountCategory],"")</f>
        <v>Revenue</v>
      </c>
      <c r="M110" s="8" t="str">
        <f>_xlfn.XLOOKUP(tblFinancials[[#This Row],[AccountKey]],tblAccounts[AccountKey],tblAccounts[NormalBalance],"")</f>
        <v>Credit</v>
      </c>
      <c r="N110" s="8" t="str">
        <f>_xlfn.XLOOKUP(tblFinancials[[#This Row],[DepartmentKey]],tblDepartments[DepartmentKey],tblDepartments[DepartmentName],"")</f>
        <v>Information Technology</v>
      </c>
      <c r="O110" s="8" t="str">
        <f>_xlfn.XLOOKUP(tblFinancials[[#This Row],[BusinessUnitKey]],tblBusinessUnits[BusinessUnitKey],tblBusinessUnits[BusinessUnitName],"")</f>
        <v>Retail</v>
      </c>
      <c r="P110" s="8" t="str">
        <f>_xlfn.XLOOKUP(tblFinancials[[#This Row],[RegionKey]],tblRegions[RegionKey],tblRegions[RegionName],"")</f>
        <v>East</v>
      </c>
    </row>
    <row r="111" spans="1:16">
      <c r="A111">
        <v>20230401</v>
      </c>
      <c r="B111">
        <v>7</v>
      </c>
      <c r="C111">
        <v>2</v>
      </c>
      <c r="D111">
        <v>1</v>
      </c>
      <c r="E111">
        <v>12</v>
      </c>
      <c r="F111" t="s">
        <v>92</v>
      </c>
      <c r="G111">
        <v>29237.279999999999</v>
      </c>
      <c r="H111">
        <f>_xlfn.XLOOKUP(tblFinancials[[#This Row],[DateKey]],tblCalendar[DateKey],tblCalendar[FullDate],"")</f>
        <v>45017</v>
      </c>
      <c r="I111">
        <f>_xlfn.XLOOKUP(tblFinancials[[#This Row],[AccountKey]],tblAccounts[AccountKey],tblAccounts[AccountNumber],"")</f>
        <v>4010</v>
      </c>
      <c r="J111" t="str">
        <f>_xlfn.XLOOKUP(tblFinancials[[#This Row],[AccountKey]],tblAccounts[AccountKey],tblAccounts[AccountName],"")</f>
        <v>Service Revenue</v>
      </c>
      <c r="K111" s="8" t="str">
        <f>_xlfn.XLOOKUP(tblFinancials[[#This Row],[AccountKey]],tblAccounts[AccountKey],tblAccounts[FinancialStatement],"")</f>
        <v>Income Statement</v>
      </c>
      <c r="L111" s="8" t="str">
        <f>_xlfn.XLOOKUP(tblFinancials[[#This Row],[AccountKey]],tblAccounts[AccountKey],tblAccounts[AccountCategory],"")</f>
        <v>Revenue</v>
      </c>
      <c r="M111" s="8" t="str">
        <f>_xlfn.XLOOKUP(tblFinancials[[#This Row],[AccountKey]],tblAccounts[AccountKey],tblAccounts[NormalBalance],"")</f>
        <v>Credit</v>
      </c>
      <c r="N111" s="8" t="str">
        <f>_xlfn.XLOOKUP(tblFinancials[[#This Row],[DepartmentKey]],tblDepartments[DepartmentKey],tblDepartments[DepartmentName],"")</f>
        <v>Information Technology</v>
      </c>
      <c r="O111" s="8" t="str">
        <f>_xlfn.XLOOKUP(tblFinancials[[#This Row],[BusinessUnitKey]],tblBusinessUnits[BusinessUnitKey],tblBusinessUnits[BusinessUnitName],"")</f>
        <v>Wholesale</v>
      </c>
      <c r="P111" s="8" t="str">
        <f>_xlfn.XLOOKUP(tblFinancials[[#This Row],[RegionKey]],tblRegions[RegionKey],tblRegions[RegionName],"")</f>
        <v>West</v>
      </c>
    </row>
    <row r="112" spans="1:16">
      <c r="A112">
        <v>20230401</v>
      </c>
      <c r="B112">
        <v>5</v>
      </c>
      <c r="C112">
        <v>3</v>
      </c>
      <c r="D112">
        <v>4</v>
      </c>
      <c r="E112">
        <v>12</v>
      </c>
      <c r="F112" t="s">
        <v>92</v>
      </c>
      <c r="G112">
        <v>28047.17</v>
      </c>
      <c r="H112">
        <f>_xlfn.XLOOKUP(tblFinancials[[#This Row],[DateKey]],tblCalendar[DateKey],tblCalendar[FullDate],"")</f>
        <v>45017</v>
      </c>
      <c r="I112">
        <f>_xlfn.XLOOKUP(tblFinancials[[#This Row],[AccountKey]],tblAccounts[AccountKey],tblAccounts[AccountNumber],"")</f>
        <v>4010</v>
      </c>
      <c r="J112" t="str">
        <f>_xlfn.XLOOKUP(tblFinancials[[#This Row],[AccountKey]],tblAccounts[AccountKey],tblAccounts[AccountName],"")</f>
        <v>Service Revenue</v>
      </c>
      <c r="K112" s="8" t="str">
        <f>_xlfn.XLOOKUP(tblFinancials[[#This Row],[AccountKey]],tblAccounts[AccountKey],tblAccounts[FinancialStatement],"")</f>
        <v>Income Statement</v>
      </c>
      <c r="L112" s="8" t="str">
        <f>_xlfn.XLOOKUP(tblFinancials[[#This Row],[AccountKey]],tblAccounts[AccountKey],tblAccounts[AccountCategory],"")</f>
        <v>Revenue</v>
      </c>
      <c r="M112" s="8" t="str">
        <f>_xlfn.XLOOKUP(tblFinancials[[#This Row],[AccountKey]],tblAccounts[AccountKey],tblAccounts[NormalBalance],"")</f>
        <v>Credit</v>
      </c>
      <c r="N112" s="8" t="str">
        <f>_xlfn.XLOOKUP(tblFinancials[[#This Row],[DepartmentKey]],tblDepartments[DepartmentKey],tblDepartments[DepartmentName],"")</f>
        <v>Marketing</v>
      </c>
      <c r="O112" s="8" t="str">
        <f>_xlfn.XLOOKUP(tblFinancials[[#This Row],[BusinessUnitKey]],tblBusinessUnits[BusinessUnitKey],tblBusinessUnits[BusinessUnitName],"")</f>
        <v>Retail</v>
      </c>
      <c r="P112" s="8" t="str">
        <f>_xlfn.XLOOKUP(tblFinancials[[#This Row],[RegionKey]],tblRegions[RegionKey],tblRegions[RegionName],"")</f>
        <v>East</v>
      </c>
    </row>
    <row r="113" spans="1:16">
      <c r="A113">
        <v>20230401</v>
      </c>
      <c r="B113">
        <v>5</v>
      </c>
      <c r="C113">
        <v>4</v>
      </c>
      <c r="D113">
        <v>1</v>
      </c>
      <c r="E113">
        <v>11</v>
      </c>
      <c r="F113" t="s">
        <v>92</v>
      </c>
      <c r="G113">
        <v>29166.63</v>
      </c>
      <c r="H113">
        <f>_xlfn.XLOOKUP(tblFinancials[[#This Row],[DateKey]],tblCalendar[DateKey],tblCalendar[FullDate],"")</f>
        <v>45017</v>
      </c>
      <c r="I113">
        <f>_xlfn.XLOOKUP(tblFinancials[[#This Row],[AccountKey]],tblAccounts[AccountKey],tblAccounts[AccountNumber],"")</f>
        <v>4000</v>
      </c>
      <c r="J113" t="str">
        <f>_xlfn.XLOOKUP(tblFinancials[[#This Row],[AccountKey]],tblAccounts[AccountKey],tblAccounts[AccountName],"")</f>
        <v>Product Revenue</v>
      </c>
      <c r="K113" s="8" t="str">
        <f>_xlfn.XLOOKUP(tblFinancials[[#This Row],[AccountKey]],tblAccounts[AccountKey],tblAccounts[FinancialStatement],"")</f>
        <v>Income Statement</v>
      </c>
      <c r="L113" s="8" t="str">
        <f>_xlfn.XLOOKUP(tblFinancials[[#This Row],[AccountKey]],tblAccounts[AccountKey],tblAccounts[AccountCategory],"")</f>
        <v>Revenue</v>
      </c>
      <c r="M113" s="8" t="str">
        <f>_xlfn.XLOOKUP(tblFinancials[[#This Row],[AccountKey]],tblAccounts[AccountKey],tblAccounts[NormalBalance],"")</f>
        <v>Credit</v>
      </c>
      <c r="N113" s="8" t="str">
        <f>_xlfn.XLOOKUP(tblFinancials[[#This Row],[DepartmentKey]],tblDepartments[DepartmentKey],tblDepartments[DepartmentName],"")</f>
        <v>Marketing</v>
      </c>
      <c r="O113" s="8" t="str">
        <f>_xlfn.XLOOKUP(tblFinancials[[#This Row],[BusinessUnitKey]],tblBusinessUnits[BusinessUnitKey],tblBusinessUnits[BusinessUnitName],"")</f>
        <v>E-Commerce</v>
      </c>
      <c r="P113" s="8" t="str">
        <f>_xlfn.XLOOKUP(tblFinancials[[#This Row],[RegionKey]],tblRegions[RegionKey],tblRegions[RegionName],"")</f>
        <v>West</v>
      </c>
    </row>
    <row r="114" spans="1:16">
      <c r="A114">
        <v>20230401</v>
      </c>
      <c r="B114">
        <v>8</v>
      </c>
      <c r="C114">
        <v>1</v>
      </c>
      <c r="D114">
        <v>1</v>
      </c>
      <c r="E114">
        <v>12</v>
      </c>
      <c r="F114" t="s">
        <v>92</v>
      </c>
      <c r="G114">
        <v>29533.86</v>
      </c>
      <c r="H114">
        <f>_xlfn.XLOOKUP(tblFinancials[[#This Row],[DateKey]],tblCalendar[DateKey],tblCalendar[FullDate],"")</f>
        <v>45017</v>
      </c>
      <c r="I114">
        <f>_xlfn.XLOOKUP(tblFinancials[[#This Row],[AccountKey]],tblAccounts[AccountKey],tblAccounts[AccountNumber],"")</f>
        <v>4010</v>
      </c>
      <c r="J114" t="str">
        <f>_xlfn.XLOOKUP(tblFinancials[[#This Row],[AccountKey]],tblAccounts[AccountKey],tblAccounts[AccountName],"")</f>
        <v>Service Revenue</v>
      </c>
      <c r="K114" s="8" t="str">
        <f>_xlfn.XLOOKUP(tblFinancials[[#This Row],[AccountKey]],tblAccounts[AccountKey],tblAccounts[FinancialStatement],"")</f>
        <v>Income Statement</v>
      </c>
      <c r="L114" s="8" t="str">
        <f>_xlfn.XLOOKUP(tblFinancials[[#This Row],[AccountKey]],tblAccounts[AccountKey],tblAccounts[AccountCategory],"")</f>
        <v>Revenue</v>
      </c>
      <c r="M114" s="8" t="str">
        <f>_xlfn.XLOOKUP(tblFinancials[[#This Row],[AccountKey]],tblAccounts[AccountKey],tblAccounts[NormalBalance],"")</f>
        <v>Credit</v>
      </c>
      <c r="N114" s="8" t="str">
        <f>_xlfn.XLOOKUP(tblFinancials[[#This Row],[DepartmentKey]],tblDepartments[DepartmentKey],tblDepartments[DepartmentName],"")</f>
        <v>Customer Service</v>
      </c>
      <c r="O114" s="8" t="str">
        <f>_xlfn.XLOOKUP(tblFinancials[[#This Row],[BusinessUnitKey]],tblBusinessUnits[BusinessUnitKey],tblBusinessUnits[BusinessUnitName],"")</f>
        <v xml:space="preserve">Manufacturing </v>
      </c>
      <c r="P114" s="8" t="str">
        <f>_xlfn.XLOOKUP(tblFinancials[[#This Row],[RegionKey]],tblRegions[RegionKey],tblRegions[RegionName],"")</f>
        <v>West</v>
      </c>
    </row>
    <row r="115" spans="1:16">
      <c r="A115">
        <v>20230401</v>
      </c>
      <c r="B115">
        <v>6</v>
      </c>
      <c r="C115">
        <v>1</v>
      </c>
      <c r="D115">
        <v>3</v>
      </c>
      <c r="E115">
        <v>11</v>
      </c>
      <c r="F115" t="s">
        <v>92</v>
      </c>
      <c r="G115">
        <v>27340.84</v>
      </c>
      <c r="H115">
        <f>_xlfn.XLOOKUP(tblFinancials[[#This Row],[DateKey]],tblCalendar[DateKey],tblCalendar[FullDate],"")</f>
        <v>45017</v>
      </c>
      <c r="I115">
        <f>_xlfn.XLOOKUP(tblFinancials[[#This Row],[AccountKey]],tblAccounts[AccountKey],tblAccounts[AccountNumber],"")</f>
        <v>4000</v>
      </c>
      <c r="J115" t="str">
        <f>_xlfn.XLOOKUP(tblFinancials[[#This Row],[AccountKey]],tblAccounts[AccountKey],tblAccounts[AccountName],"")</f>
        <v>Product Revenue</v>
      </c>
      <c r="K115" s="8" t="str">
        <f>_xlfn.XLOOKUP(tblFinancials[[#This Row],[AccountKey]],tblAccounts[AccountKey],tblAccounts[FinancialStatement],"")</f>
        <v>Income Statement</v>
      </c>
      <c r="L115" s="8" t="str">
        <f>_xlfn.XLOOKUP(tblFinancials[[#This Row],[AccountKey]],tblAccounts[AccountKey],tblAccounts[AccountCategory],"")</f>
        <v>Revenue</v>
      </c>
      <c r="M115" s="8" t="str">
        <f>_xlfn.XLOOKUP(tblFinancials[[#This Row],[AccountKey]],tblAccounts[AccountKey],tblAccounts[NormalBalance],"")</f>
        <v>Credit</v>
      </c>
      <c r="N115" s="8" t="str">
        <f>_xlfn.XLOOKUP(tblFinancials[[#This Row],[DepartmentKey]],tblDepartments[DepartmentKey],tblDepartments[DepartmentName],"")</f>
        <v>Operations</v>
      </c>
      <c r="O115" s="8" t="str">
        <f>_xlfn.XLOOKUP(tblFinancials[[#This Row],[BusinessUnitKey]],tblBusinessUnits[BusinessUnitKey],tblBusinessUnits[BusinessUnitName],"")</f>
        <v xml:space="preserve">Manufacturing </v>
      </c>
      <c r="P115" s="8" t="str">
        <f>_xlfn.XLOOKUP(tblFinancials[[#This Row],[RegionKey]],tblRegions[RegionKey],tblRegions[RegionName],"")</f>
        <v>South</v>
      </c>
    </row>
    <row r="116" spans="1:16">
      <c r="A116">
        <v>20230401</v>
      </c>
      <c r="B116">
        <v>3</v>
      </c>
      <c r="C116">
        <v>3</v>
      </c>
      <c r="D116">
        <v>1</v>
      </c>
      <c r="E116">
        <v>11</v>
      </c>
      <c r="F116" t="s">
        <v>92</v>
      </c>
      <c r="G116">
        <v>29585.97</v>
      </c>
      <c r="H116">
        <f>_xlfn.XLOOKUP(tblFinancials[[#This Row],[DateKey]],tblCalendar[DateKey],tblCalendar[FullDate],"")</f>
        <v>45017</v>
      </c>
      <c r="I116">
        <f>_xlfn.XLOOKUP(tblFinancials[[#This Row],[AccountKey]],tblAccounts[AccountKey],tblAccounts[AccountNumber],"")</f>
        <v>4000</v>
      </c>
      <c r="J116" t="str">
        <f>_xlfn.XLOOKUP(tblFinancials[[#This Row],[AccountKey]],tblAccounts[AccountKey],tblAccounts[AccountName],"")</f>
        <v>Product Revenue</v>
      </c>
      <c r="K116" s="8" t="str">
        <f>_xlfn.XLOOKUP(tblFinancials[[#This Row],[AccountKey]],tblAccounts[AccountKey],tblAccounts[FinancialStatement],"")</f>
        <v>Income Statement</v>
      </c>
      <c r="L116" s="8" t="str">
        <f>_xlfn.XLOOKUP(tblFinancials[[#This Row],[AccountKey]],tblAccounts[AccountKey],tblAccounts[AccountCategory],"")</f>
        <v>Revenue</v>
      </c>
      <c r="M116" s="8" t="str">
        <f>_xlfn.XLOOKUP(tblFinancials[[#This Row],[AccountKey]],tblAccounts[AccountKey],tblAccounts[NormalBalance],"")</f>
        <v>Credit</v>
      </c>
      <c r="N116" s="8" t="str">
        <f>_xlfn.XLOOKUP(tblFinancials[[#This Row],[DepartmentKey]],tblDepartments[DepartmentKey],tblDepartments[DepartmentName],"")</f>
        <v>Human Resources</v>
      </c>
      <c r="O116" s="8" t="str">
        <f>_xlfn.XLOOKUP(tblFinancials[[#This Row],[BusinessUnitKey]],tblBusinessUnits[BusinessUnitKey],tblBusinessUnits[BusinessUnitName],"")</f>
        <v>Retail</v>
      </c>
      <c r="P116" s="8" t="str">
        <f>_xlfn.XLOOKUP(tblFinancials[[#This Row],[RegionKey]],tblRegions[RegionKey],tblRegions[RegionName],"")</f>
        <v>West</v>
      </c>
    </row>
    <row r="117" spans="1:16">
      <c r="A117">
        <v>20230401</v>
      </c>
      <c r="B117">
        <v>8</v>
      </c>
      <c r="C117">
        <v>3</v>
      </c>
      <c r="D117">
        <v>4</v>
      </c>
      <c r="E117">
        <v>13</v>
      </c>
      <c r="F117" t="s">
        <v>92</v>
      </c>
      <c r="G117">
        <v>28638.85</v>
      </c>
      <c r="H117">
        <f>_xlfn.XLOOKUP(tblFinancials[[#This Row],[DateKey]],tblCalendar[DateKey],tblCalendar[FullDate],"")</f>
        <v>45017</v>
      </c>
      <c r="I117">
        <f>_xlfn.XLOOKUP(tblFinancials[[#This Row],[AccountKey]],tblAccounts[AccountKey],tblAccounts[AccountNumber],"")</f>
        <v>4020</v>
      </c>
      <c r="J117" t="str">
        <f>_xlfn.XLOOKUP(tblFinancials[[#This Row],[AccountKey]],tblAccounts[AccountKey],tblAccounts[AccountName],"")</f>
        <v>Online Revenue</v>
      </c>
      <c r="K117" s="8" t="str">
        <f>_xlfn.XLOOKUP(tblFinancials[[#This Row],[AccountKey]],tblAccounts[AccountKey],tblAccounts[FinancialStatement],"")</f>
        <v>Income Statement</v>
      </c>
      <c r="L117" s="8" t="str">
        <f>_xlfn.XLOOKUP(tblFinancials[[#This Row],[AccountKey]],tblAccounts[AccountKey],tblAccounts[AccountCategory],"")</f>
        <v>Revenue</v>
      </c>
      <c r="M117" s="8" t="str">
        <f>_xlfn.XLOOKUP(tblFinancials[[#This Row],[AccountKey]],tblAccounts[AccountKey],tblAccounts[NormalBalance],"")</f>
        <v>Credit</v>
      </c>
      <c r="N117" s="8" t="str">
        <f>_xlfn.XLOOKUP(tblFinancials[[#This Row],[DepartmentKey]],tblDepartments[DepartmentKey],tblDepartments[DepartmentName],"")</f>
        <v>Customer Service</v>
      </c>
      <c r="O117" s="8" t="str">
        <f>_xlfn.XLOOKUP(tblFinancials[[#This Row],[BusinessUnitKey]],tblBusinessUnits[BusinessUnitKey],tblBusinessUnits[BusinessUnitName],"")</f>
        <v>Retail</v>
      </c>
      <c r="P117" s="8" t="str">
        <f>_xlfn.XLOOKUP(tblFinancials[[#This Row],[RegionKey]],tblRegions[RegionKey],tblRegions[RegionName],"")</f>
        <v>East</v>
      </c>
    </row>
    <row r="118" spans="1:16">
      <c r="A118">
        <v>20230401</v>
      </c>
      <c r="B118">
        <v>7</v>
      </c>
      <c r="C118">
        <v>2</v>
      </c>
      <c r="D118">
        <v>1</v>
      </c>
      <c r="E118">
        <v>12</v>
      </c>
      <c r="F118" t="s">
        <v>92</v>
      </c>
      <c r="G118">
        <v>28432.81</v>
      </c>
      <c r="H118">
        <f>_xlfn.XLOOKUP(tblFinancials[[#This Row],[DateKey]],tblCalendar[DateKey],tblCalendar[FullDate],"")</f>
        <v>45017</v>
      </c>
      <c r="I118">
        <f>_xlfn.XLOOKUP(tblFinancials[[#This Row],[AccountKey]],tblAccounts[AccountKey],tblAccounts[AccountNumber],"")</f>
        <v>4010</v>
      </c>
      <c r="J118" t="str">
        <f>_xlfn.XLOOKUP(tblFinancials[[#This Row],[AccountKey]],tblAccounts[AccountKey],tblAccounts[AccountName],"")</f>
        <v>Service Revenue</v>
      </c>
      <c r="K118" s="8" t="str">
        <f>_xlfn.XLOOKUP(tblFinancials[[#This Row],[AccountKey]],tblAccounts[AccountKey],tblAccounts[FinancialStatement],"")</f>
        <v>Income Statement</v>
      </c>
      <c r="L118" s="8" t="str">
        <f>_xlfn.XLOOKUP(tblFinancials[[#This Row],[AccountKey]],tblAccounts[AccountKey],tblAccounts[AccountCategory],"")</f>
        <v>Revenue</v>
      </c>
      <c r="M118" s="8" t="str">
        <f>_xlfn.XLOOKUP(tblFinancials[[#This Row],[AccountKey]],tblAccounts[AccountKey],tblAccounts[NormalBalance],"")</f>
        <v>Credit</v>
      </c>
      <c r="N118" s="8" t="str">
        <f>_xlfn.XLOOKUP(tblFinancials[[#This Row],[DepartmentKey]],tblDepartments[DepartmentKey],tblDepartments[DepartmentName],"")</f>
        <v>Information Technology</v>
      </c>
      <c r="O118" s="8" t="str">
        <f>_xlfn.XLOOKUP(tblFinancials[[#This Row],[BusinessUnitKey]],tblBusinessUnits[BusinessUnitKey],tblBusinessUnits[BusinessUnitName],"")</f>
        <v>Wholesale</v>
      </c>
      <c r="P118" s="8" t="str">
        <f>_xlfn.XLOOKUP(tblFinancials[[#This Row],[RegionKey]],tblRegions[RegionKey],tblRegions[RegionName],"")</f>
        <v>West</v>
      </c>
    </row>
    <row r="119" spans="1:16">
      <c r="A119">
        <v>20230401</v>
      </c>
      <c r="B119">
        <v>3</v>
      </c>
      <c r="C119">
        <v>2</v>
      </c>
      <c r="D119">
        <v>3</v>
      </c>
      <c r="E119">
        <v>13</v>
      </c>
      <c r="F119" t="s">
        <v>92</v>
      </c>
      <c r="G119">
        <v>28743.83</v>
      </c>
      <c r="H119">
        <f>_xlfn.XLOOKUP(tblFinancials[[#This Row],[DateKey]],tblCalendar[DateKey],tblCalendar[FullDate],"")</f>
        <v>45017</v>
      </c>
      <c r="I119">
        <f>_xlfn.XLOOKUP(tblFinancials[[#This Row],[AccountKey]],tblAccounts[AccountKey],tblAccounts[AccountNumber],"")</f>
        <v>4020</v>
      </c>
      <c r="J119" t="str">
        <f>_xlfn.XLOOKUP(tblFinancials[[#This Row],[AccountKey]],tblAccounts[AccountKey],tblAccounts[AccountName],"")</f>
        <v>Online Revenue</v>
      </c>
      <c r="K119" s="8" t="str">
        <f>_xlfn.XLOOKUP(tblFinancials[[#This Row],[AccountKey]],tblAccounts[AccountKey],tblAccounts[FinancialStatement],"")</f>
        <v>Income Statement</v>
      </c>
      <c r="L119" s="8" t="str">
        <f>_xlfn.XLOOKUP(tblFinancials[[#This Row],[AccountKey]],tblAccounts[AccountKey],tblAccounts[AccountCategory],"")</f>
        <v>Revenue</v>
      </c>
      <c r="M119" s="8" t="str">
        <f>_xlfn.XLOOKUP(tblFinancials[[#This Row],[AccountKey]],tblAccounts[AccountKey],tblAccounts[NormalBalance],"")</f>
        <v>Credit</v>
      </c>
      <c r="N119" s="8" t="str">
        <f>_xlfn.XLOOKUP(tblFinancials[[#This Row],[DepartmentKey]],tblDepartments[DepartmentKey],tblDepartments[DepartmentName],"")</f>
        <v>Human Resources</v>
      </c>
      <c r="O119" s="8" t="str">
        <f>_xlfn.XLOOKUP(tblFinancials[[#This Row],[BusinessUnitKey]],tblBusinessUnits[BusinessUnitKey],tblBusinessUnits[BusinessUnitName],"")</f>
        <v>Wholesale</v>
      </c>
      <c r="P119" s="8" t="str">
        <f>_xlfn.XLOOKUP(tblFinancials[[#This Row],[RegionKey]],tblRegions[RegionKey],tblRegions[RegionName],"")</f>
        <v>South</v>
      </c>
    </row>
    <row r="120" spans="1:16">
      <c r="A120">
        <v>20230401</v>
      </c>
      <c r="B120">
        <v>7</v>
      </c>
      <c r="C120">
        <v>2</v>
      </c>
      <c r="D120">
        <v>4</v>
      </c>
      <c r="E120">
        <v>11</v>
      </c>
      <c r="F120" t="s">
        <v>92</v>
      </c>
      <c r="G120">
        <v>29309.26</v>
      </c>
      <c r="H120">
        <f>_xlfn.XLOOKUP(tblFinancials[[#This Row],[DateKey]],tblCalendar[DateKey],tblCalendar[FullDate],"")</f>
        <v>45017</v>
      </c>
      <c r="I120">
        <f>_xlfn.XLOOKUP(tblFinancials[[#This Row],[AccountKey]],tblAccounts[AccountKey],tblAccounts[AccountNumber],"")</f>
        <v>4000</v>
      </c>
      <c r="J120" t="str">
        <f>_xlfn.XLOOKUP(tblFinancials[[#This Row],[AccountKey]],tblAccounts[AccountKey],tblAccounts[AccountName],"")</f>
        <v>Product Revenue</v>
      </c>
      <c r="K120" s="8" t="str">
        <f>_xlfn.XLOOKUP(tblFinancials[[#This Row],[AccountKey]],tblAccounts[AccountKey],tblAccounts[FinancialStatement],"")</f>
        <v>Income Statement</v>
      </c>
      <c r="L120" s="8" t="str">
        <f>_xlfn.XLOOKUP(tblFinancials[[#This Row],[AccountKey]],tblAccounts[AccountKey],tblAccounts[AccountCategory],"")</f>
        <v>Revenue</v>
      </c>
      <c r="M120" s="8" t="str">
        <f>_xlfn.XLOOKUP(tblFinancials[[#This Row],[AccountKey]],tblAccounts[AccountKey],tblAccounts[NormalBalance],"")</f>
        <v>Credit</v>
      </c>
      <c r="N120" s="8" t="str">
        <f>_xlfn.XLOOKUP(tblFinancials[[#This Row],[DepartmentKey]],tblDepartments[DepartmentKey],tblDepartments[DepartmentName],"")</f>
        <v>Information Technology</v>
      </c>
      <c r="O120" s="8" t="str">
        <f>_xlfn.XLOOKUP(tblFinancials[[#This Row],[BusinessUnitKey]],tblBusinessUnits[BusinessUnitKey],tblBusinessUnits[BusinessUnitName],"")</f>
        <v>Wholesale</v>
      </c>
      <c r="P120" s="8" t="str">
        <f>_xlfn.XLOOKUP(tblFinancials[[#This Row],[RegionKey]],tblRegions[RegionKey],tblRegions[RegionName],"")</f>
        <v>East</v>
      </c>
    </row>
    <row r="121" spans="1:16">
      <c r="A121">
        <v>20230401</v>
      </c>
      <c r="B121">
        <v>1</v>
      </c>
      <c r="C121">
        <v>4</v>
      </c>
      <c r="D121">
        <v>1</v>
      </c>
      <c r="E121">
        <v>12</v>
      </c>
      <c r="F121" t="s">
        <v>92</v>
      </c>
      <c r="G121">
        <v>24306.53</v>
      </c>
      <c r="H121">
        <f>_xlfn.XLOOKUP(tblFinancials[[#This Row],[DateKey]],tblCalendar[DateKey],tblCalendar[FullDate],"")</f>
        <v>45017</v>
      </c>
      <c r="I121">
        <f>_xlfn.XLOOKUP(tblFinancials[[#This Row],[AccountKey]],tblAccounts[AccountKey],tblAccounts[AccountNumber],"")</f>
        <v>4010</v>
      </c>
      <c r="J121" t="str">
        <f>_xlfn.XLOOKUP(tblFinancials[[#This Row],[AccountKey]],tblAccounts[AccountKey],tblAccounts[AccountName],"")</f>
        <v>Service Revenue</v>
      </c>
      <c r="K121" s="8" t="str">
        <f>_xlfn.XLOOKUP(tblFinancials[[#This Row],[AccountKey]],tblAccounts[AccountKey],tblAccounts[FinancialStatement],"")</f>
        <v>Income Statement</v>
      </c>
      <c r="L121" s="8" t="str">
        <f>_xlfn.XLOOKUP(tblFinancials[[#This Row],[AccountKey]],tblAccounts[AccountKey],tblAccounts[AccountCategory],"")</f>
        <v>Revenue</v>
      </c>
      <c r="M121" s="8" t="str">
        <f>_xlfn.XLOOKUP(tblFinancials[[#This Row],[AccountKey]],tblAccounts[AccountKey],tblAccounts[NormalBalance],"")</f>
        <v>Credit</v>
      </c>
      <c r="N121" s="8" t="str">
        <f>_xlfn.XLOOKUP(tblFinancials[[#This Row],[DepartmentKey]],tblDepartments[DepartmentKey],tblDepartments[DepartmentName],"")</f>
        <v>Executive</v>
      </c>
      <c r="O121" s="8" t="str">
        <f>_xlfn.XLOOKUP(tblFinancials[[#This Row],[BusinessUnitKey]],tblBusinessUnits[BusinessUnitKey],tblBusinessUnits[BusinessUnitName],"")</f>
        <v>E-Commerce</v>
      </c>
      <c r="P121" s="8" t="str">
        <f>_xlfn.XLOOKUP(tblFinancials[[#This Row],[RegionKey]],tblRegions[RegionKey],tblRegions[RegionName],"")</f>
        <v>West</v>
      </c>
    </row>
    <row r="122" spans="1:16">
      <c r="A122">
        <v>20230401</v>
      </c>
      <c r="B122">
        <v>8</v>
      </c>
      <c r="C122">
        <v>3</v>
      </c>
      <c r="D122">
        <v>1</v>
      </c>
      <c r="E122">
        <v>14</v>
      </c>
      <c r="F122" t="s">
        <v>92</v>
      </c>
      <c r="G122">
        <v>-16246.57</v>
      </c>
      <c r="H122">
        <f>_xlfn.XLOOKUP(tblFinancials[[#This Row],[DateKey]],tblCalendar[DateKey],tblCalendar[FullDate],"")</f>
        <v>45017</v>
      </c>
      <c r="I122">
        <f>_xlfn.XLOOKUP(tblFinancials[[#This Row],[AccountKey]],tblAccounts[AccountKey],tblAccounts[AccountNumber],"")</f>
        <v>5000</v>
      </c>
      <c r="J122" t="str">
        <f>_xlfn.XLOOKUP(tblFinancials[[#This Row],[AccountKey]],tblAccounts[AccountKey],tblAccounts[AccountName],"")</f>
        <v>Cost of Goods Sold</v>
      </c>
      <c r="K122" s="8" t="str">
        <f>_xlfn.XLOOKUP(tblFinancials[[#This Row],[AccountKey]],tblAccounts[AccountKey],tblAccounts[FinancialStatement],"")</f>
        <v>Income Statement</v>
      </c>
      <c r="L122" s="8" t="str">
        <f>_xlfn.XLOOKUP(tblFinancials[[#This Row],[AccountKey]],tblAccounts[AccountKey],tblAccounts[AccountCategory],"")</f>
        <v>Cost of Sales</v>
      </c>
      <c r="M122" s="8" t="str">
        <f>_xlfn.XLOOKUP(tblFinancials[[#This Row],[AccountKey]],tblAccounts[AccountKey],tblAccounts[NormalBalance],"")</f>
        <v>Debit</v>
      </c>
      <c r="N122" s="8" t="str">
        <f>_xlfn.XLOOKUP(tblFinancials[[#This Row],[DepartmentKey]],tblDepartments[DepartmentKey],tblDepartments[DepartmentName],"")</f>
        <v>Customer Service</v>
      </c>
      <c r="O122" s="8" t="str">
        <f>_xlfn.XLOOKUP(tblFinancials[[#This Row],[BusinessUnitKey]],tblBusinessUnits[BusinessUnitKey],tblBusinessUnits[BusinessUnitName],"")</f>
        <v>Retail</v>
      </c>
      <c r="P122" s="8" t="str">
        <f>_xlfn.XLOOKUP(tblFinancials[[#This Row],[RegionKey]],tblRegions[RegionKey],tblRegions[RegionName],"")</f>
        <v>West</v>
      </c>
    </row>
    <row r="123" spans="1:16">
      <c r="A123">
        <v>20230401</v>
      </c>
      <c r="B123">
        <v>8</v>
      </c>
      <c r="C123">
        <v>3</v>
      </c>
      <c r="D123">
        <v>2</v>
      </c>
      <c r="E123">
        <v>14</v>
      </c>
      <c r="F123" t="s">
        <v>92</v>
      </c>
      <c r="G123">
        <v>-16137.94</v>
      </c>
      <c r="H123">
        <f>_xlfn.XLOOKUP(tblFinancials[[#This Row],[DateKey]],tblCalendar[DateKey],tblCalendar[FullDate],"")</f>
        <v>45017</v>
      </c>
      <c r="I123">
        <f>_xlfn.XLOOKUP(tblFinancials[[#This Row],[AccountKey]],tblAccounts[AccountKey],tblAccounts[AccountNumber],"")</f>
        <v>5000</v>
      </c>
      <c r="J123" t="str">
        <f>_xlfn.XLOOKUP(tblFinancials[[#This Row],[AccountKey]],tblAccounts[AccountKey],tblAccounts[AccountName],"")</f>
        <v>Cost of Goods Sold</v>
      </c>
      <c r="K123" s="8" t="str">
        <f>_xlfn.XLOOKUP(tblFinancials[[#This Row],[AccountKey]],tblAccounts[AccountKey],tblAccounts[FinancialStatement],"")</f>
        <v>Income Statement</v>
      </c>
      <c r="L123" s="8" t="str">
        <f>_xlfn.XLOOKUP(tblFinancials[[#This Row],[AccountKey]],tblAccounts[AccountKey],tblAccounts[AccountCategory],"")</f>
        <v>Cost of Sales</v>
      </c>
      <c r="M123" s="8" t="str">
        <f>_xlfn.XLOOKUP(tblFinancials[[#This Row],[AccountKey]],tblAccounts[AccountKey],tblAccounts[NormalBalance],"")</f>
        <v>Debit</v>
      </c>
      <c r="N123" s="8" t="str">
        <f>_xlfn.XLOOKUP(tblFinancials[[#This Row],[DepartmentKey]],tblDepartments[DepartmentKey],tblDepartments[DepartmentName],"")</f>
        <v>Customer Service</v>
      </c>
      <c r="O123" s="8" t="str">
        <f>_xlfn.XLOOKUP(tblFinancials[[#This Row],[BusinessUnitKey]],tblBusinessUnits[BusinessUnitKey],tblBusinessUnits[BusinessUnitName],"")</f>
        <v>Retail</v>
      </c>
      <c r="P123" s="8" t="str">
        <f>_xlfn.XLOOKUP(tblFinancials[[#This Row],[RegionKey]],tblRegions[RegionKey],tblRegions[RegionName],"")</f>
        <v>Midwest</v>
      </c>
    </row>
    <row r="124" spans="1:16">
      <c r="A124">
        <v>20230401</v>
      </c>
      <c r="B124">
        <v>5</v>
      </c>
      <c r="C124">
        <v>1</v>
      </c>
      <c r="D124">
        <v>4</v>
      </c>
      <c r="E124">
        <v>14</v>
      </c>
      <c r="F124" t="s">
        <v>92</v>
      </c>
      <c r="G124">
        <v>-16168.13</v>
      </c>
      <c r="H124">
        <f>_xlfn.XLOOKUP(tblFinancials[[#This Row],[DateKey]],tblCalendar[DateKey],tblCalendar[FullDate],"")</f>
        <v>45017</v>
      </c>
      <c r="I124">
        <f>_xlfn.XLOOKUP(tblFinancials[[#This Row],[AccountKey]],tblAccounts[AccountKey],tblAccounts[AccountNumber],"")</f>
        <v>5000</v>
      </c>
      <c r="J124" t="str">
        <f>_xlfn.XLOOKUP(tblFinancials[[#This Row],[AccountKey]],tblAccounts[AccountKey],tblAccounts[AccountName],"")</f>
        <v>Cost of Goods Sold</v>
      </c>
      <c r="K124" s="8" t="str">
        <f>_xlfn.XLOOKUP(tblFinancials[[#This Row],[AccountKey]],tblAccounts[AccountKey],tblAccounts[FinancialStatement],"")</f>
        <v>Income Statement</v>
      </c>
      <c r="L124" s="8" t="str">
        <f>_xlfn.XLOOKUP(tblFinancials[[#This Row],[AccountKey]],tblAccounts[AccountKey],tblAccounts[AccountCategory],"")</f>
        <v>Cost of Sales</v>
      </c>
      <c r="M124" s="8" t="str">
        <f>_xlfn.XLOOKUP(tblFinancials[[#This Row],[AccountKey]],tblAccounts[AccountKey],tblAccounts[NormalBalance],"")</f>
        <v>Debit</v>
      </c>
      <c r="N124" s="8" t="str">
        <f>_xlfn.XLOOKUP(tblFinancials[[#This Row],[DepartmentKey]],tblDepartments[DepartmentKey],tblDepartments[DepartmentName],"")</f>
        <v>Marketing</v>
      </c>
      <c r="O124" s="8" t="str">
        <f>_xlfn.XLOOKUP(tblFinancials[[#This Row],[BusinessUnitKey]],tblBusinessUnits[BusinessUnitKey],tblBusinessUnits[BusinessUnitName],"")</f>
        <v xml:space="preserve">Manufacturing </v>
      </c>
      <c r="P124" s="8" t="str">
        <f>_xlfn.XLOOKUP(tblFinancials[[#This Row],[RegionKey]],tblRegions[RegionKey],tblRegions[RegionName],"")</f>
        <v>East</v>
      </c>
    </row>
    <row r="125" spans="1:16">
      <c r="A125">
        <v>20230401</v>
      </c>
      <c r="B125">
        <v>5</v>
      </c>
      <c r="C125">
        <v>3</v>
      </c>
      <c r="D125">
        <v>3</v>
      </c>
      <c r="E125">
        <v>14</v>
      </c>
      <c r="F125" t="s">
        <v>92</v>
      </c>
      <c r="G125">
        <v>-17597.11</v>
      </c>
      <c r="H125">
        <f>_xlfn.XLOOKUP(tblFinancials[[#This Row],[DateKey]],tblCalendar[DateKey],tblCalendar[FullDate],"")</f>
        <v>45017</v>
      </c>
      <c r="I125">
        <f>_xlfn.XLOOKUP(tblFinancials[[#This Row],[AccountKey]],tblAccounts[AccountKey],tblAccounts[AccountNumber],"")</f>
        <v>5000</v>
      </c>
      <c r="J125" t="str">
        <f>_xlfn.XLOOKUP(tblFinancials[[#This Row],[AccountKey]],tblAccounts[AccountKey],tblAccounts[AccountName],"")</f>
        <v>Cost of Goods Sold</v>
      </c>
      <c r="K125" s="8" t="str">
        <f>_xlfn.XLOOKUP(tblFinancials[[#This Row],[AccountKey]],tblAccounts[AccountKey],tblAccounts[FinancialStatement],"")</f>
        <v>Income Statement</v>
      </c>
      <c r="L125" s="8" t="str">
        <f>_xlfn.XLOOKUP(tblFinancials[[#This Row],[AccountKey]],tblAccounts[AccountKey],tblAccounts[AccountCategory],"")</f>
        <v>Cost of Sales</v>
      </c>
      <c r="M125" s="8" t="str">
        <f>_xlfn.XLOOKUP(tblFinancials[[#This Row],[AccountKey]],tblAccounts[AccountKey],tblAccounts[NormalBalance],"")</f>
        <v>Debit</v>
      </c>
      <c r="N125" s="8" t="str">
        <f>_xlfn.XLOOKUP(tblFinancials[[#This Row],[DepartmentKey]],tblDepartments[DepartmentKey],tblDepartments[DepartmentName],"")</f>
        <v>Marketing</v>
      </c>
      <c r="O125" s="8" t="str">
        <f>_xlfn.XLOOKUP(tblFinancials[[#This Row],[BusinessUnitKey]],tblBusinessUnits[BusinessUnitKey],tblBusinessUnits[BusinessUnitName],"")</f>
        <v>Retail</v>
      </c>
      <c r="P125" s="8" t="str">
        <f>_xlfn.XLOOKUP(tblFinancials[[#This Row],[RegionKey]],tblRegions[RegionKey],tblRegions[RegionName],"")</f>
        <v>South</v>
      </c>
    </row>
    <row r="126" spans="1:16">
      <c r="A126">
        <v>20230401</v>
      </c>
      <c r="B126">
        <v>1</v>
      </c>
      <c r="C126">
        <v>2</v>
      </c>
      <c r="D126">
        <v>1</v>
      </c>
      <c r="E126">
        <v>14</v>
      </c>
      <c r="F126" t="s">
        <v>92</v>
      </c>
      <c r="G126">
        <v>-17140.57</v>
      </c>
      <c r="H126">
        <f>_xlfn.XLOOKUP(tblFinancials[[#This Row],[DateKey]],tblCalendar[DateKey],tblCalendar[FullDate],"")</f>
        <v>45017</v>
      </c>
      <c r="I126">
        <f>_xlfn.XLOOKUP(tblFinancials[[#This Row],[AccountKey]],tblAccounts[AccountKey],tblAccounts[AccountNumber],"")</f>
        <v>5000</v>
      </c>
      <c r="J126" t="str">
        <f>_xlfn.XLOOKUP(tblFinancials[[#This Row],[AccountKey]],tblAccounts[AccountKey],tblAccounts[AccountName],"")</f>
        <v>Cost of Goods Sold</v>
      </c>
      <c r="K126" s="8" t="str">
        <f>_xlfn.XLOOKUP(tblFinancials[[#This Row],[AccountKey]],tblAccounts[AccountKey],tblAccounts[FinancialStatement],"")</f>
        <v>Income Statement</v>
      </c>
      <c r="L126" s="8" t="str">
        <f>_xlfn.XLOOKUP(tblFinancials[[#This Row],[AccountKey]],tblAccounts[AccountKey],tblAccounts[AccountCategory],"")</f>
        <v>Cost of Sales</v>
      </c>
      <c r="M126" s="8" t="str">
        <f>_xlfn.XLOOKUP(tblFinancials[[#This Row],[AccountKey]],tblAccounts[AccountKey],tblAccounts[NormalBalance],"")</f>
        <v>Debit</v>
      </c>
      <c r="N126" s="8" t="str">
        <f>_xlfn.XLOOKUP(tblFinancials[[#This Row],[DepartmentKey]],tblDepartments[DepartmentKey],tblDepartments[DepartmentName],"")</f>
        <v>Executive</v>
      </c>
      <c r="O126" s="8" t="str">
        <f>_xlfn.XLOOKUP(tblFinancials[[#This Row],[BusinessUnitKey]],tblBusinessUnits[BusinessUnitKey],tblBusinessUnits[BusinessUnitName],"")</f>
        <v>Wholesale</v>
      </c>
      <c r="P126" s="8" t="str">
        <f>_xlfn.XLOOKUP(tblFinancials[[#This Row],[RegionKey]],tblRegions[RegionKey],tblRegions[RegionName],"")</f>
        <v>West</v>
      </c>
    </row>
    <row r="127" spans="1:16">
      <c r="A127">
        <v>20230401</v>
      </c>
      <c r="B127">
        <v>2</v>
      </c>
      <c r="C127">
        <v>3</v>
      </c>
      <c r="D127">
        <v>1</v>
      </c>
      <c r="E127">
        <v>14</v>
      </c>
      <c r="F127" t="s">
        <v>92</v>
      </c>
      <c r="G127">
        <v>-17805.95</v>
      </c>
      <c r="H127">
        <f>_xlfn.XLOOKUP(tblFinancials[[#This Row],[DateKey]],tblCalendar[DateKey],tblCalendar[FullDate],"")</f>
        <v>45017</v>
      </c>
      <c r="I127">
        <f>_xlfn.XLOOKUP(tblFinancials[[#This Row],[AccountKey]],tblAccounts[AccountKey],tblAccounts[AccountNumber],"")</f>
        <v>5000</v>
      </c>
      <c r="J127" t="str">
        <f>_xlfn.XLOOKUP(tblFinancials[[#This Row],[AccountKey]],tblAccounts[AccountKey],tblAccounts[AccountName],"")</f>
        <v>Cost of Goods Sold</v>
      </c>
      <c r="K127" s="8" t="str">
        <f>_xlfn.XLOOKUP(tblFinancials[[#This Row],[AccountKey]],tblAccounts[AccountKey],tblAccounts[FinancialStatement],"")</f>
        <v>Income Statement</v>
      </c>
      <c r="L127" s="8" t="str">
        <f>_xlfn.XLOOKUP(tblFinancials[[#This Row],[AccountKey]],tblAccounts[AccountKey],tblAccounts[AccountCategory],"")</f>
        <v>Cost of Sales</v>
      </c>
      <c r="M127" s="8" t="str">
        <f>_xlfn.XLOOKUP(tblFinancials[[#This Row],[AccountKey]],tblAccounts[AccountKey],tblAccounts[NormalBalance],"")</f>
        <v>Debit</v>
      </c>
      <c r="N127" s="8" t="str">
        <f>_xlfn.XLOOKUP(tblFinancials[[#This Row],[DepartmentKey]],tblDepartments[DepartmentKey],tblDepartments[DepartmentName],"")</f>
        <v>Finance</v>
      </c>
      <c r="O127" s="8" t="str">
        <f>_xlfn.XLOOKUP(tblFinancials[[#This Row],[BusinessUnitKey]],tblBusinessUnits[BusinessUnitKey],tblBusinessUnits[BusinessUnitName],"")</f>
        <v>Retail</v>
      </c>
      <c r="P127" s="8" t="str">
        <f>_xlfn.XLOOKUP(tblFinancials[[#This Row],[RegionKey]],tblRegions[RegionKey],tblRegions[RegionName],"")</f>
        <v>West</v>
      </c>
    </row>
    <row r="128" spans="1:16">
      <c r="A128">
        <v>20230401</v>
      </c>
      <c r="B128">
        <v>6</v>
      </c>
      <c r="C128">
        <v>2</v>
      </c>
      <c r="D128">
        <v>4</v>
      </c>
      <c r="E128">
        <v>14</v>
      </c>
      <c r="F128" t="s">
        <v>92</v>
      </c>
      <c r="G128">
        <v>-16167.6</v>
      </c>
      <c r="H128">
        <f>_xlfn.XLOOKUP(tblFinancials[[#This Row],[DateKey]],tblCalendar[DateKey],tblCalendar[FullDate],"")</f>
        <v>45017</v>
      </c>
      <c r="I128">
        <f>_xlfn.XLOOKUP(tblFinancials[[#This Row],[AccountKey]],tblAccounts[AccountKey],tblAccounts[AccountNumber],"")</f>
        <v>5000</v>
      </c>
      <c r="J128" t="str">
        <f>_xlfn.XLOOKUP(tblFinancials[[#This Row],[AccountKey]],tblAccounts[AccountKey],tblAccounts[AccountName],"")</f>
        <v>Cost of Goods Sold</v>
      </c>
      <c r="K128" s="8" t="str">
        <f>_xlfn.XLOOKUP(tblFinancials[[#This Row],[AccountKey]],tblAccounts[AccountKey],tblAccounts[FinancialStatement],"")</f>
        <v>Income Statement</v>
      </c>
      <c r="L128" s="8" t="str">
        <f>_xlfn.XLOOKUP(tblFinancials[[#This Row],[AccountKey]],tblAccounts[AccountKey],tblAccounts[AccountCategory],"")</f>
        <v>Cost of Sales</v>
      </c>
      <c r="M128" s="8" t="str">
        <f>_xlfn.XLOOKUP(tblFinancials[[#This Row],[AccountKey]],tblAccounts[AccountKey],tblAccounts[NormalBalance],"")</f>
        <v>Debit</v>
      </c>
      <c r="N128" s="8" t="str">
        <f>_xlfn.XLOOKUP(tblFinancials[[#This Row],[DepartmentKey]],tblDepartments[DepartmentKey],tblDepartments[DepartmentName],"")</f>
        <v>Operations</v>
      </c>
      <c r="O128" s="8" t="str">
        <f>_xlfn.XLOOKUP(tblFinancials[[#This Row],[BusinessUnitKey]],tblBusinessUnits[BusinessUnitKey],tblBusinessUnits[BusinessUnitName],"")</f>
        <v>Wholesale</v>
      </c>
      <c r="P128" s="8" t="str">
        <f>_xlfn.XLOOKUP(tblFinancials[[#This Row],[RegionKey]],tblRegions[RegionKey],tblRegions[RegionName],"")</f>
        <v>East</v>
      </c>
    </row>
    <row r="129" spans="1:16">
      <c r="A129">
        <v>20230401</v>
      </c>
      <c r="B129">
        <v>1</v>
      </c>
      <c r="C129">
        <v>3</v>
      </c>
      <c r="D129">
        <v>2</v>
      </c>
      <c r="E129">
        <v>14</v>
      </c>
      <c r="F129" t="s">
        <v>92</v>
      </c>
      <c r="G129">
        <v>-15848.87</v>
      </c>
      <c r="H129">
        <f>_xlfn.XLOOKUP(tblFinancials[[#This Row],[DateKey]],tblCalendar[DateKey],tblCalendar[FullDate],"")</f>
        <v>45017</v>
      </c>
      <c r="I129">
        <f>_xlfn.XLOOKUP(tblFinancials[[#This Row],[AccountKey]],tblAccounts[AccountKey],tblAccounts[AccountNumber],"")</f>
        <v>5000</v>
      </c>
      <c r="J129" t="str">
        <f>_xlfn.XLOOKUP(tblFinancials[[#This Row],[AccountKey]],tblAccounts[AccountKey],tblAccounts[AccountName],"")</f>
        <v>Cost of Goods Sold</v>
      </c>
      <c r="K129" s="8" t="str">
        <f>_xlfn.XLOOKUP(tblFinancials[[#This Row],[AccountKey]],tblAccounts[AccountKey],tblAccounts[FinancialStatement],"")</f>
        <v>Income Statement</v>
      </c>
      <c r="L129" s="8" t="str">
        <f>_xlfn.XLOOKUP(tblFinancials[[#This Row],[AccountKey]],tblAccounts[AccountKey],tblAccounts[AccountCategory],"")</f>
        <v>Cost of Sales</v>
      </c>
      <c r="M129" s="8" t="str">
        <f>_xlfn.XLOOKUP(tblFinancials[[#This Row],[AccountKey]],tblAccounts[AccountKey],tblAccounts[NormalBalance],"")</f>
        <v>Debit</v>
      </c>
      <c r="N129" s="8" t="str">
        <f>_xlfn.XLOOKUP(tblFinancials[[#This Row],[DepartmentKey]],tblDepartments[DepartmentKey],tblDepartments[DepartmentName],"")</f>
        <v>Executive</v>
      </c>
      <c r="O129" s="8" t="str">
        <f>_xlfn.XLOOKUP(tblFinancials[[#This Row],[BusinessUnitKey]],tblBusinessUnits[BusinessUnitKey],tblBusinessUnits[BusinessUnitName],"")</f>
        <v>Retail</v>
      </c>
      <c r="P129" s="8" t="str">
        <f>_xlfn.XLOOKUP(tblFinancials[[#This Row],[RegionKey]],tblRegions[RegionKey],tblRegions[RegionName],"")</f>
        <v>Midwest</v>
      </c>
    </row>
    <row r="130" spans="1:16">
      <c r="A130">
        <v>20230401</v>
      </c>
      <c r="B130">
        <v>2</v>
      </c>
      <c r="C130">
        <v>3</v>
      </c>
      <c r="D130">
        <v>1</v>
      </c>
      <c r="E130">
        <v>14</v>
      </c>
      <c r="F130" t="s">
        <v>92</v>
      </c>
      <c r="G130">
        <v>-17666.68</v>
      </c>
      <c r="H130">
        <f>_xlfn.XLOOKUP(tblFinancials[[#This Row],[DateKey]],tblCalendar[DateKey],tblCalendar[FullDate],"")</f>
        <v>45017</v>
      </c>
      <c r="I130">
        <f>_xlfn.XLOOKUP(tblFinancials[[#This Row],[AccountKey]],tblAccounts[AccountKey],tblAccounts[AccountNumber],"")</f>
        <v>5000</v>
      </c>
      <c r="J130" t="str">
        <f>_xlfn.XLOOKUP(tblFinancials[[#This Row],[AccountKey]],tblAccounts[AccountKey],tblAccounts[AccountName],"")</f>
        <v>Cost of Goods Sold</v>
      </c>
      <c r="K130" s="8" t="str">
        <f>_xlfn.XLOOKUP(tblFinancials[[#This Row],[AccountKey]],tblAccounts[AccountKey],tblAccounts[FinancialStatement],"")</f>
        <v>Income Statement</v>
      </c>
      <c r="L130" s="8" t="str">
        <f>_xlfn.XLOOKUP(tblFinancials[[#This Row],[AccountKey]],tblAccounts[AccountKey],tblAccounts[AccountCategory],"")</f>
        <v>Cost of Sales</v>
      </c>
      <c r="M130" s="8" t="str">
        <f>_xlfn.XLOOKUP(tblFinancials[[#This Row],[AccountKey]],tblAccounts[AccountKey],tblAccounts[NormalBalance],"")</f>
        <v>Debit</v>
      </c>
      <c r="N130" s="8" t="str">
        <f>_xlfn.XLOOKUP(tblFinancials[[#This Row],[DepartmentKey]],tblDepartments[DepartmentKey],tblDepartments[DepartmentName],"")</f>
        <v>Finance</v>
      </c>
      <c r="O130" s="8" t="str">
        <f>_xlfn.XLOOKUP(tblFinancials[[#This Row],[BusinessUnitKey]],tblBusinessUnits[BusinessUnitKey],tblBusinessUnits[BusinessUnitName],"")</f>
        <v>Retail</v>
      </c>
      <c r="P130" s="8" t="str">
        <f>_xlfn.XLOOKUP(tblFinancials[[#This Row],[RegionKey]],tblRegions[RegionKey],tblRegions[RegionName],"")</f>
        <v>West</v>
      </c>
    </row>
    <row r="131" spans="1:16">
      <c r="A131">
        <v>20230401</v>
      </c>
      <c r="B131">
        <v>6</v>
      </c>
      <c r="C131">
        <v>1</v>
      </c>
      <c r="D131">
        <v>2</v>
      </c>
      <c r="E131">
        <v>14</v>
      </c>
      <c r="F131" t="s">
        <v>92</v>
      </c>
      <c r="G131">
        <v>-16591.23</v>
      </c>
      <c r="H131">
        <f>_xlfn.XLOOKUP(tblFinancials[[#This Row],[DateKey]],tblCalendar[DateKey],tblCalendar[FullDate],"")</f>
        <v>45017</v>
      </c>
      <c r="I131">
        <f>_xlfn.XLOOKUP(tblFinancials[[#This Row],[AccountKey]],tblAccounts[AccountKey],tblAccounts[AccountNumber],"")</f>
        <v>5000</v>
      </c>
      <c r="J131" t="str">
        <f>_xlfn.XLOOKUP(tblFinancials[[#This Row],[AccountKey]],tblAccounts[AccountKey],tblAccounts[AccountName],"")</f>
        <v>Cost of Goods Sold</v>
      </c>
      <c r="K131" s="8" t="str">
        <f>_xlfn.XLOOKUP(tblFinancials[[#This Row],[AccountKey]],tblAccounts[AccountKey],tblAccounts[FinancialStatement],"")</f>
        <v>Income Statement</v>
      </c>
      <c r="L131" s="8" t="str">
        <f>_xlfn.XLOOKUP(tblFinancials[[#This Row],[AccountKey]],tblAccounts[AccountKey],tblAccounts[AccountCategory],"")</f>
        <v>Cost of Sales</v>
      </c>
      <c r="M131" s="8" t="str">
        <f>_xlfn.XLOOKUP(tblFinancials[[#This Row],[AccountKey]],tblAccounts[AccountKey],tblAccounts[NormalBalance],"")</f>
        <v>Debit</v>
      </c>
      <c r="N131" s="8" t="str">
        <f>_xlfn.XLOOKUP(tblFinancials[[#This Row],[DepartmentKey]],tblDepartments[DepartmentKey],tblDepartments[DepartmentName],"")</f>
        <v>Operations</v>
      </c>
      <c r="O131" s="8" t="str">
        <f>_xlfn.XLOOKUP(tblFinancials[[#This Row],[BusinessUnitKey]],tblBusinessUnits[BusinessUnitKey],tblBusinessUnits[BusinessUnitName],"")</f>
        <v xml:space="preserve">Manufacturing </v>
      </c>
      <c r="P131" s="8" t="str">
        <f>_xlfn.XLOOKUP(tblFinancials[[#This Row],[RegionKey]],tblRegions[RegionKey],tblRegions[RegionName],"")</f>
        <v>Midwest</v>
      </c>
    </row>
    <row r="132" spans="1:16">
      <c r="A132">
        <v>20230401</v>
      </c>
      <c r="B132">
        <v>1</v>
      </c>
      <c r="C132">
        <v>3</v>
      </c>
      <c r="D132">
        <v>1</v>
      </c>
      <c r="E132">
        <v>14</v>
      </c>
      <c r="F132" t="s">
        <v>92</v>
      </c>
      <c r="G132">
        <v>-17789.38</v>
      </c>
      <c r="H132">
        <f>_xlfn.XLOOKUP(tblFinancials[[#This Row],[DateKey]],tblCalendar[DateKey],tblCalendar[FullDate],"")</f>
        <v>45017</v>
      </c>
      <c r="I132">
        <f>_xlfn.XLOOKUP(tblFinancials[[#This Row],[AccountKey]],tblAccounts[AccountKey],tblAccounts[AccountNumber],"")</f>
        <v>5000</v>
      </c>
      <c r="J132" t="str">
        <f>_xlfn.XLOOKUP(tblFinancials[[#This Row],[AccountKey]],tblAccounts[AccountKey],tblAccounts[AccountName],"")</f>
        <v>Cost of Goods Sold</v>
      </c>
      <c r="K132" s="8" t="str">
        <f>_xlfn.XLOOKUP(tblFinancials[[#This Row],[AccountKey]],tblAccounts[AccountKey],tblAccounts[FinancialStatement],"")</f>
        <v>Income Statement</v>
      </c>
      <c r="L132" s="8" t="str">
        <f>_xlfn.XLOOKUP(tblFinancials[[#This Row],[AccountKey]],tblAccounts[AccountKey],tblAccounts[AccountCategory],"")</f>
        <v>Cost of Sales</v>
      </c>
      <c r="M132" s="8" t="str">
        <f>_xlfn.XLOOKUP(tblFinancials[[#This Row],[AccountKey]],tblAccounts[AccountKey],tblAccounts[NormalBalance],"")</f>
        <v>Debit</v>
      </c>
      <c r="N132" s="8" t="str">
        <f>_xlfn.XLOOKUP(tblFinancials[[#This Row],[DepartmentKey]],tblDepartments[DepartmentKey],tblDepartments[DepartmentName],"")</f>
        <v>Executive</v>
      </c>
      <c r="O132" s="8" t="str">
        <f>_xlfn.XLOOKUP(tblFinancials[[#This Row],[BusinessUnitKey]],tblBusinessUnits[BusinessUnitKey],tblBusinessUnits[BusinessUnitName],"")</f>
        <v>Retail</v>
      </c>
      <c r="P132" s="8" t="str">
        <f>_xlfn.XLOOKUP(tblFinancials[[#This Row],[RegionKey]],tblRegions[RegionKey],tblRegions[RegionName],"")</f>
        <v>West</v>
      </c>
    </row>
    <row r="133" spans="1:16">
      <c r="A133">
        <v>20230401</v>
      </c>
      <c r="B133">
        <v>1</v>
      </c>
      <c r="C133">
        <v>1</v>
      </c>
      <c r="D133">
        <v>2</v>
      </c>
      <c r="E133">
        <v>14</v>
      </c>
      <c r="F133" t="s">
        <v>92</v>
      </c>
      <c r="G133">
        <v>-14249.07</v>
      </c>
      <c r="H133">
        <f>_xlfn.XLOOKUP(tblFinancials[[#This Row],[DateKey]],tblCalendar[DateKey],tblCalendar[FullDate],"")</f>
        <v>45017</v>
      </c>
      <c r="I133">
        <f>_xlfn.XLOOKUP(tblFinancials[[#This Row],[AccountKey]],tblAccounts[AccountKey],tblAccounts[AccountNumber],"")</f>
        <v>5000</v>
      </c>
      <c r="J133" t="str">
        <f>_xlfn.XLOOKUP(tblFinancials[[#This Row],[AccountKey]],tblAccounts[AccountKey],tblAccounts[AccountName],"")</f>
        <v>Cost of Goods Sold</v>
      </c>
      <c r="K133" s="8" t="str">
        <f>_xlfn.XLOOKUP(tblFinancials[[#This Row],[AccountKey]],tblAccounts[AccountKey],tblAccounts[FinancialStatement],"")</f>
        <v>Income Statement</v>
      </c>
      <c r="L133" s="8" t="str">
        <f>_xlfn.XLOOKUP(tblFinancials[[#This Row],[AccountKey]],tblAccounts[AccountKey],tblAccounts[AccountCategory],"")</f>
        <v>Cost of Sales</v>
      </c>
      <c r="M133" s="8" t="str">
        <f>_xlfn.XLOOKUP(tblFinancials[[#This Row],[AccountKey]],tblAccounts[AccountKey],tblAccounts[NormalBalance],"")</f>
        <v>Debit</v>
      </c>
      <c r="N133" s="8" t="str">
        <f>_xlfn.XLOOKUP(tblFinancials[[#This Row],[DepartmentKey]],tblDepartments[DepartmentKey],tblDepartments[DepartmentName],"")</f>
        <v>Executive</v>
      </c>
      <c r="O133" s="8" t="str">
        <f>_xlfn.XLOOKUP(tblFinancials[[#This Row],[BusinessUnitKey]],tblBusinessUnits[BusinessUnitKey],tblBusinessUnits[BusinessUnitName],"")</f>
        <v xml:space="preserve">Manufacturing </v>
      </c>
      <c r="P133" s="8" t="str">
        <f>_xlfn.XLOOKUP(tblFinancials[[#This Row],[RegionKey]],tblRegions[RegionKey],tblRegions[RegionName],"")</f>
        <v>Midwest</v>
      </c>
    </row>
    <row r="134" spans="1:16">
      <c r="A134">
        <v>20230401</v>
      </c>
      <c r="B134">
        <v>7</v>
      </c>
      <c r="C134">
        <v>2</v>
      </c>
      <c r="D134">
        <v>3</v>
      </c>
      <c r="E134">
        <v>23</v>
      </c>
      <c r="F134" t="s">
        <v>92</v>
      </c>
      <c r="G134">
        <v>-6491.32</v>
      </c>
      <c r="H134">
        <f>_xlfn.XLOOKUP(tblFinancials[[#This Row],[DateKey]],tblCalendar[DateKey],tblCalendar[FullDate],"")</f>
        <v>45017</v>
      </c>
      <c r="I134">
        <f>_xlfn.XLOOKUP(tblFinancials[[#This Row],[AccountKey]],tblAccounts[AccountKey],tblAccounts[AccountNumber],"")</f>
        <v>6800</v>
      </c>
      <c r="J134" t="str">
        <f>_xlfn.XLOOKUP(tblFinancials[[#This Row],[AccountKey]],tblAccounts[AccountKey],tblAccounts[AccountName],"")</f>
        <v>Travel Expense</v>
      </c>
      <c r="K134" s="8" t="str">
        <f>_xlfn.XLOOKUP(tblFinancials[[#This Row],[AccountKey]],tblAccounts[AccountKey],tblAccounts[FinancialStatement],"")</f>
        <v>Income Statement</v>
      </c>
      <c r="L134" s="8" t="str">
        <f>_xlfn.XLOOKUP(tblFinancials[[#This Row],[AccountKey]],tblAccounts[AccountKey],tblAccounts[AccountCategory],"")</f>
        <v>Operating Expense</v>
      </c>
      <c r="M134" s="8" t="str">
        <f>_xlfn.XLOOKUP(tblFinancials[[#This Row],[AccountKey]],tblAccounts[AccountKey],tblAccounts[NormalBalance],"")</f>
        <v>Debit</v>
      </c>
      <c r="N134" s="8" t="str">
        <f>_xlfn.XLOOKUP(tblFinancials[[#This Row],[DepartmentKey]],tblDepartments[DepartmentKey],tblDepartments[DepartmentName],"")</f>
        <v>Information Technology</v>
      </c>
      <c r="O134" s="8" t="str">
        <f>_xlfn.XLOOKUP(tblFinancials[[#This Row],[BusinessUnitKey]],tblBusinessUnits[BusinessUnitKey],tblBusinessUnits[BusinessUnitName],"")</f>
        <v>Wholesale</v>
      </c>
      <c r="P134" s="8" t="str">
        <f>_xlfn.XLOOKUP(tblFinancials[[#This Row],[RegionKey]],tblRegions[RegionKey],tblRegions[RegionName],"")</f>
        <v>South</v>
      </c>
    </row>
    <row r="135" spans="1:16">
      <c r="A135">
        <v>20230401</v>
      </c>
      <c r="B135">
        <v>4</v>
      </c>
      <c r="C135">
        <v>2</v>
      </c>
      <c r="D135">
        <v>2</v>
      </c>
      <c r="E135">
        <v>17</v>
      </c>
      <c r="F135" t="s">
        <v>92</v>
      </c>
      <c r="G135">
        <v>-6004.89</v>
      </c>
      <c r="H135">
        <f>_xlfn.XLOOKUP(tblFinancials[[#This Row],[DateKey]],tblCalendar[DateKey],tblCalendar[FullDate],"")</f>
        <v>45017</v>
      </c>
      <c r="I135">
        <f>_xlfn.XLOOKUP(tblFinancials[[#This Row],[AccountKey]],tblAccounts[AccountKey],tblAccounts[AccountNumber],"")</f>
        <v>6120</v>
      </c>
      <c r="J135" t="str">
        <f>_xlfn.XLOOKUP(tblFinancials[[#This Row],[AccountKey]],tblAccounts[AccountKey],tblAccounts[AccountName],"")</f>
        <v>Employee Benefits</v>
      </c>
      <c r="K135" s="8" t="str">
        <f>_xlfn.XLOOKUP(tblFinancials[[#This Row],[AccountKey]],tblAccounts[AccountKey],tblAccounts[FinancialStatement],"")</f>
        <v>Income Statement</v>
      </c>
      <c r="L135" s="8" t="str">
        <f>_xlfn.XLOOKUP(tblFinancials[[#This Row],[AccountKey]],tblAccounts[AccountKey],tblAccounts[AccountCategory],"")</f>
        <v>Operating Expense</v>
      </c>
      <c r="M135" s="8" t="str">
        <f>_xlfn.XLOOKUP(tblFinancials[[#This Row],[AccountKey]],tblAccounts[AccountKey],tblAccounts[NormalBalance],"")</f>
        <v>Debit</v>
      </c>
      <c r="N135" s="8" t="str">
        <f>_xlfn.XLOOKUP(tblFinancials[[#This Row],[DepartmentKey]],tblDepartments[DepartmentKey],tblDepartments[DepartmentName],"")</f>
        <v>Sales</v>
      </c>
      <c r="O135" s="8" t="str">
        <f>_xlfn.XLOOKUP(tblFinancials[[#This Row],[BusinessUnitKey]],tblBusinessUnits[BusinessUnitKey],tblBusinessUnits[BusinessUnitName],"")</f>
        <v>Wholesale</v>
      </c>
      <c r="P135" s="8" t="str">
        <f>_xlfn.XLOOKUP(tblFinancials[[#This Row],[RegionKey]],tblRegions[RegionKey],tblRegions[RegionName],"")</f>
        <v>Midwest</v>
      </c>
    </row>
    <row r="136" spans="1:16">
      <c r="A136">
        <v>20230401</v>
      </c>
      <c r="B136">
        <v>7</v>
      </c>
      <c r="C136">
        <v>4</v>
      </c>
      <c r="D136">
        <v>1</v>
      </c>
      <c r="E136">
        <v>16</v>
      </c>
      <c r="F136" t="s">
        <v>92</v>
      </c>
      <c r="G136">
        <v>-5520.78</v>
      </c>
      <c r="H136">
        <f>_xlfn.XLOOKUP(tblFinancials[[#This Row],[DateKey]],tblCalendar[DateKey],tblCalendar[FullDate],"")</f>
        <v>45017</v>
      </c>
      <c r="I136">
        <f>_xlfn.XLOOKUP(tblFinancials[[#This Row],[AccountKey]],tblAccounts[AccountKey],tblAccounts[AccountNumber],"")</f>
        <v>6110</v>
      </c>
      <c r="J136" t="str">
        <f>_xlfn.XLOOKUP(tblFinancials[[#This Row],[AccountKey]],tblAccounts[AccountKey],tblAccounts[AccountName],"")</f>
        <v>Payroll Taxes</v>
      </c>
      <c r="K136" s="8" t="str">
        <f>_xlfn.XLOOKUP(tblFinancials[[#This Row],[AccountKey]],tblAccounts[AccountKey],tblAccounts[FinancialStatement],"")</f>
        <v>Income Statement</v>
      </c>
      <c r="L136" s="8" t="str">
        <f>_xlfn.XLOOKUP(tblFinancials[[#This Row],[AccountKey]],tblAccounts[AccountKey],tblAccounts[AccountCategory],"")</f>
        <v>Operating Expense</v>
      </c>
      <c r="M136" s="8" t="str">
        <f>_xlfn.XLOOKUP(tblFinancials[[#This Row],[AccountKey]],tblAccounts[AccountKey],tblAccounts[NormalBalance],"")</f>
        <v>Debit</v>
      </c>
      <c r="N136" s="8" t="str">
        <f>_xlfn.XLOOKUP(tblFinancials[[#This Row],[DepartmentKey]],tblDepartments[DepartmentKey],tblDepartments[DepartmentName],"")</f>
        <v>Information Technology</v>
      </c>
      <c r="O136" s="8" t="str">
        <f>_xlfn.XLOOKUP(tblFinancials[[#This Row],[BusinessUnitKey]],tblBusinessUnits[BusinessUnitKey],tblBusinessUnits[BusinessUnitName],"")</f>
        <v>E-Commerce</v>
      </c>
      <c r="P136" s="8" t="str">
        <f>_xlfn.XLOOKUP(tblFinancials[[#This Row],[RegionKey]],tblRegions[RegionKey],tblRegions[RegionName],"")</f>
        <v>West</v>
      </c>
    </row>
    <row r="137" spans="1:16">
      <c r="A137">
        <v>20230401</v>
      </c>
      <c r="B137">
        <v>8</v>
      </c>
      <c r="C137">
        <v>3</v>
      </c>
      <c r="D137">
        <v>4</v>
      </c>
      <c r="E137">
        <v>20</v>
      </c>
      <c r="F137" t="s">
        <v>92</v>
      </c>
      <c r="G137">
        <v>-5825.03</v>
      </c>
      <c r="H137">
        <f>_xlfn.XLOOKUP(tblFinancials[[#This Row],[DateKey]],tblCalendar[DateKey],tblCalendar[FullDate],"")</f>
        <v>45017</v>
      </c>
      <c r="I137">
        <f>_xlfn.XLOOKUP(tblFinancials[[#This Row],[AccountKey]],tblAccounts[AccountKey],tblAccounts[AccountNumber],"")</f>
        <v>6500</v>
      </c>
      <c r="J137" t="str">
        <f>_xlfn.XLOOKUP(tblFinancials[[#This Row],[AccountKey]],tblAccounts[AccountKey],tblAccounts[AccountName],"")</f>
        <v>Rent Expense</v>
      </c>
      <c r="K137" s="8" t="str">
        <f>_xlfn.XLOOKUP(tblFinancials[[#This Row],[AccountKey]],tblAccounts[AccountKey],tblAccounts[FinancialStatement],"")</f>
        <v>Income Statement</v>
      </c>
      <c r="L137" s="8" t="str">
        <f>_xlfn.XLOOKUP(tblFinancials[[#This Row],[AccountKey]],tblAccounts[AccountKey],tblAccounts[AccountCategory],"")</f>
        <v>Operating Expense</v>
      </c>
      <c r="M137" s="8" t="str">
        <f>_xlfn.XLOOKUP(tblFinancials[[#This Row],[AccountKey]],tblAccounts[AccountKey],tblAccounts[NormalBalance],"")</f>
        <v>Debit</v>
      </c>
      <c r="N137" s="8" t="str">
        <f>_xlfn.XLOOKUP(tblFinancials[[#This Row],[DepartmentKey]],tblDepartments[DepartmentKey],tblDepartments[DepartmentName],"")</f>
        <v>Customer Service</v>
      </c>
      <c r="O137" s="8" t="str">
        <f>_xlfn.XLOOKUP(tblFinancials[[#This Row],[BusinessUnitKey]],tblBusinessUnits[BusinessUnitKey],tblBusinessUnits[BusinessUnitName],"")</f>
        <v>Retail</v>
      </c>
      <c r="P137" s="8" t="str">
        <f>_xlfn.XLOOKUP(tblFinancials[[#This Row],[RegionKey]],tblRegions[RegionKey],tblRegions[RegionName],"")</f>
        <v>East</v>
      </c>
    </row>
    <row r="138" spans="1:16">
      <c r="A138">
        <v>20230401</v>
      </c>
      <c r="B138">
        <v>6</v>
      </c>
      <c r="C138">
        <v>1</v>
      </c>
      <c r="D138">
        <v>1</v>
      </c>
      <c r="E138">
        <v>17</v>
      </c>
      <c r="F138" t="s">
        <v>92</v>
      </c>
      <c r="G138">
        <v>-6286.78</v>
      </c>
      <c r="H138">
        <f>_xlfn.XLOOKUP(tblFinancials[[#This Row],[DateKey]],tblCalendar[DateKey],tblCalendar[FullDate],"")</f>
        <v>45017</v>
      </c>
      <c r="I138">
        <f>_xlfn.XLOOKUP(tblFinancials[[#This Row],[AccountKey]],tblAccounts[AccountKey],tblAccounts[AccountNumber],"")</f>
        <v>6120</v>
      </c>
      <c r="J138" t="str">
        <f>_xlfn.XLOOKUP(tblFinancials[[#This Row],[AccountKey]],tblAccounts[AccountKey],tblAccounts[AccountName],"")</f>
        <v>Employee Benefits</v>
      </c>
      <c r="K138" s="8" t="str">
        <f>_xlfn.XLOOKUP(tblFinancials[[#This Row],[AccountKey]],tblAccounts[AccountKey],tblAccounts[FinancialStatement],"")</f>
        <v>Income Statement</v>
      </c>
      <c r="L138" s="8" t="str">
        <f>_xlfn.XLOOKUP(tblFinancials[[#This Row],[AccountKey]],tblAccounts[AccountKey],tblAccounts[AccountCategory],"")</f>
        <v>Operating Expense</v>
      </c>
      <c r="M138" s="8" t="str">
        <f>_xlfn.XLOOKUP(tblFinancials[[#This Row],[AccountKey]],tblAccounts[AccountKey],tblAccounts[NormalBalance],"")</f>
        <v>Debit</v>
      </c>
      <c r="N138" s="8" t="str">
        <f>_xlfn.XLOOKUP(tblFinancials[[#This Row],[DepartmentKey]],tblDepartments[DepartmentKey],tblDepartments[DepartmentName],"")</f>
        <v>Operations</v>
      </c>
      <c r="O138" s="8" t="str">
        <f>_xlfn.XLOOKUP(tblFinancials[[#This Row],[BusinessUnitKey]],tblBusinessUnits[BusinessUnitKey],tblBusinessUnits[BusinessUnitName],"")</f>
        <v xml:space="preserve">Manufacturing </v>
      </c>
      <c r="P138" s="8" t="str">
        <f>_xlfn.XLOOKUP(tblFinancials[[#This Row],[RegionKey]],tblRegions[RegionKey],tblRegions[RegionName],"")</f>
        <v>West</v>
      </c>
    </row>
    <row r="139" spans="1:16">
      <c r="A139">
        <v>20230401</v>
      </c>
      <c r="B139">
        <v>6</v>
      </c>
      <c r="C139">
        <v>3</v>
      </c>
      <c r="D139">
        <v>2</v>
      </c>
      <c r="E139">
        <v>18</v>
      </c>
      <c r="F139" t="s">
        <v>92</v>
      </c>
      <c r="G139">
        <v>-7206.45</v>
      </c>
      <c r="H139">
        <f>_xlfn.XLOOKUP(tblFinancials[[#This Row],[DateKey]],tblCalendar[DateKey],tblCalendar[FullDate],"")</f>
        <v>45017</v>
      </c>
      <c r="I139">
        <f>_xlfn.XLOOKUP(tblFinancials[[#This Row],[AccountKey]],tblAccounts[AccountKey],tblAccounts[AccountNumber],"")</f>
        <v>6200</v>
      </c>
      <c r="J139" t="str">
        <f>_xlfn.XLOOKUP(tblFinancials[[#This Row],[AccountKey]],tblAccounts[AccountKey],tblAccounts[AccountName],"")</f>
        <v>Marketing Expense</v>
      </c>
      <c r="K139" s="8" t="str">
        <f>_xlfn.XLOOKUP(tblFinancials[[#This Row],[AccountKey]],tblAccounts[AccountKey],tblAccounts[FinancialStatement],"")</f>
        <v>Income Statement</v>
      </c>
      <c r="L139" s="8" t="str">
        <f>_xlfn.XLOOKUP(tblFinancials[[#This Row],[AccountKey]],tblAccounts[AccountKey],tblAccounts[AccountCategory],"")</f>
        <v>Operating Expense</v>
      </c>
      <c r="M139" s="8" t="str">
        <f>_xlfn.XLOOKUP(tblFinancials[[#This Row],[AccountKey]],tblAccounts[AccountKey],tblAccounts[NormalBalance],"")</f>
        <v>Debit</v>
      </c>
      <c r="N139" s="8" t="str">
        <f>_xlfn.XLOOKUP(tblFinancials[[#This Row],[DepartmentKey]],tblDepartments[DepartmentKey],tblDepartments[DepartmentName],"")</f>
        <v>Operations</v>
      </c>
      <c r="O139" s="8" t="str">
        <f>_xlfn.XLOOKUP(tblFinancials[[#This Row],[BusinessUnitKey]],tblBusinessUnits[BusinessUnitKey],tblBusinessUnits[BusinessUnitName],"")</f>
        <v>Retail</v>
      </c>
      <c r="P139" s="8" t="str">
        <f>_xlfn.XLOOKUP(tblFinancials[[#This Row],[RegionKey]],tblRegions[RegionKey],tblRegions[RegionName],"")</f>
        <v>Midwest</v>
      </c>
    </row>
    <row r="140" spans="1:16">
      <c r="A140">
        <v>20230401</v>
      </c>
      <c r="B140">
        <v>5</v>
      </c>
      <c r="C140">
        <v>2</v>
      </c>
      <c r="D140">
        <v>1</v>
      </c>
      <c r="E140">
        <v>21</v>
      </c>
      <c r="F140" t="s">
        <v>92</v>
      </c>
      <c r="G140">
        <v>-5591.82</v>
      </c>
      <c r="H140">
        <f>_xlfn.XLOOKUP(tblFinancials[[#This Row],[DateKey]],tblCalendar[DateKey],tblCalendar[FullDate],"")</f>
        <v>45017</v>
      </c>
      <c r="I140">
        <f>_xlfn.XLOOKUP(tblFinancials[[#This Row],[AccountKey]],tblAccounts[AccountKey],tblAccounts[AccountNumber],"")</f>
        <v>6600</v>
      </c>
      <c r="J140" t="str">
        <f>_xlfn.XLOOKUP(tblFinancials[[#This Row],[AccountKey]],tblAccounts[AccountKey],tblAccounts[AccountName],"")</f>
        <v>Utilities Expense</v>
      </c>
      <c r="K140" s="8" t="str">
        <f>_xlfn.XLOOKUP(tblFinancials[[#This Row],[AccountKey]],tblAccounts[AccountKey],tblAccounts[FinancialStatement],"")</f>
        <v>Income Statement</v>
      </c>
      <c r="L140" s="8" t="str">
        <f>_xlfn.XLOOKUP(tblFinancials[[#This Row],[AccountKey]],tblAccounts[AccountKey],tblAccounts[AccountCategory],"")</f>
        <v>Operating Expense</v>
      </c>
      <c r="M140" s="8" t="str">
        <f>_xlfn.XLOOKUP(tblFinancials[[#This Row],[AccountKey]],tblAccounts[AccountKey],tblAccounts[NormalBalance],"")</f>
        <v>Debit</v>
      </c>
      <c r="N140" s="8" t="str">
        <f>_xlfn.XLOOKUP(tblFinancials[[#This Row],[DepartmentKey]],tblDepartments[DepartmentKey],tblDepartments[DepartmentName],"")</f>
        <v>Marketing</v>
      </c>
      <c r="O140" s="8" t="str">
        <f>_xlfn.XLOOKUP(tblFinancials[[#This Row],[BusinessUnitKey]],tblBusinessUnits[BusinessUnitKey],tblBusinessUnits[BusinessUnitName],"")</f>
        <v>Wholesale</v>
      </c>
      <c r="P140" s="8" t="str">
        <f>_xlfn.XLOOKUP(tblFinancials[[#This Row],[RegionKey]],tblRegions[RegionKey],tblRegions[RegionName],"")</f>
        <v>West</v>
      </c>
    </row>
    <row r="141" spans="1:16">
      <c r="A141">
        <v>20230401</v>
      </c>
      <c r="B141">
        <v>6</v>
      </c>
      <c r="C141">
        <v>4</v>
      </c>
      <c r="D141">
        <v>1</v>
      </c>
      <c r="E141">
        <v>18</v>
      </c>
      <c r="F141" t="s">
        <v>92</v>
      </c>
      <c r="G141">
        <v>-5650.36</v>
      </c>
      <c r="H141">
        <f>_xlfn.XLOOKUP(tblFinancials[[#This Row],[DateKey]],tblCalendar[DateKey],tblCalendar[FullDate],"")</f>
        <v>45017</v>
      </c>
      <c r="I141">
        <f>_xlfn.XLOOKUP(tblFinancials[[#This Row],[AccountKey]],tblAccounts[AccountKey],tblAccounts[AccountNumber],"")</f>
        <v>6200</v>
      </c>
      <c r="J141" t="str">
        <f>_xlfn.XLOOKUP(tblFinancials[[#This Row],[AccountKey]],tblAccounts[AccountKey],tblAccounts[AccountName],"")</f>
        <v>Marketing Expense</v>
      </c>
      <c r="K141" s="8" t="str">
        <f>_xlfn.XLOOKUP(tblFinancials[[#This Row],[AccountKey]],tblAccounts[AccountKey],tblAccounts[FinancialStatement],"")</f>
        <v>Income Statement</v>
      </c>
      <c r="L141" s="8" t="str">
        <f>_xlfn.XLOOKUP(tblFinancials[[#This Row],[AccountKey]],tblAccounts[AccountKey],tblAccounts[AccountCategory],"")</f>
        <v>Operating Expense</v>
      </c>
      <c r="M141" s="8" t="str">
        <f>_xlfn.XLOOKUP(tblFinancials[[#This Row],[AccountKey]],tblAccounts[AccountKey],tblAccounts[NormalBalance],"")</f>
        <v>Debit</v>
      </c>
      <c r="N141" s="8" t="str">
        <f>_xlfn.XLOOKUP(tblFinancials[[#This Row],[DepartmentKey]],tblDepartments[DepartmentKey],tblDepartments[DepartmentName],"")</f>
        <v>Operations</v>
      </c>
      <c r="O141" s="8" t="str">
        <f>_xlfn.XLOOKUP(tblFinancials[[#This Row],[BusinessUnitKey]],tblBusinessUnits[BusinessUnitKey],tblBusinessUnits[BusinessUnitName],"")</f>
        <v>E-Commerce</v>
      </c>
      <c r="P141" s="8" t="str">
        <f>_xlfn.XLOOKUP(tblFinancials[[#This Row],[RegionKey]],tblRegions[RegionKey],tblRegions[RegionName],"")</f>
        <v>West</v>
      </c>
    </row>
    <row r="142" spans="1:16">
      <c r="A142">
        <v>20230401</v>
      </c>
      <c r="B142">
        <v>8</v>
      </c>
      <c r="C142">
        <v>1</v>
      </c>
      <c r="D142">
        <v>1</v>
      </c>
      <c r="E142">
        <v>20</v>
      </c>
      <c r="F142" t="s">
        <v>92</v>
      </c>
      <c r="G142">
        <v>-5757.38</v>
      </c>
      <c r="H142">
        <f>_xlfn.XLOOKUP(tblFinancials[[#This Row],[DateKey]],tblCalendar[DateKey],tblCalendar[FullDate],"")</f>
        <v>45017</v>
      </c>
      <c r="I142">
        <f>_xlfn.XLOOKUP(tblFinancials[[#This Row],[AccountKey]],tblAccounts[AccountKey],tblAccounts[AccountNumber],"")</f>
        <v>6500</v>
      </c>
      <c r="J142" t="str">
        <f>_xlfn.XLOOKUP(tblFinancials[[#This Row],[AccountKey]],tblAccounts[AccountKey],tblAccounts[AccountName],"")</f>
        <v>Rent Expense</v>
      </c>
      <c r="K142" s="8" t="str">
        <f>_xlfn.XLOOKUP(tblFinancials[[#This Row],[AccountKey]],tblAccounts[AccountKey],tblAccounts[FinancialStatement],"")</f>
        <v>Income Statement</v>
      </c>
      <c r="L142" s="8" t="str">
        <f>_xlfn.XLOOKUP(tblFinancials[[#This Row],[AccountKey]],tblAccounts[AccountKey],tblAccounts[AccountCategory],"")</f>
        <v>Operating Expense</v>
      </c>
      <c r="M142" s="8" t="str">
        <f>_xlfn.XLOOKUP(tblFinancials[[#This Row],[AccountKey]],tblAccounts[AccountKey],tblAccounts[NormalBalance],"")</f>
        <v>Debit</v>
      </c>
      <c r="N142" s="8" t="str">
        <f>_xlfn.XLOOKUP(tblFinancials[[#This Row],[DepartmentKey]],tblDepartments[DepartmentKey],tblDepartments[DepartmentName],"")</f>
        <v>Customer Service</v>
      </c>
      <c r="O142" s="8" t="str">
        <f>_xlfn.XLOOKUP(tblFinancials[[#This Row],[BusinessUnitKey]],tblBusinessUnits[BusinessUnitKey],tblBusinessUnits[BusinessUnitName],"")</f>
        <v xml:space="preserve">Manufacturing </v>
      </c>
      <c r="P142" s="8" t="str">
        <f>_xlfn.XLOOKUP(tblFinancials[[#This Row],[RegionKey]],tblRegions[RegionKey],tblRegions[RegionName],"")</f>
        <v>West</v>
      </c>
    </row>
    <row r="143" spans="1:16">
      <c r="A143">
        <v>20230401</v>
      </c>
      <c r="B143">
        <v>2</v>
      </c>
      <c r="C143">
        <v>1</v>
      </c>
      <c r="D143">
        <v>4</v>
      </c>
      <c r="E143">
        <v>18</v>
      </c>
      <c r="F143" t="s">
        <v>92</v>
      </c>
      <c r="G143">
        <v>-7756.73</v>
      </c>
      <c r="H143">
        <f>_xlfn.XLOOKUP(tblFinancials[[#This Row],[DateKey]],tblCalendar[DateKey],tblCalendar[FullDate],"")</f>
        <v>45017</v>
      </c>
      <c r="I143">
        <f>_xlfn.XLOOKUP(tblFinancials[[#This Row],[AccountKey]],tblAccounts[AccountKey],tblAccounts[AccountNumber],"")</f>
        <v>6200</v>
      </c>
      <c r="J143" t="str">
        <f>_xlfn.XLOOKUP(tblFinancials[[#This Row],[AccountKey]],tblAccounts[AccountKey],tblAccounts[AccountName],"")</f>
        <v>Marketing Expense</v>
      </c>
      <c r="K143" s="8" t="str">
        <f>_xlfn.XLOOKUP(tblFinancials[[#This Row],[AccountKey]],tblAccounts[AccountKey],tblAccounts[FinancialStatement],"")</f>
        <v>Income Statement</v>
      </c>
      <c r="L143" s="8" t="str">
        <f>_xlfn.XLOOKUP(tblFinancials[[#This Row],[AccountKey]],tblAccounts[AccountKey],tblAccounts[AccountCategory],"")</f>
        <v>Operating Expense</v>
      </c>
      <c r="M143" s="8" t="str">
        <f>_xlfn.XLOOKUP(tblFinancials[[#This Row],[AccountKey]],tblAccounts[AccountKey],tblAccounts[NormalBalance],"")</f>
        <v>Debit</v>
      </c>
      <c r="N143" s="8" t="str">
        <f>_xlfn.XLOOKUP(tblFinancials[[#This Row],[DepartmentKey]],tblDepartments[DepartmentKey],tblDepartments[DepartmentName],"")</f>
        <v>Finance</v>
      </c>
      <c r="O143" s="8" t="str">
        <f>_xlfn.XLOOKUP(tblFinancials[[#This Row],[BusinessUnitKey]],tblBusinessUnits[BusinessUnitKey],tblBusinessUnits[BusinessUnitName],"")</f>
        <v xml:space="preserve">Manufacturing </v>
      </c>
      <c r="P143" s="8" t="str">
        <f>_xlfn.XLOOKUP(tblFinancials[[#This Row],[RegionKey]],tblRegions[RegionKey],tblRegions[RegionName],"")</f>
        <v>East</v>
      </c>
    </row>
    <row r="144" spans="1:16">
      <c r="A144">
        <v>20230401</v>
      </c>
      <c r="B144">
        <v>6</v>
      </c>
      <c r="C144">
        <v>4</v>
      </c>
      <c r="D144">
        <v>3</v>
      </c>
      <c r="E144">
        <v>22</v>
      </c>
      <c r="F144" t="s">
        <v>92</v>
      </c>
      <c r="G144">
        <v>-6859.89</v>
      </c>
      <c r="H144">
        <f>_xlfn.XLOOKUP(tblFinancials[[#This Row],[DateKey]],tblCalendar[DateKey],tblCalendar[FullDate],"")</f>
        <v>45017</v>
      </c>
      <c r="I144">
        <f>_xlfn.XLOOKUP(tblFinancials[[#This Row],[AccountKey]],tblAccounts[AccountKey],tblAccounts[AccountNumber],"")</f>
        <v>6700</v>
      </c>
      <c r="J144" t="str">
        <f>_xlfn.XLOOKUP(tblFinancials[[#This Row],[AccountKey]],tblAccounts[AccountKey],tblAccounts[AccountName],"")</f>
        <v>Insurance Expense</v>
      </c>
      <c r="K144" s="8" t="str">
        <f>_xlfn.XLOOKUP(tblFinancials[[#This Row],[AccountKey]],tblAccounts[AccountKey],tblAccounts[FinancialStatement],"")</f>
        <v>Income Statement</v>
      </c>
      <c r="L144" s="8" t="str">
        <f>_xlfn.XLOOKUP(tblFinancials[[#This Row],[AccountKey]],tblAccounts[AccountKey],tblAccounts[AccountCategory],"")</f>
        <v>Operating Expense</v>
      </c>
      <c r="M144" s="8" t="str">
        <f>_xlfn.XLOOKUP(tblFinancials[[#This Row],[AccountKey]],tblAccounts[AccountKey],tblAccounts[NormalBalance],"")</f>
        <v>Debit</v>
      </c>
      <c r="N144" s="8" t="str">
        <f>_xlfn.XLOOKUP(tblFinancials[[#This Row],[DepartmentKey]],tblDepartments[DepartmentKey],tblDepartments[DepartmentName],"")</f>
        <v>Operations</v>
      </c>
      <c r="O144" s="8" t="str">
        <f>_xlfn.XLOOKUP(tblFinancials[[#This Row],[BusinessUnitKey]],tblBusinessUnits[BusinessUnitKey],tblBusinessUnits[BusinessUnitName],"")</f>
        <v>E-Commerce</v>
      </c>
      <c r="P144" s="8" t="str">
        <f>_xlfn.XLOOKUP(tblFinancials[[#This Row],[RegionKey]],tblRegions[RegionKey],tblRegions[RegionName],"")</f>
        <v>South</v>
      </c>
    </row>
    <row r="145" spans="1:16">
      <c r="A145">
        <v>20230401</v>
      </c>
      <c r="B145">
        <v>4</v>
      </c>
      <c r="C145">
        <v>2</v>
      </c>
      <c r="D145">
        <v>2</v>
      </c>
      <c r="E145">
        <v>17</v>
      </c>
      <c r="F145" t="s">
        <v>92</v>
      </c>
      <c r="G145">
        <v>-11153.08</v>
      </c>
      <c r="H145">
        <f>_xlfn.XLOOKUP(tblFinancials[[#This Row],[DateKey]],tblCalendar[DateKey],tblCalendar[FullDate],"")</f>
        <v>45017</v>
      </c>
      <c r="I145">
        <f>_xlfn.XLOOKUP(tblFinancials[[#This Row],[AccountKey]],tblAccounts[AccountKey],tblAccounts[AccountNumber],"")</f>
        <v>6120</v>
      </c>
      <c r="J145" t="str">
        <f>_xlfn.XLOOKUP(tblFinancials[[#This Row],[AccountKey]],tblAccounts[AccountKey],tblAccounts[AccountName],"")</f>
        <v>Employee Benefits</v>
      </c>
      <c r="K145" s="8" t="str">
        <f>_xlfn.XLOOKUP(tblFinancials[[#This Row],[AccountKey]],tblAccounts[AccountKey],tblAccounts[FinancialStatement],"")</f>
        <v>Income Statement</v>
      </c>
      <c r="L145" s="8" t="str">
        <f>_xlfn.XLOOKUP(tblFinancials[[#This Row],[AccountKey]],tblAccounts[AccountKey],tblAccounts[AccountCategory],"")</f>
        <v>Operating Expense</v>
      </c>
      <c r="M145" s="8" t="str">
        <f>_xlfn.XLOOKUP(tblFinancials[[#This Row],[AccountKey]],tblAccounts[AccountKey],tblAccounts[NormalBalance],"")</f>
        <v>Debit</v>
      </c>
      <c r="N145" s="8" t="str">
        <f>_xlfn.XLOOKUP(tblFinancials[[#This Row],[DepartmentKey]],tblDepartments[DepartmentKey],tblDepartments[DepartmentName],"")</f>
        <v>Sales</v>
      </c>
      <c r="O145" s="8" t="str">
        <f>_xlfn.XLOOKUP(tblFinancials[[#This Row],[BusinessUnitKey]],tblBusinessUnits[BusinessUnitKey],tblBusinessUnits[BusinessUnitName],"")</f>
        <v>Wholesale</v>
      </c>
      <c r="P145" s="8" t="str">
        <f>_xlfn.XLOOKUP(tblFinancials[[#This Row],[RegionKey]],tblRegions[RegionKey],tblRegions[RegionName],"")</f>
        <v>Midwest</v>
      </c>
    </row>
    <row r="146" spans="1:16">
      <c r="A146">
        <v>20230501</v>
      </c>
      <c r="B146">
        <v>2</v>
      </c>
      <c r="C146">
        <v>1</v>
      </c>
      <c r="D146">
        <v>4</v>
      </c>
      <c r="E146">
        <v>13</v>
      </c>
      <c r="F146" t="s">
        <v>92</v>
      </c>
      <c r="G146">
        <v>28748.99</v>
      </c>
      <c r="H146">
        <f>_xlfn.XLOOKUP(tblFinancials[[#This Row],[DateKey]],tblCalendar[DateKey],tblCalendar[FullDate],"")</f>
        <v>45047</v>
      </c>
      <c r="I146">
        <f>_xlfn.XLOOKUP(tblFinancials[[#This Row],[AccountKey]],tblAccounts[AccountKey],tblAccounts[AccountNumber],"")</f>
        <v>4020</v>
      </c>
      <c r="J146" t="str">
        <f>_xlfn.XLOOKUP(tblFinancials[[#This Row],[AccountKey]],tblAccounts[AccountKey],tblAccounts[AccountName],"")</f>
        <v>Online Revenue</v>
      </c>
      <c r="K146" s="8" t="str">
        <f>_xlfn.XLOOKUP(tblFinancials[[#This Row],[AccountKey]],tblAccounts[AccountKey],tblAccounts[FinancialStatement],"")</f>
        <v>Income Statement</v>
      </c>
      <c r="L146" s="8" t="str">
        <f>_xlfn.XLOOKUP(tblFinancials[[#This Row],[AccountKey]],tblAccounts[AccountKey],tblAccounts[AccountCategory],"")</f>
        <v>Revenue</v>
      </c>
      <c r="M146" s="8" t="str">
        <f>_xlfn.XLOOKUP(tblFinancials[[#This Row],[AccountKey]],tblAccounts[AccountKey],tblAccounts[NormalBalance],"")</f>
        <v>Credit</v>
      </c>
      <c r="N146" s="8" t="str">
        <f>_xlfn.XLOOKUP(tblFinancials[[#This Row],[DepartmentKey]],tblDepartments[DepartmentKey],tblDepartments[DepartmentName],"")</f>
        <v>Finance</v>
      </c>
      <c r="O146" s="8" t="str">
        <f>_xlfn.XLOOKUP(tblFinancials[[#This Row],[BusinessUnitKey]],tblBusinessUnits[BusinessUnitKey],tblBusinessUnits[BusinessUnitName],"")</f>
        <v xml:space="preserve">Manufacturing </v>
      </c>
      <c r="P146" s="8" t="str">
        <f>_xlfn.XLOOKUP(tblFinancials[[#This Row],[RegionKey]],tblRegions[RegionKey],tblRegions[RegionName],"")</f>
        <v>East</v>
      </c>
    </row>
    <row r="147" spans="1:16">
      <c r="A147">
        <v>20230501</v>
      </c>
      <c r="B147">
        <v>4</v>
      </c>
      <c r="C147">
        <v>4</v>
      </c>
      <c r="D147">
        <v>2</v>
      </c>
      <c r="E147">
        <v>11</v>
      </c>
      <c r="F147" t="s">
        <v>92</v>
      </c>
      <c r="G147">
        <v>30740.799999999999</v>
      </c>
      <c r="H147">
        <f>_xlfn.XLOOKUP(tblFinancials[[#This Row],[DateKey]],tblCalendar[DateKey],tblCalendar[FullDate],"")</f>
        <v>45047</v>
      </c>
      <c r="I147">
        <f>_xlfn.XLOOKUP(tblFinancials[[#This Row],[AccountKey]],tblAccounts[AccountKey],tblAccounts[AccountNumber],"")</f>
        <v>4000</v>
      </c>
      <c r="J147" t="str">
        <f>_xlfn.XLOOKUP(tblFinancials[[#This Row],[AccountKey]],tblAccounts[AccountKey],tblAccounts[AccountName],"")</f>
        <v>Product Revenue</v>
      </c>
      <c r="K147" s="8" t="str">
        <f>_xlfn.XLOOKUP(tblFinancials[[#This Row],[AccountKey]],tblAccounts[AccountKey],tblAccounts[FinancialStatement],"")</f>
        <v>Income Statement</v>
      </c>
      <c r="L147" s="8" t="str">
        <f>_xlfn.XLOOKUP(tblFinancials[[#This Row],[AccountKey]],tblAccounts[AccountKey],tblAccounts[AccountCategory],"")</f>
        <v>Revenue</v>
      </c>
      <c r="M147" s="8" t="str">
        <f>_xlfn.XLOOKUP(tblFinancials[[#This Row],[AccountKey]],tblAccounts[AccountKey],tblAccounts[NormalBalance],"")</f>
        <v>Credit</v>
      </c>
      <c r="N147" s="8" t="str">
        <f>_xlfn.XLOOKUP(tblFinancials[[#This Row],[DepartmentKey]],tblDepartments[DepartmentKey],tblDepartments[DepartmentName],"")</f>
        <v>Sales</v>
      </c>
      <c r="O147" s="8" t="str">
        <f>_xlfn.XLOOKUP(tblFinancials[[#This Row],[BusinessUnitKey]],tblBusinessUnits[BusinessUnitKey],tblBusinessUnits[BusinessUnitName],"")</f>
        <v>E-Commerce</v>
      </c>
      <c r="P147" s="8" t="str">
        <f>_xlfn.XLOOKUP(tblFinancials[[#This Row],[RegionKey]],tblRegions[RegionKey],tblRegions[RegionName],"")</f>
        <v>Midwest</v>
      </c>
    </row>
    <row r="148" spans="1:16">
      <c r="A148">
        <v>20230501</v>
      </c>
      <c r="B148">
        <v>5</v>
      </c>
      <c r="C148">
        <v>3</v>
      </c>
      <c r="D148">
        <v>3</v>
      </c>
      <c r="E148">
        <v>11</v>
      </c>
      <c r="F148" t="s">
        <v>92</v>
      </c>
      <c r="G148">
        <v>30127.74</v>
      </c>
      <c r="H148">
        <f>_xlfn.XLOOKUP(tblFinancials[[#This Row],[DateKey]],tblCalendar[DateKey],tblCalendar[FullDate],"")</f>
        <v>45047</v>
      </c>
      <c r="I148">
        <f>_xlfn.XLOOKUP(tblFinancials[[#This Row],[AccountKey]],tblAccounts[AccountKey],tblAccounts[AccountNumber],"")</f>
        <v>4000</v>
      </c>
      <c r="J148" t="str">
        <f>_xlfn.XLOOKUP(tblFinancials[[#This Row],[AccountKey]],tblAccounts[AccountKey],tblAccounts[AccountName],"")</f>
        <v>Product Revenue</v>
      </c>
      <c r="K148" s="8" t="str">
        <f>_xlfn.XLOOKUP(tblFinancials[[#This Row],[AccountKey]],tblAccounts[AccountKey],tblAccounts[FinancialStatement],"")</f>
        <v>Income Statement</v>
      </c>
      <c r="L148" s="8" t="str">
        <f>_xlfn.XLOOKUP(tblFinancials[[#This Row],[AccountKey]],tblAccounts[AccountKey],tblAccounts[AccountCategory],"")</f>
        <v>Revenue</v>
      </c>
      <c r="M148" s="8" t="str">
        <f>_xlfn.XLOOKUP(tblFinancials[[#This Row],[AccountKey]],tblAccounts[AccountKey],tblAccounts[NormalBalance],"")</f>
        <v>Credit</v>
      </c>
      <c r="N148" s="8" t="str">
        <f>_xlfn.XLOOKUP(tblFinancials[[#This Row],[DepartmentKey]],tblDepartments[DepartmentKey],tblDepartments[DepartmentName],"")</f>
        <v>Marketing</v>
      </c>
      <c r="O148" s="8" t="str">
        <f>_xlfn.XLOOKUP(tblFinancials[[#This Row],[BusinessUnitKey]],tblBusinessUnits[BusinessUnitKey],tblBusinessUnits[BusinessUnitName],"")</f>
        <v>Retail</v>
      </c>
      <c r="P148" s="8" t="str">
        <f>_xlfn.XLOOKUP(tblFinancials[[#This Row],[RegionKey]],tblRegions[RegionKey],tblRegions[RegionName],"")</f>
        <v>South</v>
      </c>
    </row>
    <row r="149" spans="1:16">
      <c r="A149">
        <v>20230501</v>
      </c>
      <c r="B149">
        <v>2</v>
      </c>
      <c r="C149">
        <v>4</v>
      </c>
      <c r="D149">
        <v>2</v>
      </c>
      <c r="E149">
        <v>11</v>
      </c>
      <c r="F149" t="s">
        <v>92</v>
      </c>
      <c r="G149">
        <v>29553.279999999999</v>
      </c>
      <c r="H149">
        <f>_xlfn.XLOOKUP(tblFinancials[[#This Row],[DateKey]],tblCalendar[DateKey],tblCalendar[FullDate],"")</f>
        <v>45047</v>
      </c>
      <c r="I149">
        <f>_xlfn.XLOOKUP(tblFinancials[[#This Row],[AccountKey]],tblAccounts[AccountKey],tblAccounts[AccountNumber],"")</f>
        <v>4000</v>
      </c>
      <c r="J149" t="str">
        <f>_xlfn.XLOOKUP(tblFinancials[[#This Row],[AccountKey]],tblAccounts[AccountKey],tblAccounts[AccountName],"")</f>
        <v>Product Revenue</v>
      </c>
      <c r="K149" s="8" t="str">
        <f>_xlfn.XLOOKUP(tblFinancials[[#This Row],[AccountKey]],tblAccounts[AccountKey],tblAccounts[FinancialStatement],"")</f>
        <v>Income Statement</v>
      </c>
      <c r="L149" s="8" t="str">
        <f>_xlfn.XLOOKUP(tblFinancials[[#This Row],[AccountKey]],tblAccounts[AccountKey],tblAccounts[AccountCategory],"")</f>
        <v>Revenue</v>
      </c>
      <c r="M149" s="8" t="str">
        <f>_xlfn.XLOOKUP(tblFinancials[[#This Row],[AccountKey]],tblAccounts[AccountKey],tblAccounts[NormalBalance],"")</f>
        <v>Credit</v>
      </c>
      <c r="N149" s="8" t="str">
        <f>_xlfn.XLOOKUP(tblFinancials[[#This Row],[DepartmentKey]],tblDepartments[DepartmentKey],tblDepartments[DepartmentName],"")</f>
        <v>Finance</v>
      </c>
      <c r="O149" s="8" t="str">
        <f>_xlfn.XLOOKUP(tblFinancials[[#This Row],[BusinessUnitKey]],tblBusinessUnits[BusinessUnitKey],tblBusinessUnits[BusinessUnitName],"")</f>
        <v>E-Commerce</v>
      </c>
      <c r="P149" s="8" t="str">
        <f>_xlfn.XLOOKUP(tblFinancials[[#This Row],[RegionKey]],tblRegions[RegionKey],tblRegions[RegionName],"")</f>
        <v>Midwest</v>
      </c>
    </row>
    <row r="150" spans="1:16">
      <c r="A150">
        <v>20230501</v>
      </c>
      <c r="B150">
        <v>4</v>
      </c>
      <c r="C150">
        <v>3</v>
      </c>
      <c r="D150">
        <v>4</v>
      </c>
      <c r="E150">
        <v>12</v>
      </c>
      <c r="F150" t="s">
        <v>92</v>
      </c>
      <c r="G150">
        <v>30790.45</v>
      </c>
      <c r="H150">
        <f>_xlfn.XLOOKUP(tblFinancials[[#This Row],[DateKey]],tblCalendar[DateKey],tblCalendar[FullDate],"")</f>
        <v>45047</v>
      </c>
      <c r="I150">
        <f>_xlfn.XLOOKUP(tblFinancials[[#This Row],[AccountKey]],tblAccounts[AccountKey],tblAccounts[AccountNumber],"")</f>
        <v>4010</v>
      </c>
      <c r="J150" t="str">
        <f>_xlfn.XLOOKUP(tblFinancials[[#This Row],[AccountKey]],tblAccounts[AccountKey],tblAccounts[AccountName],"")</f>
        <v>Service Revenue</v>
      </c>
      <c r="K150" s="8" t="str">
        <f>_xlfn.XLOOKUP(tblFinancials[[#This Row],[AccountKey]],tblAccounts[AccountKey],tblAccounts[FinancialStatement],"")</f>
        <v>Income Statement</v>
      </c>
      <c r="L150" s="8" t="str">
        <f>_xlfn.XLOOKUP(tblFinancials[[#This Row],[AccountKey]],tblAccounts[AccountKey],tblAccounts[AccountCategory],"")</f>
        <v>Revenue</v>
      </c>
      <c r="M150" s="8" t="str">
        <f>_xlfn.XLOOKUP(tblFinancials[[#This Row],[AccountKey]],tblAccounts[AccountKey],tblAccounts[NormalBalance],"")</f>
        <v>Credit</v>
      </c>
      <c r="N150" s="8" t="str">
        <f>_xlfn.XLOOKUP(tblFinancials[[#This Row],[DepartmentKey]],tblDepartments[DepartmentKey],tblDepartments[DepartmentName],"")</f>
        <v>Sales</v>
      </c>
      <c r="O150" s="8" t="str">
        <f>_xlfn.XLOOKUP(tblFinancials[[#This Row],[BusinessUnitKey]],tblBusinessUnits[BusinessUnitKey],tblBusinessUnits[BusinessUnitName],"")</f>
        <v>Retail</v>
      </c>
      <c r="P150" s="8" t="str">
        <f>_xlfn.XLOOKUP(tblFinancials[[#This Row],[RegionKey]],tblRegions[RegionKey],tblRegions[RegionName],"")</f>
        <v>East</v>
      </c>
    </row>
    <row r="151" spans="1:16">
      <c r="A151">
        <v>20230501</v>
      </c>
      <c r="B151">
        <v>4</v>
      </c>
      <c r="C151">
        <v>2</v>
      </c>
      <c r="D151">
        <v>4</v>
      </c>
      <c r="E151">
        <v>12</v>
      </c>
      <c r="F151" t="s">
        <v>92</v>
      </c>
      <c r="G151">
        <v>29782.76</v>
      </c>
      <c r="H151">
        <f>_xlfn.XLOOKUP(tblFinancials[[#This Row],[DateKey]],tblCalendar[DateKey],tblCalendar[FullDate],"")</f>
        <v>45047</v>
      </c>
      <c r="I151">
        <f>_xlfn.XLOOKUP(tblFinancials[[#This Row],[AccountKey]],tblAccounts[AccountKey],tblAccounts[AccountNumber],"")</f>
        <v>4010</v>
      </c>
      <c r="J151" t="str">
        <f>_xlfn.XLOOKUP(tblFinancials[[#This Row],[AccountKey]],tblAccounts[AccountKey],tblAccounts[AccountName],"")</f>
        <v>Service Revenue</v>
      </c>
      <c r="K151" s="8" t="str">
        <f>_xlfn.XLOOKUP(tblFinancials[[#This Row],[AccountKey]],tblAccounts[AccountKey],tblAccounts[FinancialStatement],"")</f>
        <v>Income Statement</v>
      </c>
      <c r="L151" s="8" t="str">
        <f>_xlfn.XLOOKUP(tblFinancials[[#This Row],[AccountKey]],tblAccounts[AccountKey],tblAccounts[AccountCategory],"")</f>
        <v>Revenue</v>
      </c>
      <c r="M151" s="8" t="str">
        <f>_xlfn.XLOOKUP(tblFinancials[[#This Row],[AccountKey]],tblAccounts[AccountKey],tblAccounts[NormalBalance],"")</f>
        <v>Credit</v>
      </c>
      <c r="N151" s="8" t="str">
        <f>_xlfn.XLOOKUP(tblFinancials[[#This Row],[DepartmentKey]],tblDepartments[DepartmentKey],tblDepartments[DepartmentName],"")</f>
        <v>Sales</v>
      </c>
      <c r="O151" s="8" t="str">
        <f>_xlfn.XLOOKUP(tblFinancials[[#This Row],[BusinessUnitKey]],tblBusinessUnits[BusinessUnitKey],tblBusinessUnits[BusinessUnitName],"")</f>
        <v>Wholesale</v>
      </c>
      <c r="P151" s="8" t="str">
        <f>_xlfn.XLOOKUP(tblFinancials[[#This Row],[RegionKey]],tblRegions[RegionKey],tblRegions[RegionName],"")</f>
        <v>East</v>
      </c>
    </row>
    <row r="152" spans="1:16">
      <c r="A152">
        <v>20230501</v>
      </c>
      <c r="B152">
        <v>1</v>
      </c>
      <c r="C152">
        <v>3</v>
      </c>
      <c r="D152">
        <v>2</v>
      </c>
      <c r="E152">
        <v>11</v>
      </c>
      <c r="F152" t="s">
        <v>92</v>
      </c>
      <c r="G152">
        <v>30831.19</v>
      </c>
      <c r="H152">
        <f>_xlfn.XLOOKUP(tblFinancials[[#This Row],[DateKey]],tblCalendar[DateKey],tblCalendar[FullDate],"")</f>
        <v>45047</v>
      </c>
      <c r="I152">
        <f>_xlfn.XLOOKUP(tblFinancials[[#This Row],[AccountKey]],tblAccounts[AccountKey],tblAccounts[AccountNumber],"")</f>
        <v>4000</v>
      </c>
      <c r="J152" t="str">
        <f>_xlfn.XLOOKUP(tblFinancials[[#This Row],[AccountKey]],tblAccounts[AccountKey],tblAccounts[AccountName],"")</f>
        <v>Product Revenue</v>
      </c>
      <c r="K152" s="8" t="str">
        <f>_xlfn.XLOOKUP(tblFinancials[[#This Row],[AccountKey]],tblAccounts[AccountKey],tblAccounts[FinancialStatement],"")</f>
        <v>Income Statement</v>
      </c>
      <c r="L152" s="8" t="str">
        <f>_xlfn.XLOOKUP(tblFinancials[[#This Row],[AccountKey]],tblAccounts[AccountKey],tblAccounts[AccountCategory],"")</f>
        <v>Revenue</v>
      </c>
      <c r="M152" s="8" t="str">
        <f>_xlfn.XLOOKUP(tblFinancials[[#This Row],[AccountKey]],tblAccounts[AccountKey],tblAccounts[NormalBalance],"")</f>
        <v>Credit</v>
      </c>
      <c r="N152" s="8" t="str">
        <f>_xlfn.XLOOKUP(tblFinancials[[#This Row],[DepartmentKey]],tblDepartments[DepartmentKey],tblDepartments[DepartmentName],"")</f>
        <v>Executive</v>
      </c>
      <c r="O152" s="8" t="str">
        <f>_xlfn.XLOOKUP(tblFinancials[[#This Row],[BusinessUnitKey]],tblBusinessUnits[BusinessUnitKey],tblBusinessUnits[BusinessUnitName],"")</f>
        <v>Retail</v>
      </c>
      <c r="P152" s="8" t="str">
        <f>_xlfn.XLOOKUP(tblFinancials[[#This Row],[RegionKey]],tblRegions[RegionKey],tblRegions[RegionName],"")</f>
        <v>Midwest</v>
      </c>
    </row>
    <row r="153" spans="1:16">
      <c r="A153">
        <v>20230501</v>
      </c>
      <c r="B153">
        <v>8</v>
      </c>
      <c r="C153">
        <v>2</v>
      </c>
      <c r="D153">
        <v>2</v>
      </c>
      <c r="E153">
        <v>11</v>
      </c>
      <c r="F153" t="s">
        <v>92</v>
      </c>
      <c r="G153">
        <v>30082.880000000001</v>
      </c>
      <c r="H153">
        <f>_xlfn.XLOOKUP(tblFinancials[[#This Row],[DateKey]],tblCalendar[DateKey],tblCalendar[FullDate],"")</f>
        <v>45047</v>
      </c>
      <c r="I153">
        <f>_xlfn.XLOOKUP(tblFinancials[[#This Row],[AccountKey]],tblAccounts[AccountKey],tblAccounts[AccountNumber],"")</f>
        <v>4000</v>
      </c>
      <c r="J153" t="str">
        <f>_xlfn.XLOOKUP(tblFinancials[[#This Row],[AccountKey]],tblAccounts[AccountKey],tblAccounts[AccountName],"")</f>
        <v>Product Revenue</v>
      </c>
      <c r="K153" s="8" t="str">
        <f>_xlfn.XLOOKUP(tblFinancials[[#This Row],[AccountKey]],tblAccounts[AccountKey],tblAccounts[FinancialStatement],"")</f>
        <v>Income Statement</v>
      </c>
      <c r="L153" s="8" t="str">
        <f>_xlfn.XLOOKUP(tblFinancials[[#This Row],[AccountKey]],tblAccounts[AccountKey],tblAccounts[AccountCategory],"")</f>
        <v>Revenue</v>
      </c>
      <c r="M153" s="8" t="str">
        <f>_xlfn.XLOOKUP(tblFinancials[[#This Row],[AccountKey]],tblAccounts[AccountKey],tblAccounts[NormalBalance],"")</f>
        <v>Credit</v>
      </c>
      <c r="N153" s="8" t="str">
        <f>_xlfn.XLOOKUP(tblFinancials[[#This Row],[DepartmentKey]],tblDepartments[DepartmentKey],tblDepartments[DepartmentName],"")</f>
        <v>Customer Service</v>
      </c>
      <c r="O153" s="8" t="str">
        <f>_xlfn.XLOOKUP(tblFinancials[[#This Row],[BusinessUnitKey]],tblBusinessUnits[BusinessUnitKey],tblBusinessUnits[BusinessUnitName],"")</f>
        <v>Wholesale</v>
      </c>
      <c r="P153" s="8" t="str">
        <f>_xlfn.XLOOKUP(tblFinancials[[#This Row],[RegionKey]],tblRegions[RegionKey],tblRegions[RegionName],"")</f>
        <v>Midwest</v>
      </c>
    </row>
    <row r="154" spans="1:16">
      <c r="A154">
        <v>20230501</v>
      </c>
      <c r="B154">
        <v>3</v>
      </c>
      <c r="C154">
        <v>2</v>
      </c>
      <c r="D154">
        <v>1</v>
      </c>
      <c r="E154">
        <v>11</v>
      </c>
      <c r="F154" t="s">
        <v>92</v>
      </c>
      <c r="G154">
        <v>30499.82</v>
      </c>
      <c r="H154">
        <f>_xlfn.XLOOKUP(tblFinancials[[#This Row],[DateKey]],tblCalendar[DateKey],tblCalendar[FullDate],"")</f>
        <v>45047</v>
      </c>
      <c r="I154">
        <f>_xlfn.XLOOKUP(tblFinancials[[#This Row],[AccountKey]],tblAccounts[AccountKey],tblAccounts[AccountNumber],"")</f>
        <v>4000</v>
      </c>
      <c r="J154" t="str">
        <f>_xlfn.XLOOKUP(tblFinancials[[#This Row],[AccountKey]],tblAccounts[AccountKey],tblAccounts[AccountName],"")</f>
        <v>Product Revenue</v>
      </c>
      <c r="K154" s="8" t="str">
        <f>_xlfn.XLOOKUP(tblFinancials[[#This Row],[AccountKey]],tblAccounts[AccountKey],tblAccounts[FinancialStatement],"")</f>
        <v>Income Statement</v>
      </c>
      <c r="L154" s="8" t="str">
        <f>_xlfn.XLOOKUP(tblFinancials[[#This Row],[AccountKey]],tblAccounts[AccountKey],tblAccounts[AccountCategory],"")</f>
        <v>Revenue</v>
      </c>
      <c r="M154" s="8" t="str">
        <f>_xlfn.XLOOKUP(tblFinancials[[#This Row],[AccountKey]],tblAccounts[AccountKey],tblAccounts[NormalBalance],"")</f>
        <v>Credit</v>
      </c>
      <c r="N154" s="8" t="str">
        <f>_xlfn.XLOOKUP(tblFinancials[[#This Row],[DepartmentKey]],tblDepartments[DepartmentKey],tblDepartments[DepartmentName],"")</f>
        <v>Human Resources</v>
      </c>
      <c r="O154" s="8" t="str">
        <f>_xlfn.XLOOKUP(tblFinancials[[#This Row],[BusinessUnitKey]],tblBusinessUnits[BusinessUnitKey],tblBusinessUnits[BusinessUnitName],"")</f>
        <v>Wholesale</v>
      </c>
      <c r="P154" s="8" t="str">
        <f>_xlfn.XLOOKUP(tblFinancials[[#This Row],[RegionKey]],tblRegions[RegionKey],tblRegions[RegionName],"")</f>
        <v>West</v>
      </c>
    </row>
    <row r="155" spans="1:16">
      <c r="A155">
        <v>20230501</v>
      </c>
      <c r="B155">
        <v>3</v>
      </c>
      <c r="C155">
        <v>4</v>
      </c>
      <c r="D155">
        <v>3</v>
      </c>
      <c r="E155">
        <v>11</v>
      </c>
      <c r="F155" t="s">
        <v>92</v>
      </c>
      <c r="G155">
        <v>28735.69</v>
      </c>
      <c r="H155">
        <f>_xlfn.XLOOKUP(tblFinancials[[#This Row],[DateKey]],tblCalendar[DateKey],tblCalendar[FullDate],"")</f>
        <v>45047</v>
      </c>
      <c r="I155">
        <f>_xlfn.XLOOKUP(tblFinancials[[#This Row],[AccountKey]],tblAccounts[AccountKey],tblAccounts[AccountNumber],"")</f>
        <v>4000</v>
      </c>
      <c r="J155" t="str">
        <f>_xlfn.XLOOKUP(tblFinancials[[#This Row],[AccountKey]],tblAccounts[AccountKey],tblAccounts[AccountName],"")</f>
        <v>Product Revenue</v>
      </c>
      <c r="K155" s="8" t="str">
        <f>_xlfn.XLOOKUP(tblFinancials[[#This Row],[AccountKey]],tblAccounts[AccountKey],tblAccounts[FinancialStatement],"")</f>
        <v>Income Statement</v>
      </c>
      <c r="L155" s="8" t="str">
        <f>_xlfn.XLOOKUP(tblFinancials[[#This Row],[AccountKey]],tblAccounts[AccountKey],tblAccounts[AccountCategory],"")</f>
        <v>Revenue</v>
      </c>
      <c r="M155" s="8" t="str">
        <f>_xlfn.XLOOKUP(tblFinancials[[#This Row],[AccountKey]],tblAccounts[AccountKey],tblAccounts[NormalBalance],"")</f>
        <v>Credit</v>
      </c>
      <c r="N155" s="8" t="str">
        <f>_xlfn.XLOOKUP(tblFinancials[[#This Row],[DepartmentKey]],tblDepartments[DepartmentKey],tblDepartments[DepartmentName],"")</f>
        <v>Human Resources</v>
      </c>
      <c r="O155" s="8" t="str">
        <f>_xlfn.XLOOKUP(tblFinancials[[#This Row],[BusinessUnitKey]],tblBusinessUnits[BusinessUnitKey],tblBusinessUnits[BusinessUnitName],"")</f>
        <v>E-Commerce</v>
      </c>
      <c r="P155" s="8" t="str">
        <f>_xlfn.XLOOKUP(tblFinancials[[#This Row],[RegionKey]],tblRegions[RegionKey],tblRegions[RegionName],"")</f>
        <v>South</v>
      </c>
    </row>
    <row r="156" spans="1:16">
      <c r="A156">
        <v>20230501</v>
      </c>
      <c r="B156">
        <v>2</v>
      </c>
      <c r="C156">
        <v>4</v>
      </c>
      <c r="D156">
        <v>1</v>
      </c>
      <c r="E156">
        <v>11</v>
      </c>
      <c r="F156" t="s">
        <v>92</v>
      </c>
      <c r="G156">
        <v>28977.93</v>
      </c>
      <c r="H156">
        <f>_xlfn.XLOOKUP(tblFinancials[[#This Row],[DateKey]],tblCalendar[DateKey],tblCalendar[FullDate],"")</f>
        <v>45047</v>
      </c>
      <c r="I156">
        <f>_xlfn.XLOOKUP(tblFinancials[[#This Row],[AccountKey]],tblAccounts[AccountKey],tblAccounts[AccountNumber],"")</f>
        <v>4000</v>
      </c>
      <c r="J156" t="str">
        <f>_xlfn.XLOOKUP(tblFinancials[[#This Row],[AccountKey]],tblAccounts[AccountKey],tblAccounts[AccountName],"")</f>
        <v>Product Revenue</v>
      </c>
      <c r="K156" s="8" t="str">
        <f>_xlfn.XLOOKUP(tblFinancials[[#This Row],[AccountKey]],tblAccounts[AccountKey],tblAccounts[FinancialStatement],"")</f>
        <v>Income Statement</v>
      </c>
      <c r="L156" s="8" t="str">
        <f>_xlfn.XLOOKUP(tblFinancials[[#This Row],[AccountKey]],tblAccounts[AccountKey],tblAccounts[AccountCategory],"")</f>
        <v>Revenue</v>
      </c>
      <c r="M156" s="8" t="str">
        <f>_xlfn.XLOOKUP(tblFinancials[[#This Row],[AccountKey]],tblAccounts[AccountKey],tblAccounts[NormalBalance],"")</f>
        <v>Credit</v>
      </c>
      <c r="N156" s="8" t="str">
        <f>_xlfn.XLOOKUP(tblFinancials[[#This Row],[DepartmentKey]],tblDepartments[DepartmentKey],tblDepartments[DepartmentName],"")</f>
        <v>Finance</v>
      </c>
      <c r="O156" s="8" t="str">
        <f>_xlfn.XLOOKUP(tblFinancials[[#This Row],[BusinessUnitKey]],tblBusinessUnits[BusinessUnitKey],tblBusinessUnits[BusinessUnitName],"")</f>
        <v>E-Commerce</v>
      </c>
      <c r="P156" s="8" t="str">
        <f>_xlfn.XLOOKUP(tblFinancials[[#This Row],[RegionKey]],tblRegions[RegionKey],tblRegions[RegionName],"")</f>
        <v>West</v>
      </c>
    </row>
    <row r="157" spans="1:16">
      <c r="A157">
        <v>20230501</v>
      </c>
      <c r="B157">
        <v>6</v>
      </c>
      <c r="C157">
        <v>4</v>
      </c>
      <c r="D157">
        <v>4</v>
      </c>
      <c r="E157">
        <v>13</v>
      </c>
      <c r="F157" t="s">
        <v>92</v>
      </c>
      <c r="G157">
        <v>28983.77</v>
      </c>
      <c r="H157">
        <f>_xlfn.XLOOKUP(tblFinancials[[#This Row],[DateKey]],tblCalendar[DateKey],tblCalendar[FullDate],"")</f>
        <v>45047</v>
      </c>
      <c r="I157">
        <f>_xlfn.XLOOKUP(tblFinancials[[#This Row],[AccountKey]],tblAccounts[AccountKey],tblAccounts[AccountNumber],"")</f>
        <v>4020</v>
      </c>
      <c r="J157" t="str">
        <f>_xlfn.XLOOKUP(tblFinancials[[#This Row],[AccountKey]],tblAccounts[AccountKey],tblAccounts[AccountName],"")</f>
        <v>Online Revenue</v>
      </c>
      <c r="K157" s="8" t="str">
        <f>_xlfn.XLOOKUP(tblFinancials[[#This Row],[AccountKey]],tblAccounts[AccountKey],tblAccounts[FinancialStatement],"")</f>
        <v>Income Statement</v>
      </c>
      <c r="L157" s="8" t="str">
        <f>_xlfn.XLOOKUP(tblFinancials[[#This Row],[AccountKey]],tblAccounts[AccountKey],tblAccounts[AccountCategory],"")</f>
        <v>Revenue</v>
      </c>
      <c r="M157" s="8" t="str">
        <f>_xlfn.XLOOKUP(tblFinancials[[#This Row],[AccountKey]],tblAccounts[AccountKey],tblAccounts[NormalBalance],"")</f>
        <v>Credit</v>
      </c>
      <c r="N157" s="8" t="str">
        <f>_xlfn.XLOOKUP(tblFinancials[[#This Row],[DepartmentKey]],tblDepartments[DepartmentKey],tblDepartments[DepartmentName],"")</f>
        <v>Operations</v>
      </c>
      <c r="O157" s="8" t="str">
        <f>_xlfn.XLOOKUP(tblFinancials[[#This Row],[BusinessUnitKey]],tblBusinessUnits[BusinessUnitKey],tblBusinessUnits[BusinessUnitName],"")</f>
        <v>E-Commerce</v>
      </c>
      <c r="P157" s="8" t="str">
        <f>_xlfn.XLOOKUP(tblFinancials[[#This Row],[RegionKey]],tblRegions[RegionKey],tblRegions[RegionName],"")</f>
        <v>East</v>
      </c>
    </row>
    <row r="158" spans="1:16">
      <c r="A158">
        <v>20230501</v>
      </c>
      <c r="B158">
        <v>7</v>
      </c>
      <c r="C158">
        <v>1</v>
      </c>
      <c r="D158">
        <v>2</v>
      </c>
      <c r="E158">
        <v>14</v>
      </c>
      <c r="F158" t="s">
        <v>92</v>
      </c>
      <c r="G158">
        <v>-17397.23</v>
      </c>
      <c r="H158">
        <f>_xlfn.XLOOKUP(tblFinancials[[#This Row],[DateKey]],tblCalendar[DateKey],tblCalendar[FullDate],"")</f>
        <v>45047</v>
      </c>
      <c r="I158">
        <f>_xlfn.XLOOKUP(tblFinancials[[#This Row],[AccountKey]],tblAccounts[AccountKey],tblAccounts[AccountNumber],"")</f>
        <v>5000</v>
      </c>
      <c r="J158" t="str">
        <f>_xlfn.XLOOKUP(tblFinancials[[#This Row],[AccountKey]],tblAccounts[AccountKey],tblAccounts[AccountName],"")</f>
        <v>Cost of Goods Sold</v>
      </c>
      <c r="K158" s="8" t="str">
        <f>_xlfn.XLOOKUP(tblFinancials[[#This Row],[AccountKey]],tblAccounts[AccountKey],tblAccounts[FinancialStatement],"")</f>
        <v>Income Statement</v>
      </c>
      <c r="L158" s="8" t="str">
        <f>_xlfn.XLOOKUP(tblFinancials[[#This Row],[AccountKey]],tblAccounts[AccountKey],tblAccounts[AccountCategory],"")</f>
        <v>Cost of Sales</v>
      </c>
      <c r="M158" s="8" t="str">
        <f>_xlfn.XLOOKUP(tblFinancials[[#This Row],[AccountKey]],tblAccounts[AccountKey],tblAccounts[NormalBalance],"")</f>
        <v>Debit</v>
      </c>
      <c r="N158" s="8" t="str">
        <f>_xlfn.XLOOKUP(tblFinancials[[#This Row],[DepartmentKey]],tblDepartments[DepartmentKey],tblDepartments[DepartmentName],"")</f>
        <v>Information Technology</v>
      </c>
      <c r="O158" s="8" t="str">
        <f>_xlfn.XLOOKUP(tblFinancials[[#This Row],[BusinessUnitKey]],tblBusinessUnits[BusinessUnitKey],tblBusinessUnits[BusinessUnitName],"")</f>
        <v xml:space="preserve">Manufacturing </v>
      </c>
      <c r="P158" s="8" t="str">
        <f>_xlfn.XLOOKUP(tblFinancials[[#This Row],[RegionKey]],tblRegions[RegionKey],tblRegions[RegionName],"")</f>
        <v>Midwest</v>
      </c>
    </row>
    <row r="159" spans="1:16">
      <c r="A159">
        <v>20230501</v>
      </c>
      <c r="B159">
        <v>2</v>
      </c>
      <c r="C159">
        <v>1</v>
      </c>
      <c r="D159">
        <v>1</v>
      </c>
      <c r="E159">
        <v>14</v>
      </c>
      <c r="F159" t="s">
        <v>92</v>
      </c>
      <c r="G159">
        <v>-17235.13</v>
      </c>
      <c r="H159">
        <f>_xlfn.XLOOKUP(tblFinancials[[#This Row],[DateKey]],tblCalendar[DateKey],tblCalendar[FullDate],"")</f>
        <v>45047</v>
      </c>
      <c r="I159">
        <f>_xlfn.XLOOKUP(tblFinancials[[#This Row],[AccountKey]],tblAccounts[AccountKey],tblAccounts[AccountNumber],"")</f>
        <v>5000</v>
      </c>
      <c r="J159" t="str">
        <f>_xlfn.XLOOKUP(tblFinancials[[#This Row],[AccountKey]],tblAccounts[AccountKey],tblAccounts[AccountName],"")</f>
        <v>Cost of Goods Sold</v>
      </c>
      <c r="K159" s="8" t="str">
        <f>_xlfn.XLOOKUP(tblFinancials[[#This Row],[AccountKey]],tblAccounts[AccountKey],tblAccounts[FinancialStatement],"")</f>
        <v>Income Statement</v>
      </c>
      <c r="L159" s="8" t="str">
        <f>_xlfn.XLOOKUP(tblFinancials[[#This Row],[AccountKey]],tblAccounts[AccountKey],tblAccounts[AccountCategory],"")</f>
        <v>Cost of Sales</v>
      </c>
      <c r="M159" s="8" t="str">
        <f>_xlfn.XLOOKUP(tblFinancials[[#This Row],[AccountKey]],tblAccounts[AccountKey],tblAccounts[NormalBalance],"")</f>
        <v>Debit</v>
      </c>
      <c r="N159" s="8" t="str">
        <f>_xlfn.XLOOKUP(tblFinancials[[#This Row],[DepartmentKey]],tblDepartments[DepartmentKey],tblDepartments[DepartmentName],"")</f>
        <v>Finance</v>
      </c>
      <c r="O159" s="8" t="str">
        <f>_xlfn.XLOOKUP(tblFinancials[[#This Row],[BusinessUnitKey]],tblBusinessUnits[BusinessUnitKey],tblBusinessUnits[BusinessUnitName],"")</f>
        <v xml:space="preserve">Manufacturing </v>
      </c>
      <c r="P159" s="8" t="str">
        <f>_xlfn.XLOOKUP(tblFinancials[[#This Row],[RegionKey]],tblRegions[RegionKey],tblRegions[RegionName],"")</f>
        <v>West</v>
      </c>
    </row>
    <row r="160" spans="1:16">
      <c r="A160">
        <v>20230501</v>
      </c>
      <c r="B160">
        <v>1</v>
      </c>
      <c r="C160">
        <v>1</v>
      </c>
      <c r="D160">
        <v>2</v>
      </c>
      <c r="E160">
        <v>14</v>
      </c>
      <c r="F160" t="s">
        <v>92</v>
      </c>
      <c r="G160">
        <v>-18617.13</v>
      </c>
      <c r="H160">
        <f>_xlfn.XLOOKUP(tblFinancials[[#This Row],[DateKey]],tblCalendar[DateKey],tblCalendar[FullDate],"")</f>
        <v>45047</v>
      </c>
      <c r="I160">
        <f>_xlfn.XLOOKUP(tblFinancials[[#This Row],[AccountKey]],tblAccounts[AccountKey],tblAccounts[AccountNumber],"")</f>
        <v>5000</v>
      </c>
      <c r="J160" t="str">
        <f>_xlfn.XLOOKUP(tblFinancials[[#This Row],[AccountKey]],tblAccounts[AccountKey],tblAccounts[AccountName],"")</f>
        <v>Cost of Goods Sold</v>
      </c>
      <c r="K160" s="8" t="str">
        <f>_xlfn.XLOOKUP(tblFinancials[[#This Row],[AccountKey]],tblAccounts[AccountKey],tblAccounts[FinancialStatement],"")</f>
        <v>Income Statement</v>
      </c>
      <c r="L160" s="8" t="str">
        <f>_xlfn.XLOOKUP(tblFinancials[[#This Row],[AccountKey]],tblAccounts[AccountKey],tblAccounts[AccountCategory],"")</f>
        <v>Cost of Sales</v>
      </c>
      <c r="M160" s="8" t="str">
        <f>_xlfn.XLOOKUP(tblFinancials[[#This Row],[AccountKey]],tblAccounts[AccountKey],tblAccounts[NormalBalance],"")</f>
        <v>Debit</v>
      </c>
      <c r="N160" s="8" t="str">
        <f>_xlfn.XLOOKUP(tblFinancials[[#This Row],[DepartmentKey]],tblDepartments[DepartmentKey],tblDepartments[DepartmentName],"")</f>
        <v>Executive</v>
      </c>
      <c r="O160" s="8" t="str">
        <f>_xlfn.XLOOKUP(tblFinancials[[#This Row],[BusinessUnitKey]],tblBusinessUnits[BusinessUnitKey],tblBusinessUnits[BusinessUnitName],"")</f>
        <v xml:space="preserve">Manufacturing </v>
      </c>
      <c r="P160" s="8" t="str">
        <f>_xlfn.XLOOKUP(tblFinancials[[#This Row],[RegionKey]],tblRegions[RegionKey],tblRegions[RegionName],"")</f>
        <v>Midwest</v>
      </c>
    </row>
    <row r="161" spans="1:16">
      <c r="A161">
        <v>20230501</v>
      </c>
      <c r="B161">
        <v>1</v>
      </c>
      <c r="C161">
        <v>3</v>
      </c>
      <c r="D161">
        <v>3</v>
      </c>
      <c r="E161">
        <v>14</v>
      </c>
      <c r="F161" t="s">
        <v>92</v>
      </c>
      <c r="G161">
        <v>-18358.689999999999</v>
      </c>
      <c r="H161">
        <f>_xlfn.XLOOKUP(tblFinancials[[#This Row],[DateKey]],tblCalendar[DateKey],tblCalendar[FullDate],"")</f>
        <v>45047</v>
      </c>
      <c r="I161">
        <f>_xlfn.XLOOKUP(tblFinancials[[#This Row],[AccountKey]],tblAccounts[AccountKey],tblAccounts[AccountNumber],"")</f>
        <v>5000</v>
      </c>
      <c r="J161" t="str">
        <f>_xlfn.XLOOKUP(tblFinancials[[#This Row],[AccountKey]],tblAccounts[AccountKey],tblAccounts[AccountName],"")</f>
        <v>Cost of Goods Sold</v>
      </c>
      <c r="K161" s="8" t="str">
        <f>_xlfn.XLOOKUP(tblFinancials[[#This Row],[AccountKey]],tblAccounts[AccountKey],tblAccounts[FinancialStatement],"")</f>
        <v>Income Statement</v>
      </c>
      <c r="L161" s="8" t="str">
        <f>_xlfn.XLOOKUP(tblFinancials[[#This Row],[AccountKey]],tblAccounts[AccountKey],tblAccounts[AccountCategory],"")</f>
        <v>Cost of Sales</v>
      </c>
      <c r="M161" s="8" t="str">
        <f>_xlfn.XLOOKUP(tblFinancials[[#This Row],[AccountKey]],tblAccounts[AccountKey],tblAccounts[NormalBalance],"")</f>
        <v>Debit</v>
      </c>
      <c r="N161" s="8" t="str">
        <f>_xlfn.XLOOKUP(tblFinancials[[#This Row],[DepartmentKey]],tblDepartments[DepartmentKey],tblDepartments[DepartmentName],"")</f>
        <v>Executive</v>
      </c>
      <c r="O161" s="8" t="str">
        <f>_xlfn.XLOOKUP(tblFinancials[[#This Row],[BusinessUnitKey]],tblBusinessUnits[BusinessUnitKey],tblBusinessUnits[BusinessUnitName],"")</f>
        <v>Retail</v>
      </c>
      <c r="P161" s="8" t="str">
        <f>_xlfn.XLOOKUP(tblFinancials[[#This Row],[RegionKey]],tblRegions[RegionKey],tblRegions[RegionName],"")</f>
        <v>South</v>
      </c>
    </row>
    <row r="162" spans="1:16">
      <c r="A162">
        <v>20230501</v>
      </c>
      <c r="B162">
        <v>5</v>
      </c>
      <c r="C162">
        <v>4</v>
      </c>
      <c r="D162">
        <v>3</v>
      </c>
      <c r="E162">
        <v>14</v>
      </c>
      <c r="F162" t="s">
        <v>92</v>
      </c>
      <c r="G162">
        <v>-18094.41</v>
      </c>
      <c r="H162">
        <f>_xlfn.XLOOKUP(tblFinancials[[#This Row],[DateKey]],tblCalendar[DateKey],tblCalendar[FullDate],"")</f>
        <v>45047</v>
      </c>
      <c r="I162">
        <f>_xlfn.XLOOKUP(tblFinancials[[#This Row],[AccountKey]],tblAccounts[AccountKey],tblAccounts[AccountNumber],"")</f>
        <v>5000</v>
      </c>
      <c r="J162" t="str">
        <f>_xlfn.XLOOKUP(tblFinancials[[#This Row],[AccountKey]],tblAccounts[AccountKey],tblAccounts[AccountName],"")</f>
        <v>Cost of Goods Sold</v>
      </c>
      <c r="K162" s="8" t="str">
        <f>_xlfn.XLOOKUP(tblFinancials[[#This Row],[AccountKey]],tblAccounts[AccountKey],tblAccounts[FinancialStatement],"")</f>
        <v>Income Statement</v>
      </c>
      <c r="L162" s="8" t="str">
        <f>_xlfn.XLOOKUP(tblFinancials[[#This Row],[AccountKey]],tblAccounts[AccountKey],tblAccounts[AccountCategory],"")</f>
        <v>Cost of Sales</v>
      </c>
      <c r="M162" s="8" t="str">
        <f>_xlfn.XLOOKUP(tblFinancials[[#This Row],[AccountKey]],tblAccounts[AccountKey],tblAccounts[NormalBalance],"")</f>
        <v>Debit</v>
      </c>
      <c r="N162" s="8" t="str">
        <f>_xlfn.XLOOKUP(tblFinancials[[#This Row],[DepartmentKey]],tblDepartments[DepartmentKey],tblDepartments[DepartmentName],"")</f>
        <v>Marketing</v>
      </c>
      <c r="O162" s="8" t="str">
        <f>_xlfn.XLOOKUP(tblFinancials[[#This Row],[BusinessUnitKey]],tblBusinessUnits[BusinessUnitKey],tblBusinessUnits[BusinessUnitName],"")</f>
        <v>E-Commerce</v>
      </c>
      <c r="P162" s="8" t="str">
        <f>_xlfn.XLOOKUP(tblFinancials[[#This Row],[RegionKey]],tblRegions[RegionKey],tblRegions[RegionName],"")</f>
        <v>South</v>
      </c>
    </row>
    <row r="163" spans="1:16">
      <c r="A163">
        <v>20230501</v>
      </c>
      <c r="B163">
        <v>2</v>
      </c>
      <c r="C163">
        <v>1</v>
      </c>
      <c r="D163">
        <v>3</v>
      </c>
      <c r="E163">
        <v>14</v>
      </c>
      <c r="F163" t="s">
        <v>92</v>
      </c>
      <c r="G163">
        <v>-17150.2</v>
      </c>
      <c r="H163">
        <f>_xlfn.XLOOKUP(tblFinancials[[#This Row],[DateKey]],tblCalendar[DateKey],tblCalendar[FullDate],"")</f>
        <v>45047</v>
      </c>
      <c r="I163">
        <f>_xlfn.XLOOKUP(tblFinancials[[#This Row],[AccountKey]],tblAccounts[AccountKey],tblAccounts[AccountNumber],"")</f>
        <v>5000</v>
      </c>
      <c r="J163" t="str">
        <f>_xlfn.XLOOKUP(tblFinancials[[#This Row],[AccountKey]],tblAccounts[AccountKey],tblAccounts[AccountName],"")</f>
        <v>Cost of Goods Sold</v>
      </c>
      <c r="K163" s="8" t="str">
        <f>_xlfn.XLOOKUP(tblFinancials[[#This Row],[AccountKey]],tblAccounts[AccountKey],tblAccounts[FinancialStatement],"")</f>
        <v>Income Statement</v>
      </c>
      <c r="L163" s="8" t="str">
        <f>_xlfn.XLOOKUP(tblFinancials[[#This Row],[AccountKey]],tblAccounts[AccountKey],tblAccounts[AccountCategory],"")</f>
        <v>Cost of Sales</v>
      </c>
      <c r="M163" s="8" t="str">
        <f>_xlfn.XLOOKUP(tblFinancials[[#This Row],[AccountKey]],tblAccounts[AccountKey],tblAccounts[NormalBalance],"")</f>
        <v>Debit</v>
      </c>
      <c r="N163" s="8" t="str">
        <f>_xlfn.XLOOKUP(tblFinancials[[#This Row],[DepartmentKey]],tblDepartments[DepartmentKey],tblDepartments[DepartmentName],"")</f>
        <v>Finance</v>
      </c>
      <c r="O163" s="8" t="str">
        <f>_xlfn.XLOOKUP(tblFinancials[[#This Row],[BusinessUnitKey]],tblBusinessUnits[BusinessUnitKey],tblBusinessUnits[BusinessUnitName],"")</f>
        <v xml:space="preserve">Manufacturing </v>
      </c>
      <c r="P163" s="8" t="str">
        <f>_xlfn.XLOOKUP(tblFinancials[[#This Row],[RegionKey]],tblRegions[RegionKey],tblRegions[RegionName],"")</f>
        <v>South</v>
      </c>
    </row>
    <row r="164" spans="1:16">
      <c r="A164">
        <v>20230501</v>
      </c>
      <c r="B164">
        <v>1</v>
      </c>
      <c r="C164">
        <v>4</v>
      </c>
      <c r="D164">
        <v>2</v>
      </c>
      <c r="E164">
        <v>14</v>
      </c>
      <c r="F164" t="s">
        <v>92</v>
      </c>
      <c r="G164">
        <v>-17865.66</v>
      </c>
      <c r="H164">
        <f>_xlfn.XLOOKUP(tblFinancials[[#This Row],[DateKey]],tblCalendar[DateKey],tblCalendar[FullDate],"")</f>
        <v>45047</v>
      </c>
      <c r="I164">
        <f>_xlfn.XLOOKUP(tblFinancials[[#This Row],[AccountKey]],tblAccounts[AccountKey],tblAccounts[AccountNumber],"")</f>
        <v>5000</v>
      </c>
      <c r="J164" t="str">
        <f>_xlfn.XLOOKUP(tblFinancials[[#This Row],[AccountKey]],tblAccounts[AccountKey],tblAccounts[AccountName],"")</f>
        <v>Cost of Goods Sold</v>
      </c>
      <c r="K164" s="8" t="str">
        <f>_xlfn.XLOOKUP(tblFinancials[[#This Row],[AccountKey]],tblAccounts[AccountKey],tblAccounts[FinancialStatement],"")</f>
        <v>Income Statement</v>
      </c>
      <c r="L164" s="8" t="str">
        <f>_xlfn.XLOOKUP(tblFinancials[[#This Row],[AccountKey]],tblAccounts[AccountKey],tblAccounts[AccountCategory],"")</f>
        <v>Cost of Sales</v>
      </c>
      <c r="M164" s="8" t="str">
        <f>_xlfn.XLOOKUP(tblFinancials[[#This Row],[AccountKey]],tblAccounts[AccountKey],tblAccounts[NormalBalance],"")</f>
        <v>Debit</v>
      </c>
      <c r="N164" s="8" t="str">
        <f>_xlfn.XLOOKUP(tblFinancials[[#This Row],[DepartmentKey]],tblDepartments[DepartmentKey],tblDepartments[DepartmentName],"")</f>
        <v>Executive</v>
      </c>
      <c r="O164" s="8" t="str">
        <f>_xlfn.XLOOKUP(tblFinancials[[#This Row],[BusinessUnitKey]],tblBusinessUnits[BusinessUnitKey],tblBusinessUnits[BusinessUnitName],"")</f>
        <v>E-Commerce</v>
      </c>
      <c r="P164" s="8" t="str">
        <f>_xlfn.XLOOKUP(tblFinancials[[#This Row],[RegionKey]],tblRegions[RegionKey],tblRegions[RegionName],"")</f>
        <v>Midwest</v>
      </c>
    </row>
    <row r="165" spans="1:16">
      <c r="A165">
        <v>20230501</v>
      </c>
      <c r="B165">
        <v>2</v>
      </c>
      <c r="C165">
        <v>2</v>
      </c>
      <c r="D165">
        <v>4</v>
      </c>
      <c r="E165">
        <v>14</v>
      </c>
      <c r="F165" t="s">
        <v>92</v>
      </c>
      <c r="G165">
        <v>-17965.95</v>
      </c>
      <c r="H165">
        <f>_xlfn.XLOOKUP(tblFinancials[[#This Row],[DateKey]],tblCalendar[DateKey],tblCalendar[FullDate],"")</f>
        <v>45047</v>
      </c>
      <c r="I165">
        <f>_xlfn.XLOOKUP(tblFinancials[[#This Row],[AccountKey]],tblAccounts[AccountKey],tblAccounts[AccountNumber],"")</f>
        <v>5000</v>
      </c>
      <c r="J165" t="str">
        <f>_xlfn.XLOOKUP(tblFinancials[[#This Row],[AccountKey]],tblAccounts[AccountKey],tblAccounts[AccountName],"")</f>
        <v>Cost of Goods Sold</v>
      </c>
      <c r="K165" s="8" t="str">
        <f>_xlfn.XLOOKUP(tblFinancials[[#This Row],[AccountKey]],tblAccounts[AccountKey],tblAccounts[FinancialStatement],"")</f>
        <v>Income Statement</v>
      </c>
      <c r="L165" s="8" t="str">
        <f>_xlfn.XLOOKUP(tblFinancials[[#This Row],[AccountKey]],tblAccounts[AccountKey],tblAccounts[AccountCategory],"")</f>
        <v>Cost of Sales</v>
      </c>
      <c r="M165" s="8" t="str">
        <f>_xlfn.XLOOKUP(tblFinancials[[#This Row],[AccountKey]],tblAccounts[AccountKey],tblAccounts[NormalBalance],"")</f>
        <v>Debit</v>
      </c>
      <c r="N165" s="8" t="str">
        <f>_xlfn.XLOOKUP(tblFinancials[[#This Row],[DepartmentKey]],tblDepartments[DepartmentKey],tblDepartments[DepartmentName],"")</f>
        <v>Finance</v>
      </c>
      <c r="O165" s="8" t="str">
        <f>_xlfn.XLOOKUP(tblFinancials[[#This Row],[BusinessUnitKey]],tblBusinessUnits[BusinessUnitKey],tblBusinessUnits[BusinessUnitName],"")</f>
        <v>Wholesale</v>
      </c>
      <c r="P165" s="8" t="str">
        <f>_xlfn.XLOOKUP(tblFinancials[[#This Row],[RegionKey]],tblRegions[RegionKey],tblRegions[RegionName],"")</f>
        <v>East</v>
      </c>
    </row>
    <row r="166" spans="1:16">
      <c r="A166">
        <v>20230501</v>
      </c>
      <c r="B166">
        <v>4</v>
      </c>
      <c r="C166">
        <v>4</v>
      </c>
      <c r="D166">
        <v>2</v>
      </c>
      <c r="E166">
        <v>14</v>
      </c>
      <c r="F166" t="s">
        <v>92</v>
      </c>
      <c r="G166">
        <v>-17819.11</v>
      </c>
      <c r="H166">
        <f>_xlfn.XLOOKUP(tblFinancials[[#This Row],[DateKey]],tblCalendar[DateKey],tblCalendar[FullDate],"")</f>
        <v>45047</v>
      </c>
      <c r="I166">
        <f>_xlfn.XLOOKUP(tblFinancials[[#This Row],[AccountKey]],tblAccounts[AccountKey],tblAccounts[AccountNumber],"")</f>
        <v>5000</v>
      </c>
      <c r="J166" t="str">
        <f>_xlfn.XLOOKUP(tblFinancials[[#This Row],[AccountKey]],tblAccounts[AccountKey],tblAccounts[AccountName],"")</f>
        <v>Cost of Goods Sold</v>
      </c>
      <c r="K166" s="8" t="str">
        <f>_xlfn.XLOOKUP(tblFinancials[[#This Row],[AccountKey]],tblAccounts[AccountKey],tblAccounts[FinancialStatement],"")</f>
        <v>Income Statement</v>
      </c>
      <c r="L166" s="8" t="str">
        <f>_xlfn.XLOOKUP(tblFinancials[[#This Row],[AccountKey]],tblAccounts[AccountKey],tblAccounts[AccountCategory],"")</f>
        <v>Cost of Sales</v>
      </c>
      <c r="M166" s="8" t="str">
        <f>_xlfn.XLOOKUP(tblFinancials[[#This Row],[AccountKey]],tblAccounts[AccountKey],tblAccounts[NormalBalance],"")</f>
        <v>Debit</v>
      </c>
      <c r="N166" s="8" t="str">
        <f>_xlfn.XLOOKUP(tblFinancials[[#This Row],[DepartmentKey]],tblDepartments[DepartmentKey],tblDepartments[DepartmentName],"")</f>
        <v>Sales</v>
      </c>
      <c r="O166" s="8" t="str">
        <f>_xlfn.XLOOKUP(tblFinancials[[#This Row],[BusinessUnitKey]],tblBusinessUnits[BusinessUnitKey],tblBusinessUnits[BusinessUnitName],"")</f>
        <v>E-Commerce</v>
      </c>
      <c r="P166" s="8" t="str">
        <f>_xlfn.XLOOKUP(tblFinancials[[#This Row],[RegionKey]],tblRegions[RegionKey],tblRegions[RegionName],"")</f>
        <v>Midwest</v>
      </c>
    </row>
    <row r="167" spans="1:16">
      <c r="A167">
        <v>20230501</v>
      </c>
      <c r="B167">
        <v>4</v>
      </c>
      <c r="C167">
        <v>2</v>
      </c>
      <c r="D167">
        <v>4</v>
      </c>
      <c r="E167">
        <v>14</v>
      </c>
      <c r="F167" t="s">
        <v>92</v>
      </c>
      <c r="G167">
        <v>-17245</v>
      </c>
      <c r="H167">
        <f>_xlfn.XLOOKUP(tblFinancials[[#This Row],[DateKey]],tblCalendar[DateKey],tblCalendar[FullDate],"")</f>
        <v>45047</v>
      </c>
      <c r="I167">
        <f>_xlfn.XLOOKUP(tblFinancials[[#This Row],[AccountKey]],tblAccounts[AccountKey],tblAccounts[AccountNumber],"")</f>
        <v>5000</v>
      </c>
      <c r="J167" t="str">
        <f>_xlfn.XLOOKUP(tblFinancials[[#This Row],[AccountKey]],tblAccounts[AccountKey],tblAccounts[AccountName],"")</f>
        <v>Cost of Goods Sold</v>
      </c>
      <c r="K167" s="8" t="str">
        <f>_xlfn.XLOOKUP(tblFinancials[[#This Row],[AccountKey]],tblAccounts[AccountKey],tblAccounts[FinancialStatement],"")</f>
        <v>Income Statement</v>
      </c>
      <c r="L167" s="8" t="str">
        <f>_xlfn.XLOOKUP(tblFinancials[[#This Row],[AccountKey]],tblAccounts[AccountKey],tblAccounts[AccountCategory],"")</f>
        <v>Cost of Sales</v>
      </c>
      <c r="M167" s="8" t="str">
        <f>_xlfn.XLOOKUP(tblFinancials[[#This Row],[AccountKey]],tblAccounts[AccountKey],tblAccounts[NormalBalance],"")</f>
        <v>Debit</v>
      </c>
      <c r="N167" s="8" t="str">
        <f>_xlfn.XLOOKUP(tblFinancials[[#This Row],[DepartmentKey]],tblDepartments[DepartmentKey],tblDepartments[DepartmentName],"")</f>
        <v>Sales</v>
      </c>
      <c r="O167" s="8" t="str">
        <f>_xlfn.XLOOKUP(tblFinancials[[#This Row],[BusinessUnitKey]],tblBusinessUnits[BusinessUnitKey],tblBusinessUnits[BusinessUnitName],"")</f>
        <v>Wholesale</v>
      </c>
      <c r="P167" s="8" t="str">
        <f>_xlfn.XLOOKUP(tblFinancials[[#This Row],[RegionKey]],tblRegions[RegionKey],tblRegions[RegionName],"")</f>
        <v>East</v>
      </c>
    </row>
    <row r="168" spans="1:16">
      <c r="A168">
        <v>20230501</v>
      </c>
      <c r="B168">
        <v>6</v>
      </c>
      <c r="C168">
        <v>3</v>
      </c>
      <c r="D168">
        <v>2</v>
      </c>
      <c r="E168">
        <v>14</v>
      </c>
      <c r="F168" t="s">
        <v>92</v>
      </c>
      <c r="G168">
        <v>-17471.12</v>
      </c>
      <c r="H168">
        <f>_xlfn.XLOOKUP(tblFinancials[[#This Row],[DateKey]],tblCalendar[DateKey],tblCalendar[FullDate],"")</f>
        <v>45047</v>
      </c>
      <c r="I168">
        <f>_xlfn.XLOOKUP(tblFinancials[[#This Row],[AccountKey]],tblAccounts[AccountKey],tblAccounts[AccountNumber],"")</f>
        <v>5000</v>
      </c>
      <c r="J168" t="str">
        <f>_xlfn.XLOOKUP(tblFinancials[[#This Row],[AccountKey]],tblAccounts[AccountKey],tblAccounts[AccountName],"")</f>
        <v>Cost of Goods Sold</v>
      </c>
      <c r="K168" s="8" t="str">
        <f>_xlfn.XLOOKUP(tblFinancials[[#This Row],[AccountKey]],tblAccounts[AccountKey],tblAccounts[FinancialStatement],"")</f>
        <v>Income Statement</v>
      </c>
      <c r="L168" s="8" t="str">
        <f>_xlfn.XLOOKUP(tblFinancials[[#This Row],[AccountKey]],tblAccounts[AccountKey],tblAccounts[AccountCategory],"")</f>
        <v>Cost of Sales</v>
      </c>
      <c r="M168" s="8" t="str">
        <f>_xlfn.XLOOKUP(tblFinancials[[#This Row],[AccountKey]],tblAccounts[AccountKey],tblAccounts[NormalBalance],"")</f>
        <v>Debit</v>
      </c>
      <c r="N168" s="8" t="str">
        <f>_xlfn.XLOOKUP(tblFinancials[[#This Row],[DepartmentKey]],tblDepartments[DepartmentKey],tblDepartments[DepartmentName],"")</f>
        <v>Operations</v>
      </c>
      <c r="O168" s="8" t="str">
        <f>_xlfn.XLOOKUP(tblFinancials[[#This Row],[BusinessUnitKey]],tblBusinessUnits[BusinessUnitKey],tblBusinessUnits[BusinessUnitName],"")</f>
        <v>Retail</v>
      </c>
      <c r="P168" s="8" t="str">
        <f>_xlfn.XLOOKUP(tblFinancials[[#This Row],[RegionKey]],tblRegions[RegionKey],tblRegions[RegionName],"")</f>
        <v>Midwest</v>
      </c>
    </row>
    <row r="169" spans="1:16">
      <c r="A169">
        <v>20230501</v>
      </c>
      <c r="B169">
        <v>5</v>
      </c>
      <c r="C169">
        <v>3</v>
      </c>
      <c r="D169">
        <v>1</v>
      </c>
      <c r="E169">
        <v>14</v>
      </c>
      <c r="F169" t="s">
        <v>92</v>
      </c>
      <c r="G169">
        <v>-14125.72</v>
      </c>
      <c r="H169">
        <f>_xlfn.XLOOKUP(tblFinancials[[#This Row],[DateKey]],tblCalendar[DateKey],tblCalendar[FullDate],"")</f>
        <v>45047</v>
      </c>
      <c r="I169">
        <f>_xlfn.XLOOKUP(tblFinancials[[#This Row],[AccountKey]],tblAccounts[AccountKey],tblAccounts[AccountNumber],"")</f>
        <v>5000</v>
      </c>
      <c r="J169" t="str">
        <f>_xlfn.XLOOKUP(tblFinancials[[#This Row],[AccountKey]],tblAccounts[AccountKey],tblAccounts[AccountName],"")</f>
        <v>Cost of Goods Sold</v>
      </c>
      <c r="K169" s="8" t="str">
        <f>_xlfn.XLOOKUP(tblFinancials[[#This Row],[AccountKey]],tblAccounts[AccountKey],tblAccounts[FinancialStatement],"")</f>
        <v>Income Statement</v>
      </c>
      <c r="L169" s="8" t="str">
        <f>_xlfn.XLOOKUP(tblFinancials[[#This Row],[AccountKey]],tblAccounts[AccountKey],tblAccounts[AccountCategory],"")</f>
        <v>Cost of Sales</v>
      </c>
      <c r="M169" s="8" t="str">
        <f>_xlfn.XLOOKUP(tblFinancials[[#This Row],[AccountKey]],tblAccounts[AccountKey],tblAccounts[NormalBalance],"")</f>
        <v>Debit</v>
      </c>
      <c r="N169" s="8" t="str">
        <f>_xlfn.XLOOKUP(tblFinancials[[#This Row],[DepartmentKey]],tblDepartments[DepartmentKey],tblDepartments[DepartmentName],"")</f>
        <v>Marketing</v>
      </c>
      <c r="O169" s="8" t="str">
        <f>_xlfn.XLOOKUP(tblFinancials[[#This Row],[BusinessUnitKey]],tblBusinessUnits[BusinessUnitKey],tblBusinessUnits[BusinessUnitName],"")</f>
        <v>Retail</v>
      </c>
      <c r="P169" s="8" t="str">
        <f>_xlfn.XLOOKUP(tblFinancials[[#This Row],[RegionKey]],tblRegions[RegionKey],tblRegions[RegionName],"")</f>
        <v>West</v>
      </c>
    </row>
    <row r="170" spans="1:16">
      <c r="A170">
        <v>20230501</v>
      </c>
      <c r="B170">
        <v>1</v>
      </c>
      <c r="C170">
        <v>3</v>
      </c>
      <c r="D170">
        <v>1</v>
      </c>
      <c r="E170">
        <v>18</v>
      </c>
      <c r="F170" t="s">
        <v>92</v>
      </c>
      <c r="G170">
        <v>-6888.72</v>
      </c>
      <c r="H170">
        <f>_xlfn.XLOOKUP(tblFinancials[[#This Row],[DateKey]],tblCalendar[DateKey],tblCalendar[FullDate],"")</f>
        <v>45047</v>
      </c>
      <c r="I170">
        <f>_xlfn.XLOOKUP(tblFinancials[[#This Row],[AccountKey]],tblAccounts[AccountKey],tblAccounts[AccountNumber],"")</f>
        <v>6200</v>
      </c>
      <c r="J170" t="str">
        <f>_xlfn.XLOOKUP(tblFinancials[[#This Row],[AccountKey]],tblAccounts[AccountKey],tblAccounts[AccountName],"")</f>
        <v>Marketing Expense</v>
      </c>
      <c r="K170" s="8" t="str">
        <f>_xlfn.XLOOKUP(tblFinancials[[#This Row],[AccountKey]],tblAccounts[AccountKey],tblAccounts[FinancialStatement],"")</f>
        <v>Income Statement</v>
      </c>
      <c r="L170" s="8" t="str">
        <f>_xlfn.XLOOKUP(tblFinancials[[#This Row],[AccountKey]],tblAccounts[AccountKey],tblAccounts[AccountCategory],"")</f>
        <v>Operating Expense</v>
      </c>
      <c r="M170" s="8" t="str">
        <f>_xlfn.XLOOKUP(tblFinancials[[#This Row],[AccountKey]],tblAccounts[AccountKey],tblAccounts[NormalBalance],"")</f>
        <v>Debit</v>
      </c>
      <c r="N170" s="8" t="str">
        <f>_xlfn.XLOOKUP(tblFinancials[[#This Row],[DepartmentKey]],tblDepartments[DepartmentKey],tblDepartments[DepartmentName],"")</f>
        <v>Executive</v>
      </c>
      <c r="O170" s="8" t="str">
        <f>_xlfn.XLOOKUP(tblFinancials[[#This Row],[BusinessUnitKey]],tblBusinessUnits[BusinessUnitKey],tblBusinessUnits[BusinessUnitName],"")</f>
        <v>Retail</v>
      </c>
      <c r="P170" s="8" t="str">
        <f>_xlfn.XLOOKUP(tblFinancials[[#This Row],[RegionKey]],tblRegions[RegionKey],tblRegions[RegionName],"")</f>
        <v>West</v>
      </c>
    </row>
    <row r="171" spans="1:16">
      <c r="A171">
        <v>20230501</v>
      </c>
      <c r="B171">
        <v>7</v>
      </c>
      <c r="C171">
        <v>2</v>
      </c>
      <c r="D171">
        <v>3</v>
      </c>
      <c r="E171">
        <v>16</v>
      </c>
      <c r="F171" t="s">
        <v>92</v>
      </c>
      <c r="G171">
        <v>-7815.31</v>
      </c>
      <c r="H171">
        <f>_xlfn.XLOOKUP(tblFinancials[[#This Row],[DateKey]],tblCalendar[DateKey],tblCalendar[FullDate],"")</f>
        <v>45047</v>
      </c>
      <c r="I171">
        <f>_xlfn.XLOOKUP(tblFinancials[[#This Row],[AccountKey]],tblAccounts[AccountKey],tblAccounts[AccountNumber],"")</f>
        <v>6110</v>
      </c>
      <c r="J171" t="str">
        <f>_xlfn.XLOOKUP(tblFinancials[[#This Row],[AccountKey]],tblAccounts[AccountKey],tblAccounts[AccountName],"")</f>
        <v>Payroll Taxes</v>
      </c>
      <c r="K171" s="8" t="str">
        <f>_xlfn.XLOOKUP(tblFinancials[[#This Row],[AccountKey]],tblAccounts[AccountKey],tblAccounts[FinancialStatement],"")</f>
        <v>Income Statement</v>
      </c>
      <c r="L171" s="8" t="str">
        <f>_xlfn.XLOOKUP(tblFinancials[[#This Row],[AccountKey]],tblAccounts[AccountKey],tblAccounts[AccountCategory],"")</f>
        <v>Operating Expense</v>
      </c>
      <c r="M171" s="8" t="str">
        <f>_xlfn.XLOOKUP(tblFinancials[[#This Row],[AccountKey]],tblAccounts[AccountKey],tblAccounts[NormalBalance],"")</f>
        <v>Debit</v>
      </c>
      <c r="N171" s="8" t="str">
        <f>_xlfn.XLOOKUP(tblFinancials[[#This Row],[DepartmentKey]],tblDepartments[DepartmentKey],tblDepartments[DepartmentName],"")</f>
        <v>Information Technology</v>
      </c>
      <c r="O171" s="8" t="str">
        <f>_xlfn.XLOOKUP(tblFinancials[[#This Row],[BusinessUnitKey]],tblBusinessUnits[BusinessUnitKey],tblBusinessUnits[BusinessUnitName],"")</f>
        <v>Wholesale</v>
      </c>
      <c r="P171" s="8" t="str">
        <f>_xlfn.XLOOKUP(tblFinancials[[#This Row],[RegionKey]],tblRegions[RegionKey],tblRegions[RegionName],"")</f>
        <v>South</v>
      </c>
    </row>
    <row r="172" spans="1:16">
      <c r="A172">
        <v>20230501</v>
      </c>
      <c r="B172">
        <v>7</v>
      </c>
      <c r="C172">
        <v>4</v>
      </c>
      <c r="D172">
        <v>2</v>
      </c>
      <c r="E172">
        <v>19</v>
      </c>
      <c r="F172" t="s">
        <v>92</v>
      </c>
      <c r="G172">
        <v>-6914.21</v>
      </c>
      <c r="H172">
        <f>_xlfn.XLOOKUP(tblFinancials[[#This Row],[DateKey]],tblCalendar[DateKey],tblCalendar[FullDate],"")</f>
        <v>45047</v>
      </c>
      <c r="I172">
        <f>_xlfn.XLOOKUP(tblFinancials[[#This Row],[AccountKey]],tblAccounts[AccountKey],tblAccounts[AccountNumber],"")</f>
        <v>6300</v>
      </c>
      <c r="J172" t="str">
        <f>_xlfn.XLOOKUP(tblFinancials[[#This Row],[AccountKey]],tblAccounts[AccountKey],tblAccounts[AccountName],"")</f>
        <v>Software Expense</v>
      </c>
      <c r="K172" s="8" t="str">
        <f>_xlfn.XLOOKUP(tblFinancials[[#This Row],[AccountKey]],tblAccounts[AccountKey],tblAccounts[FinancialStatement],"")</f>
        <v>Income Statement</v>
      </c>
      <c r="L172" s="8" t="str">
        <f>_xlfn.XLOOKUP(tblFinancials[[#This Row],[AccountKey]],tblAccounts[AccountKey],tblAccounts[AccountCategory],"")</f>
        <v>Operating Expense</v>
      </c>
      <c r="M172" s="8" t="str">
        <f>_xlfn.XLOOKUP(tblFinancials[[#This Row],[AccountKey]],tblAccounts[AccountKey],tblAccounts[NormalBalance],"")</f>
        <v>Debit</v>
      </c>
      <c r="N172" s="8" t="str">
        <f>_xlfn.XLOOKUP(tblFinancials[[#This Row],[DepartmentKey]],tblDepartments[DepartmentKey],tblDepartments[DepartmentName],"")</f>
        <v>Information Technology</v>
      </c>
      <c r="O172" s="8" t="str">
        <f>_xlfn.XLOOKUP(tblFinancials[[#This Row],[BusinessUnitKey]],tblBusinessUnits[BusinessUnitKey],tblBusinessUnits[BusinessUnitName],"")</f>
        <v>E-Commerce</v>
      </c>
      <c r="P172" s="8" t="str">
        <f>_xlfn.XLOOKUP(tblFinancials[[#This Row],[RegionKey]],tblRegions[RegionKey],tblRegions[RegionName],"")</f>
        <v>Midwest</v>
      </c>
    </row>
    <row r="173" spans="1:16">
      <c r="A173">
        <v>20230501</v>
      </c>
      <c r="B173">
        <v>8</v>
      </c>
      <c r="C173">
        <v>2</v>
      </c>
      <c r="D173">
        <v>1</v>
      </c>
      <c r="E173">
        <v>17</v>
      </c>
      <c r="F173" t="s">
        <v>92</v>
      </c>
      <c r="G173">
        <v>-6003.34</v>
      </c>
      <c r="H173">
        <f>_xlfn.XLOOKUP(tblFinancials[[#This Row],[DateKey]],tblCalendar[DateKey],tblCalendar[FullDate],"")</f>
        <v>45047</v>
      </c>
      <c r="I173">
        <f>_xlfn.XLOOKUP(tblFinancials[[#This Row],[AccountKey]],tblAccounts[AccountKey],tblAccounts[AccountNumber],"")</f>
        <v>6120</v>
      </c>
      <c r="J173" t="str">
        <f>_xlfn.XLOOKUP(tblFinancials[[#This Row],[AccountKey]],tblAccounts[AccountKey],tblAccounts[AccountName],"")</f>
        <v>Employee Benefits</v>
      </c>
      <c r="K173" s="8" t="str">
        <f>_xlfn.XLOOKUP(tblFinancials[[#This Row],[AccountKey]],tblAccounts[AccountKey],tblAccounts[FinancialStatement],"")</f>
        <v>Income Statement</v>
      </c>
      <c r="L173" s="8" t="str">
        <f>_xlfn.XLOOKUP(tblFinancials[[#This Row],[AccountKey]],tblAccounts[AccountKey],tblAccounts[AccountCategory],"")</f>
        <v>Operating Expense</v>
      </c>
      <c r="M173" s="8" t="str">
        <f>_xlfn.XLOOKUP(tblFinancials[[#This Row],[AccountKey]],tblAccounts[AccountKey],tblAccounts[NormalBalance],"")</f>
        <v>Debit</v>
      </c>
      <c r="N173" s="8" t="str">
        <f>_xlfn.XLOOKUP(tblFinancials[[#This Row],[DepartmentKey]],tblDepartments[DepartmentKey],tblDepartments[DepartmentName],"")</f>
        <v>Customer Service</v>
      </c>
      <c r="O173" s="8" t="str">
        <f>_xlfn.XLOOKUP(tblFinancials[[#This Row],[BusinessUnitKey]],tblBusinessUnits[BusinessUnitKey],tblBusinessUnits[BusinessUnitName],"")</f>
        <v>Wholesale</v>
      </c>
      <c r="P173" s="8" t="str">
        <f>_xlfn.XLOOKUP(tblFinancials[[#This Row],[RegionKey]],tblRegions[RegionKey],tblRegions[RegionName],"")</f>
        <v>West</v>
      </c>
    </row>
    <row r="174" spans="1:16">
      <c r="A174">
        <v>20230501</v>
      </c>
      <c r="B174">
        <v>4</v>
      </c>
      <c r="C174">
        <v>4</v>
      </c>
      <c r="D174">
        <v>2</v>
      </c>
      <c r="E174">
        <v>25</v>
      </c>
      <c r="F174" t="s">
        <v>92</v>
      </c>
      <c r="G174">
        <v>-8054.38</v>
      </c>
      <c r="H174">
        <f>_xlfn.XLOOKUP(tblFinancials[[#This Row],[DateKey]],tblCalendar[DateKey],tblCalendar[FullDate],"")</f>
        <v>45047</v>
      </c>
      <c r="I174">
        <f>_xlfn.XLOOKUP(tblFinancials[[#This Row],[AccountKey]],tblAccounts[AccountKey],tblAccounts[AccountNumber],"")</f>
        <v>8200</v>
      </c>
      <c r="J174" t="str">
        <f>_xlfn.XLOOKUP(tblFinancials[[#This Row],[AccountKey]],tblAccounts[AccountKey],tblAccounts[AccountName],"")</f>
        <v>Income Tax Expense</v>
      </c>
      <c r="K174" s="8" t="str">
        <f>_xlfn.XLOOKUP(tblFinancials[[#This Row],[AccountKey]],tblAccounts[AccountKey],tblAccounts[FinancialStatement],"")</f>
        <v>Income Statement</v>
      </c>
      <c r="L174" s="8" t="str">
        <f>_xlfn.XLOOKUP(tblFinancials[[#This Row],[AccountKey]],tblAccounts[AccountKey],tblAccounts[AccountCategory],"")</f>
        <v>Tax Expense</v>
      </c>
      <c r="M174" s="8" t="str">
        <f>_xlfn.XLOOKUP(tblFinancials[[#This Row],[AccountKey]],tblAccounts[AccountKey],tblAccounts[NormalBalance],"")</f>
        <v>Debit</v>
      </c>
      <c r="N174" s="8" t="str">
        <f>_xlfn.XLOOKUP(tblFinancials[[#This Row],[DepartmentKey]],tblDepartments[DepartmentKey],tblDepartments[DepartmentName],"")</f>
        <v>Sales</v>
      </c>
      <c r="O174" s="8" t="str">
        <f>_xlfn.XLOOKUP(tblFinancials[[#This Row],[BusinessUnitKey]],tblBusinessUnits[BusinessUnitKey],tblBusinessUnits[BusinessUnitName],"")</f>
        <v>E-Commerce</v>
      </c>
      <c r="P174" s="8" t="str">
        <f>_xlfn.XLOOKUP(tblFinancials[[#This Row],[RegionKey]],tblRegions[RegionKey],tblRegions[RegionName],"")</f>
        <v>Midwest</v>
      </c>
    </row>
    <row r="175" spans="1:16">
      <c r="A175">
        <v>20230501</v>
      </c>
      <c r="B175">
        <v>7</v>
      </c>
      <c r="C175">
        <v>1</v>
      </c>
      <c r="D175">
        <v>2</v>
      </c>
      <c r="E175">
        <v>17</v>
      </c>
      <c r="F175" t="s">
        <v>92</v>
      </c>
      <c r="G175">
        <v>-6774.88</v>
      </c>
      <c r="H175">
        <f>_xlfn.XLOOKUP(tblFinancials[[#This Row],[DateKey]],tblCalendar[DateKey],tblCalendar[FullDate],"")</f>
        <v>45047</v>
      </c>
      <c r="I175">
        <f>_xlfn.XLOOKUP(tblFinancials[[#This Row],[AccountKey]],tblAccounts[AccountKey],tblAccounts[AccountNumber],"")</f>
        <v>6120</v>
      </c>
      <c r="J175" t="str">
        <f>_xlfn.XLOOKUP(tblFinancials[[#This Row],[AccountKey]],tblAccounts[AccountKey],tblAccounts[AccountName],"")</f>
        <v>Employee Benefits</v>
      </c>
      <c r="K175" s="8" t="str">
        <f>_xlfn.XLOOKUP(tblFinancials[[#This Row],[AccountKey]],tblAccounts[AccountKey],tblAccounts[FinancialStatement],"")</f>
        <v>Income Statement</v>
      </c>
      <c r="L175" s="8" t="str">
        <f>_xlfn.XLOOKUP(tblFinancials[[#This Row],[AccountKey]],tblAccounts[AccountKey],tblAccounts[AccountCategory],"")</f>
        <v>Operating Expense</v>
      </c>
      <c r="M175" s="8" t="str">
        <f>_xlfn.XLOOKUP(tblFinancials[[#This Row],[AccountKey]],tblAccounts[AccountKey],tblAccounts[NormalBalance],"")</f>
        <v>Debit</v>
      </c>
      <c r="N175" s="8" t="str">
        <f>_xlfn.XLOOKUP(tblFinancials[[#This Row],[DepartmentKey]],tblDepartments[DepartmentKey],tblDepartments[DepartmentName],"")</f>
        <v>Information Technology</v>
      </c>
      <c r="O175" s="8" t="str">
        <f>_xlfn.XLOOKUP(tblFinancials[[#This Row],[BusinessUnitKey]],tblBusinessUnits[BusinessUnitKey],tblBusinessUnits[BusinessUnitName],"")</f>
        <v xml:space="preserve">Manufacturing </v>
      </c>
      <c r="P175" s="8" t="str">
        <f>_xlfn.XLOOKUP(tblFinancials[[#This Row],[RegionKey]],tblRegions[RegionKey],tblRegions[RegionName],"")</f>
        <v>Midwest</v>
      </c>
    </row>
    <row r="176" spans="1:16">
      <c r="A176">
        <v>20230501</v>
      </c>
      <c r="B176">
        <v>4</v>
      </c>
      <c r="C176">
        <v>4</v>
      </c>
      <c r="D176">
        <v>4</v>
      </c>
      <c r="E176">
        <v>18</v>
      </c>
      <c r="F176" t="s">
        <v>92</v>
      </c>
      <c r="G176">
        <v>-7097.99</v>
      </c>
      <c r="H176">
        <f>_xlfn.XLOOKUP(tblFinancials[[#This Row],[DateKey]],tblCalendar[DateKey],tblCalendar[FullDate],"")</f>
        <v>45047</v>
      </c>
      <c r="I176">
        <f>_xlfn.XLOOKUP(tblFinancials[[#This Row],[AccountKey]],tblAccounts[AccountKey],tblAccounts[AccountNumber],"")</f>
        <v>6200</v>
      </c>
      <c r="J176" t="str">
        <f>_xlfn.XLOOKUP(tblFinancials[[#This Row],[AccountKey]],tblAccounts[AccountKey],tblAccounts[AccountName],"")</f>
        <v>Marketing Expense</v>
      </c>
      <c r="K176" s="8" t="str">
        <f>_xlfn.XLOOKUP(tblFinancials[[#This Row],[AccountKey]],tblAccounts[AccountKey],tblAccounts[FinancialStatement],"")</f>
        <v>Income Statement</v>
      </c>
      <c r="L176" s="8" t="str">
        <f>_xlfn.XLOOKUP(tblFinancials[[#This Row],[AccountKey]],tblAccounts[AccountKey],tblAccounts[AccountCategory],"")</f>
        <v>Operating Expense</v>
      </c>
      <c r="M176" s="8" t="str">
        <f>_xlfn.XLOOKUP(tblFinancials[[#This Row],[AccountKey]],tblAccounts[AccountKey],tblAccounts[NormalBalance],"")</f>
        <v>Debit</v>
      </c>
      <c r="N176" s="8" t="str">
        <f>_xlfn.XLOOKUP(tblFinancials[[#This Row],[DepartmentKey]],tblDepartments[DepartmentKey],tblDepartments[DepartmentName],"")</f>
        <v>Sales</v>
      </c>
      <c r="O176" s="8" t="str">
        <f>_xlfn.XLOOKUP(tblFinancials[[#This Row],[BusinessUnitKey]],tblBusinessUnits[BusinessUnitKey],tblBusinessUnits[BusinessUnitName],"")</f>
        <v>E-Commerce</v>
      </c>
      <c r="P176" s="8" t="str">
        <f>_xlfn.XLOOKUP(tblFinancials[[#This Row],[RegionKey]],tblRegions[RegionKey],tblRegions[RegionName],"")</f>
        <v>East</v>
      </c>
    </row>
    <row r="177" spans="1:16">
      <c r="A177">
        <v>20230501</v>
      </c>
      <c r="B177">
        <v>4</v>
      </c>
      <c r="C177">
        <v>1</v>
      </c>
      <c r="D177">
        <v>4</v>
      </c>
      <c r="E177">
        <v>17</v>
      </c>
      <c r="F177" t="s">
        <v>92</v>
      </c>
      <c r="G177">
        <v>-7881.43</v>
      </c>
      <c r="H177">
        <f>_xlfn.XLOOKUP(tblFinancials[[#This Row],[DateKey]],tblCalendar[DateKey],tblCalendar[FullDate],"")</f>
        <v>45047</v>
      </c>
      <c r="I177">
        <f>_xlfn.XLOOKUP(tblFinancials[[#This Row],[AccountKey]],tblAccounts[AccountKey],tblAccounts[AccountNumber],"")</f>
        <v>6120</v>
      </c>
      <c r="J177" t="str">
        <f>_xlfn.XLOOKUP(tblFinancials[[#This Row],[AccountKey]],tblAccounts[AccountKey],tblAccounts[AccountName],"")</f>
        <v>Employee Benefits</v>
      </c>
      <c r="K177" s="8" t="str">
        <f>_xlfn.XLOOKUP(tblFinancials[[#This Row],[AccountKey]],tblAccounts[AccountKey],tblAccounts[FinancialStatement],"")</f>
        <v>Income Statement</v>
      </c>
      <c r="L177" s="8" t="str">
        <f>_xlfn.XLOOKUP(tblFinancials[[#This Row],[AccountKey]],tblAccounts[AccountKey],tblAccounts[AccountCategory],"")</f>
        <v>Operating Expense</v>
      </c>
      <c r="M177" s="8" t="str">
        <f>_xlfn.XLOOKUP(tblFinancials[[#This Row],[AccountKey]],tblAccounts[AccountKey],tblAccounts[NormalBalance],"")</f>
        <v>Debit</v>
      </c>
      <c r="N177" s="8" t="str">
        <f>_xlfn.XLOOKUP(tblFinancials[[#This Row],[DepartmentKey]],tblDepartments[DepartmentKey],tblDepartments[DepartmentName],"")</f>
        <v>Sales</v>
      </c>
      <c r="O177" s="8" t="str">
        <f>_xlfn.XLOOKUP(tblFinancials[[#This Row],[BusinessUnitKey]],tblBusinessUnits[BusinessUnitKey],tblBusinessUnits[BusinessUnitName],"")</f>
        <v xml:space="preserve">Manufacturing </v>
      </c>
      <c r="P177" s="8" t="str">
        <f>_xlfn.XLOOKUP(tblFinancials[[#This Row],[RegionKey]],tblRegions[RegionKey],tblRegions[RegionName],"")</f>
        <v>East</v>
      </c>
    </row>
    <row r="178" spans="1:16">
      <c r="A178">
        <v>20230501</v>
      </c>
      <c r="B178">
        <v>6</v>
      </c>
      <c r="C178">
        <v>4</v>
      </c>
      <c r="D178">
        <v>4</v>
      </c>
      <c r="E178">
        <v>23</v>
      </c>
      <c r="F178" t="s">
        <v>92</v>
      </c>
      <c r="G178">
        <v>-7983.37</v>
      </c>
      <c r="H178">
        <f>_xlfn.XLOOKUP(tblFinancials[[#This Row],[DateKey]],tblCalendar[DateKey],tblCalendar[FullDate],"")</f>
        <v>45047</v>
      </c>
      <c r="I178">
        <f>_xlfn.XLOOKUP(tblFinancials[[#This Row],[AccountKey]],tblAccounts[AccountKey],tblAccounts[AccountNumber],"")</f>
        <v>6800</v>
      </c>
      <c r="J178" t="str">
        <f>_xlfn.XLOOKUP(tblFinancials[[#This Row],[AccountKey]],tblAccounts[AccountKey],tblAccounts[AccountName],"")</f>
        <v>Travel Expense</v>
      </c>
      <c r="K178" s="8" t="str">
        <f>_xlfn.XLOOKUP(tblFinancials[[#This Row],[AccountKey]],tblAccounts[AccountKey],tblAccounts[FinancialStatement],"")</f>
        <v>Income Statement</v>
      </c>
      <c r="L178" s="8" t="str">
        <f>_xlfn.XLOOKUP(tblFinancials[[#This Row],[AccountKey]],tblAccounts[AccountKey],tblAccounts[AccountCategory],"")</f>
        <v>Operating Expense</v>
      </c>
      <c r="M178" s="8" t="str">
        <f>_xlfn.XLOOKUP(tblFinancials[[#This Row],[AccountKey]],tblAccounts[AccountKey],tblAccounts[NormalBalance],"")</f>
        <v>Debit</v>
      </c>
      <c r="N178" s="8" t="str">
        <f>_xlfn.XLOOKUP(tblFinancials[[#This Row],[DepartmentKey]],tblDepartments[DepartmentKey],tblDepartments[DepartmentName],"")</f>
        <v>Operations</v>
      </c>
      <c r="O178" s="8" t="str">
        <f>_xlfn.XLOOKUP(tblFinancials[[#This Row],[BusinessUnitKey]],tblBusinessUnits[BusinessUnitKey],tblBusinessUnits[BusinessUnitName],"")</f>
        <v>E-Commerce</v>
      </c>
      <c r="P178" s="8" t="str">
        <f>_xlfn.XLOOKUP(tblFinancials[[#This Row],[RegionKey]],tblRegions[RegionKey],tblRegions[RegionName],"")</f>
        <v>East</v>
      </c>
    </row>
    <row r="179" spans="1:16">
      <c r="A179">
        <v>20230501</v>
      </c>
      <c r="B179">
        <v>3</v>
      </c>
      <c r="C179">
        <v>4</v>
      </c>
      <c r="D179">
        <v>4</v>
      </c>
      <c r="E179">
        <v>20</v>
      </c>
      <c r="F179" t="s">
        <v>92</v>
      </c>
      <c r="G179">
        <v>-7874.18</v>
      </c>
      <c r="H179">
        <f>_xlfn.XLOOKUP(tblFinancials[[#This Row],[DateKey]],tblCalendar[DateKey],tblCalendar[FullDate],"")</f>
        <v>45047</v>
      </c>
      <c r="I179">
        <f>_xlfn.XLOOKUP(tblFinancials[[#This Row],[AccountKey]],tblAccounts[AccountKey],tblAccounts[AccountNumber],"")</f>
        <v>6500</v>
      </c>
      <c r="J179" t="str">
        <f>_xlfn.XLOOKUP(tblFinancials[[#This Row],[AccountKey]],tblAccounts[AccountKey],tblAccounts[AccountName],"")</f>
        <v>Rent Expense</v>
      </c>
      <c r="K179" s="8" t="str">
        <f>_xlfn.XLOOKUP(tblFinancials[[#This Row],[AccountKey]],tblAccounts[AccountKey],tblAccounts[FinancialStatement],"")</f>
        <v>Income Statement</v>
      </c>
      <c r="L179" s="8" t="str">
        <f>_xlfn.XLOOKUP(tblFinancials[[#This Row],[AccountKey]],tblAccounts[AccountKey],tblAccounts[AccountCategory],"")</f>
        <v>Operating Expense</v>
      </c>
      <c r="M179" s="8" t="str">
        <f>_xlfn.XLOOKUP(tblFinancials[[#This Row],[AccountKey]],tblAccounts[AccountKey],tblAccounts[NormalBalance],"")</f>
        <v>Debit</v>
      </c>
      <c r="N179" s="8" t="str">
        <f>_xlfn.XLOOKUP(tblFinancials[[#This Row],[DepartmentKey]],tblDepartments[DepartmentKey],tblDepartments[DepartmentName],"")</f>
        <v>Human Resources</v>
      </c>
      <c r="O179" s="8" t="str">
        <f>_xlfn.XLOOKUP(tblFinancials[[#This Row],[BusinessUnitKey]],tblBusinessUnits[BusinessUnitKey],tblBusinessUnits[BusinessUnitName],"")</f>
        <v>E-Commerce</v>
      </c>
      <c r="P179" s="8" t="str">
        <f>_xlfn.XLOOKUP(tblFinancials[[#This Row],[RegionKey]],tblRegions[RegionKey],tblRegions[RegionName],"")</f>
        <v>East</v>
      </c>
    </row>
    <row r="180" spans="1:16">
      <c r="A180">
        <v>20230501</v>
      </c>
      <c r="B180">
        <v>7</v>
      </c>
      <c r="C180">
        <v>2</v>
      </c>
      <c r="D180">
        <v>1</v>
      </c>
      <c r="E180">
        <v>20</v>
      </c>
      <c r="F180" t="s">
        <v>92</v>
      </c>
      <c r="G180">
        <v>-6362.25</v>
      </c>
      <c r="H180">
        <f>_xlfn.XLOOKUP(tblFinancials[[#This Row],[DateKey]],tblCalendar[DateKey],tblCalendar[FullDate],"")</f>
        <v>45047</v>
      </c>
      <c r="I180">
        <f>_xlfn.XLOOKUP(tblFinancials[[#This Row],[AccountKey]],tblAccounts[AccountKey],tblAccounts[AccountNumber],"")</f>
        <v>6500</v>
      </c>
      <c r="J180" t="str">
        <f>_xlfn.XLOOKUP(tblFinancials[[#This Row],[AccountKey]],tblAccounts[AccountKey],tblAccounts[AccountName],"")</f>
        <v>Rent Expense</v>
      </c>
      <c r="K180" s="8" t="str">
        <f>_xlfn.XLOOKUP(tblFinancials[[#This Row],[AccountKey]],tblAccounts[AccountKey],tblAccounts[FinancialStatement],"")</f>
        <v>Income Statement</v>
      </c>
      <c r="L180" s="8" t="str">
        <f>_xlfn.XLOOKUP(tblFinancials[[#This Row],[AccountKey]],tblAccounts[AccountKey],tblAccounts[AccountCategory],"")</f>
        <v>Operating Expense</v>
      </c>
      <c r="M180" s="8" t="str">
        <f>_xlfn.XLOOKUP(tblFinancials[[#This Row],[AccountKey]],tblAccounts[AccountKey],tblAccounts[NormalBalance],"")</f>
        <v>Debit</v>
      </c>
      <c r="N180" s="8" t="str">
        <f>_xlfn.XLOOKUP(tblFinancials[[#This Row],[DepartmentKey]],tblDepartments[DepartmentKey],tblDepartments[DepartmentName],"")</f>
        <v>Information Technology</v>
      </c>
      <c r="O180" s="8" t="str">
        <f>_xlfn.XLOOKUP(tblFinancials[[#This Row],[BusinessUnitKey]],tblBusinessUnits[BusinessUnitKey],tblBusinessUnits[BusinessUnitName],"")</f>
        <v>Wholesale</v>
      </c>
      <c r="P180" s="8" t="str">
        <f>_xlfn.XLOOKUP(tblFinancials[[#This Row],[RegionKey]],tblRegions[RegionKey],tblRegions[RegionName],"")</f>
        <v>West</v>
      </c>
    </row>
    <row r="181" spans="1:16">
      <c r="A181">
        <v>20230501</v>
      </c>
      <c r="B181">
        <v>6</v>
      </c>
      <c r="C181">
        <v>4</v>
      </c>
      <c r="D181">
        <v>2</v>
      </c>
      <c r="E181">
        <v>21</v>
      </c>
      <c r="F181" t="s">
        <v>92</v>
      </c>
      <c r="G181">
        <v>-4445.9399999999996</v>
      </c>
      <c r="H181">
        <f>_xlfn.XLOOKUP(tblFinancials[[#This Row],[DateKey]],tblCalendar[DateKey],tblCalendar[FullDate],"")</f>
        <v>45047</v>
      </c>
      <c r="I181">
        <f>_xlfn.XLOOKUP(tblFinancials[[#This Row],[AccountKey]],tblAccounts[AccountKey],tblAccounts[AccountNumber],"")</f>
        <v>6600</v>
      </c>
      <c r="J181" t="str">
        <f>_xlfn.XLOOKUP(tblFinancials[[#This Row],[AccountKey]],tblAccounts[AccountKey],tblAccounts[AccountName],"")</f>
        <v>Utilities Expense</v>
      </c>
      <c r="K181" s="8" t="str">
        <f>_xlfn.XLOOKUP(tblFinancials[[#This Row],[AccountKey]],tblAccounts[AccountKey],tblAccounts[FinancialStatement],"")</f>
        <v>Income Statement</v>
      </c>
      <c r="L181" s="8" t="str">
        <f>_xlfn.XLOOKUP(tblFinancials[[#This Row],[AccountKey]],tblAccounts[AccountKey],tblAccounts[AccountCategory],"")</f>
        <v>Operating Expense</v>
      </c>
      <c r="M181" s="8" t="str">
        <f>_xlfn.XLOOKUP(tblFinancials[[#This Row],[AccountKey]],tblAccounts[AccountKey],tblAccounts[NormalBalance],"")</f>
        <v>Debit</v>
      </c>
      <c r="N181" s="8" t="str">
        <f>_xlfn.XLOOKUP(tblFinancials[[#This Row],[DepartmentKey]],tblDepartments[DepartmentKey],tblDepartments[DepartmentName],"")</f>
        <v>Operations</v>
      </c>
      <c r="O181" s="8" t="str">
        <f>_xlfn.XLOOKUP(tblFinancials[[#This Row],[BusinessUnitKey]],tblBusinessUnits[BusinessUnitKey],tblBusinessUnits[BusinessUnitName],"")</f>
        <v>E-Commerce</v>
      </c>
      <c r="P181" s="8" t="str">
        <f>_xlfn.XLOOKUP(tblFinancials[[#This Row],[RegionKey]],tblRegions[RegionKey],tblRegions[RegionName],"")</f>
        <v>Midwest</v>
      </c>
    </row>
    <row r="182" spans="1:16">
      <c r="A182">
        <v>20230601</v>
      </c>
      <c r="B182">
        <v>8</v>
      </c>
      <c r="C182">
        <v>3</v>
      </c>
      <c r="D182">
        <v>3</v>
      </c>
      <c r="E182">
        <v>12</v>
      </c>
      <c r="F182" t="s">
        <v>92</v>
      </c>
      <c r="G182">
        <v>32224.43</v>
      </c>
      <c r="H182">
        <f>_xlfn.XLOOKUP(tblFinancials[[#This Row],[DateKey]],tblCalendar[DateKey],tblCalendar[FullDate],"")</f>
        <v>45078</v>
      </c>
      <c r="I182">
        <f>_xlfn.XLOOKUP(tblFinancials[[#This Row],[AccountKey]],tblAccounts[AccountKey],tblAccounts[AccountNumber],"")</f>
        <v>4010</v>
      </c>
      <c r="J182" t="str">
        <f>_xlfn.XLOOKUP(tblFinancials[[#This Row],[AccountKey]],tblAccounts[AccountKey],tblAccounts[AccountName],"")</f>
        <v>Service Revenue</v>
      </c>
      <c r="K182" s="8" t="str">
        <f>_xlfn.XLOOKUP(tblFinancials[[#This Row],[AccountKey]],tblAccounts[AccountKey],tblAccounts[FinancialStatement],"")</f>
        <v>Income Statement</v>
      </c>
      <c r="L182" s="8" t="str">
        <f>_xlfn.XLOOKUP(tblFinancials[[#This Row],[AccountKey]],tblAccounts[AccountKey],tblAccounts[AccountCategory],"")</f>
        <v>Revenue</v>
      </c>
      <c r="M182" s="8" t="str">
        <f>_xlfn.XLOOKUP(tblFinancials[[#This Row],[AccountKey]],tblAccounts[AccountKey],tblAccounts[NormalBalance],"")</f>
        <v>Credit</v>
      </c>
      <c r="N182" s="8" t="str">
        <f>_xlfn.XLOOKUP(tblFinancials[[#This Row],[DepartmentKey]],tblDepartments[DepartmentKey],tblDepartments[DepartmentName],"")</f>
        <v>Customer Service</v>
      </c>
      <c r="O182" s="8" t="str">
        <f>_xlfn.XLOOKUP(tblFinancials[[#This Row],[BusinessUnitKey]],tblBusinessUnits[BusinessUnitKey],tblBusinessUnits[BusinessUnitName],"")</f>
        <v>Retail</v>
      </c>
      <c r="P182" s="8" t="str">
        <f>_xlfn.XLOOKUP(tblFinancials[[#This Row],[RegionKey]],tblRegions[RegionKey],tblRegions[RegionName],"")</f>
        <v>South</v>
      </c>
    </row>
    <row r="183" spans="1:16">
      <c r="A183">
        <v>20230601</v>
      </c>
      <c r="B183">
        <v>1</v>
      </c>
      <c r="C183">
        <v>2</v>
      </c>
      <c r="D183">
        <v>2</v>
      </c>
      <c r="E183">
        <v>12</v>
      </c>
      <c r="F183" t="s">
        <v>92</v>
      </c>
      <c r="G183">
        <v>30438.65</v>
      </c>
      <c r="H183">
        <f>_xlfn.XLOOKUP(tblFinancials[[#This Row],[DateKey]],tblCalendar[DateKey],tblCalendar[FullDate],"")</f>
        <v>45078</v>
      </c>
      <c r="I183">
        <f>_xlfn.XLOOKUP(tblFinancials[[#This Row],[AccountKey]],tblAccounts[AccountKey],tblAccounts[AccountNumber],"")</f>
        <v>4010</v>
      </c>
      <c r="J183" t="str">
        <f>_xlfn.XLOOKUP(tblFinancials[[#This Row],[AccountKey]],tblAccounts[AccountKey],tblAccounts[AccountName],"")</f>
        <v>Service Revenue</v>
      </c>
      <c r="K183" s="8" t="str">
        <f>_xlfn.XLOOKUP(tblFinancials[[#This Row],[AccountKey]],tblAccounts[AccountKey],tblAccounts[FinancialStatement],"")</f>
        <v>Income Statement</v>
      </c>
      <c r="L183" s="8" t="str">
        <f>_xlfn.XLOOKUP(tblFinancials[[#This Row],[AccountKey]],tblAccounts[AccountKey],tblAccounts[AccountCategory],"")</f>
        <v>Revenue</v>
      </c>
      <c r="M183" s="8" t="str">
        <f>_xlfn.XLOOKUP(tblFinancials[[#This Row],[AccountKey]],tblAccounts[AccountKey],tblAccounts[NormalBalance],"")</f>
        <v>Credit</v>
      </c>
      <c r="N183" s="8" t="str">
        <f>_xlfn.XLOOKUP(tblFinancials[[#This Row],[DepartmentKey]],tblDepartments[DepartmentKey],tblDepartments[DepartmentName],"")</f>
        <v>Executive</v>
      </c>
      <c r="O183" s="8" t="str">
        <f>_xlfn.XLOOKUP(tblFinancials[[#This Row],[BusinessUnitKey]],tblBusinessUnits[BusinessUnitKey],tblBusinessUnits[BusinessUnitName],"")</f>
        <v>Wholesale</v>
      </c>
      <c r="P183" s="8" t="str">
        <f>_xlfn.XLOOKUP(tblFinancials[[#This Row],[RegionKey]],tblRegions[RegionKey],tblRegions[RegionName],"")</f>
        <v>Midwest</v>
      </c>
    </row>
    <row r="184" spans="1:16">
      <c r="A184">
        <v>20230601</v>
      </c>
      <c r="B184">
        <v>1</v>
      </c>
      <c r="C184">
        <v>4</v>
      </c>
      <c r="D184">
        <v>2</v>
      </c>
      <c r="E184">
        <v>12</v>
      </c>
      <c r="F184" t="s">
        <v>92</v>
      </c>
      <c r="G184">
        <v>32123.61</v>
      </c>
      <c r="H184">
        <f>_xlfn.XLOOKUP(tblFinancials[[#This Row],[DateKey]],tblCalendar[DateKey],tblCalendar[FullDate],"")</f>
        <v>45078</v>
      </c>
      <c r="I184">
        <f>_xlfn.XLOOKUP(tblFinancials[[#This Row],[AccountKey]],tblAccounts[AccountKey],tblAccounts[AccountNumber],"")</f>
        <v>4010</v>
      </c>
      <c r="J184" t="str">
        <f>_xlfn.XLOOKUP(tblFinancials[[#This Row],[AccountKey]],tblAccounts[AccountKey],tblAccounts[AccountName],"")</f>
        <v>Service Revenue</v>
      </c>
      <c r="K184" s="8" t="str">
        <f>_xlfn.XLOOKUP(tblFinancials[[#This Row],[AccountKey]],tblAccounts[AccountKey],tblAccounts[FinancialStatement],"")</f>
        <v>Income Statement</v>
      </c>
      <c r="L184" s="8" t="str">
        <f>_xlfn.XLOOKUP(tblFinancials[[#This Row],[AccountKey]],tblAccounts[AccountKey],tblAccounts[AccountCategory],"")</f>
        <v>Revenue</v>
      </c>
      <c r="M184" s="8" t="str">
        <f>_xlfn.XLOOKUP(tblFinancials[[#This Row],[AccountKey]],tblAccounts[AccountKey],tblAccounts[NormalBalance],"")</f>
        <v>Credit</v>
      </c>
      <c r="N184" s="8" t="str">
        <f>_xlfn.XLOOKUP(tblFinancials[[#This Row],[DepartmentKey]],tblDepartments[DepartmentKey],tblDepartments[DepartmentName],"")</f>
        <v>Executive</v>
      </c>
      <c r="O184" s="8" t="str">
        <f>_xlfn.XLOOKUP(tblFinancials[[#This Row],[BusinessUnitKey]],tblBusinessUnits[BusinessUnitKey],tblBusinessUnits[BusinessUnitName],"")</f>
        <v>E-Commerce</v>
      </c>
      <c r="P184" s="8" t="str">
        <f>_xlfn.XLOOKUP(tblFinancials[[#This Row],[RegionKey]],tblRegions[RegionKey],tblRegions[RegionName],"")</f>
        <v>Midwest</v>
      </c>
    </row>
    <row r="185" spans="1:16">
      <c r="A185">
        <v>20230601</v>
      </c>
      <c r="B185">
        <v>7</v>
      </c>
      <c r="C185">
        <v>3</v>
      </c>
      <c r="D185">
        <v>1</v>
      </c>
      <c r="E185">
        <v>13</v>
      </c>
      <c r="F185" t="s">
        <v>92</v>
      </c>
      <c r="G185">
        <v>30136.45</v>
      </c>
      <c r="H185">
        <f>_xlfn.XLOOKUP(tblFinancials[[#This Row],[DateKey]],tblCalendar[DateKey],tblCalendar[FullDate],"")</f>
        <v>45078</v>
      </c>
      <c r="I185">
        <f>_xlfn.XLOOKUP(tblFinancials[[#This Row],[AccountKey]],tblAccounts[AccountKey],tblAccounts[AccountNumber],"")</f>
        <v>4020</v>
      </c>
      <c r="J185" t="str">
        <f>_xlfn.XLOOKUP(tblFinancials[[#This Row],[AccountKey]],tblAccounts[AccountKey],tblAccounts[AccountName],"")</f>
        <v>Online Revenue</v>
      </c>
      <c r="K185" s="8" t="str">
        <f>_xlfn.XLOOKUP(tblFinancials[[#This Row],[AccountKey]],tblAccounts[AccountKey],tblAccounts[FinancialStatement],"")</f>
        <v>Income Statement</v>
      </c>
      <c r="L185" s="8" t="str">
        <f>_xlfn.XLOOKUP(tblFinancials[[#This Row],[AccountKey]],tblAccounts[AccountKey],tblAccounts[AccountCategory],"")</f>
        <v>Revenue</v>
      </c>
      <c r="M185" s="8" t="str">
        <f>_xlfn.XLOOKUP(tblFinancials[[#This Row],[AccountKey]],tblAccounts[AccountKey],tblAccounts[NormalBalance],"")</f>
        <v>Credit</v>
      </c>
      <c r="N185" s="8" t="str">
        <f>_xlfn.XLOOKUP(tblFinancials[[#This Row],[DepartmentKey]],tblDepartments[DepartmentKey],tblDepartments[DepartmentName],"")</f>
        <v>Information Technology</v>
      </c>
      <c r="O185" s="8" t="str">
        <f>_xlfn.XLOOKUP(tblFinancials[[#This Row],[BusinessUnitKey]],tblBusinessUnits[BusinessUnitKey],tblBusinessUnits[BusinessUnitName],"")</f>
        <v>Retail</v>
      </c>
      <c r="P185" s="8" t="str">
        <f>_xlfn.XLOOKUP(tblFinancials[[#This Row],[RegionKey]],tblRegions[RegionKey],tblRegions[RegionName],"")</f>
        <v>West</v>
      </c>
    </row>
    <row r="186" spans="1:16">
      <c r="A186">
        <v>20230601</v>
      </c>
      <c r="B186">
        <v>6</v>
      </c>
      <c r="C186">
        <v>3</v>
      </c>
      <c r="D186">
        <v>1</v>
      </c>
      <c r="E186">
        <v>13</v>
      </c>
      <c r="F186" t="s">
        <v>92</v>
      </c>
      <c r="G186">
        <v>29873.61</v>
      </c>
      <c r="H186">
        <f>_xlfn.XLOOKUP(tblFinancials[[#This Row],[DateKey]],tblCalendar[DateKey],tblCalendar[FullDate],"")</f>
        <v>45078</v>
      </c>
      <c r="I186">
        <f>_xlfn.XLOOKUP(tblFinancials[[#This Row],[AccountKey]],tblAccounts[AccountKey],tblAccounts[AccountNumber],"")</f>
        <v>4020</v>
      </c>
      <c r="J186" t="str">
        <f>_xlfn.XLOOKUP(tblFinancials[[#This Row],[AccountKey]],tblAccounts[AccountKey],tblAccounts[AccountName],"")</f>
        <v>Online Revenue</v>
      </c>
      <c r="K186" s="8" t="str">
        <f>_xlfn.XLOOKUP(tblFinancials[[#This Row],[AccountKey]],tblAccounts[AccountKey],tblAccounts[FinancialStatement],"")</f>
        <v>Income Statement</v>
      </c>
      <c r="L186" s="8" t="str">
        <f>_xlfn.XLOOKUP(tblFinancials[[#This Row],[AccountKey]],tblAccounts[AccountKey],tblAccounts[AccountCategory],"")</f>
        <v>Revenue</v>
      </c>
      <c r="M186" s="8" t="str">
        <f>_xlfn.XLOOKUP(tblFinancials[[#This Row],[AccountKey]],tblAccounts[AccountKey],tblAccounts[NormalBalance],"")</f>
        <v>Credit</v>
      </c>
      <c r="N186" s="8" t="str">
        <f>_xlfn.XLOOKUP(tblFinancials[[#This Row],[DepartmentKey]],tblDepartments[DepartmentKey],tblDepartments[DepartmentName],"")</f>
        <v>Operations</v>
      </c>
      <c r="O186" s="8" t="str">
        <f>_xlfn.XLOOKUP(tblFinancials[[#This Row],[BusinessUnitKey]],tblBusinessUnits[BusinessUnitKey],tblBusinessUnits[BusinessUnitName],"")</f>
        <v>Retail</v>
      </c>
      <c r="P186" s="8" t="str">
        <f>_xlfn.XLOOKUP(tblFinancials[[#This Row],[RegionKey]],tblRegions[RegionKey],tblRegions[RegionName],"")</f>
        <v>West</v>
      </c>
    </row>
    <row r="187" spans="1:16">
      <c r="A187">
        <v>20230601</v>
      </c>
      <c r="B187">
        <v>1</v>
      </c>
      <c r="C187">
        <v>1</v>
      </c>
      <c r="D187">
        <v>4</v>
      </c>
      <c r="E187">
        <v>12</v>
      </c>
      <c r="F187" t="s">
        <v>92</v>
      </c>
      <c r="G187">
        <v>31831.119999999999</v>
      </c>
      <c r="H187">
        <f>_xlfn.XLOOKUP(tblFinancials[[#This Row],[DateKey]],tblCalendar[DateKey],tblCalendar[FullDate],"")</f>
        <v>45078</v>
      </c>
      <c r="I187">
        <f>_xlfn.XLOOKUP(tblFinancials[[#This Row],[AccountKey]],tblAccounts[AccountKey],tblAccounts[AccountNumber],"")</f>
        <v>4010</v>
      </c>
      <c r="J187" t="str">
        <f>_xlfn.XLOOKUP(tblFinancials[[#This Row],[AccountKey]],tblAccounts[AccountKey],tblAccounts[AccountName],"")</f>
        <v>Service Revenue</v>
      </c>
      <c r="K187" s="8" t="str">
        <f>_xlfn.XLOOKUP(tblFinancials[[#This Row],[AccountKey]],tblAccounts[AccountKey],tblAccounts[FinancialStatement],"")</f>
        <v>Income Statement</v>
      </c>
      <c r="L187" s="8" t="str">
        <f>_xlfn.XLOOKUP(tblFinancials[[#This Row],[AccountKey]],tblAccounts[AccountKey],tblAccounts[AccountCategory],"")</f>
        <v>Revenue</v>
      </c>
      <c r="M187" s="8" t="str">
        <f>_xlfn.XLOOKUP(tblFinancials[[#This Row],[AccountKey]],tblAccounts[AccountKey],tblAccounts[NormalBalance],"")</f>
        <v>Credit</v>
      </c>
      <c r="N187" s="8" t="str">
        <f>_xlfn.XLOOKUP(tblFinancials[[#This Row],[DepartmentKey]],tblDepartments[DepartmentKey],tblDepartments[DepartmentName],"")</f>
        <v>Executive</v>
      </c>
      <c r="O187" s="8" t="str">
        <f>_xlfn.XLOOKUP(tblFinancials[[#This Row],[BusinessUnitKey]],tblBusinessUnits[BusinessUnitKey],tblBusinessUnits[BusinessUnitName],"")</f>
        <v xml:space="preserve">Manufacturing </v>
      </c>
      <c r="P187" s="8" t="str">
        <f>_xlfn.XLOOKUP(tblFinancials[[#This Row],[RegionKey]],tblRegions[RegionKey],tblRegions[RegionName],"")</f>
        <v>East</v>
      </c>
    </row>
    <row r="188" spans="1:16">
      <c r="A188">
        <v>20230601</v>
      </c>
      <c r="B188">
        <v>7</v>
      </c>
      <c r="C188">
        <v>2</v>
      </c>
      <c r="D188">
        <v>1</v>
      </c>
      <c r="E188">
        <v>12</v>
      </c>
      <c r="F188" t="s">
        <v>92</v>
      </c>
      <c r="G188">
        <v>32189.05</v>
      </c>
      <c r="H188">
        <f>_xlfn.XLOOKUP(tblFinancials[[#This Row],[DateKey]],tblCalendar[DateKey],tblCalendar[FullDate],"")</f>
        <v>45078</v>
      </c>
      <c r="I188">
        <f>_xlfn.XLOOKUP(tblFinancials[[#This Row],[AccountKey]],tblAccounts[AccountKey],tblAccounts[AccountNumber],"")</f>
        <v>4010</v>
      </c>
      <c r="J188" t="str">
        <f>_xlfn.XLOOKUP(tblFinancials[[#This Row],[AccountKey]],tblAccounts[AccountKey],tblAccounts[AccountName],"")</f>
        <v>Service Revenue</v>
      </c>
      <c r="K188" s="8" t="str">
        <f>_xlfn.XLOOKUP(tblFinancials[[#This Row],[AccountKey]],tblAccounts[AccountKey],tblAccounts[FinancialStatement],"")</f>
        <v>Income Statement</v>
      </c>
      <c r="L188" s="8" t="str">
        <f>_xlfn.XLOOKUP(tblFinancials[[#This Row],[AccountKey]],tblAccounts[AccountKey],tblAccounts[AccountCategory],"")</f>
        <v>Revenue</v>
      </c>
      <c r="M188" s="8" t="str">
        <f>_xlfn.XLOOKUP(tblFinancials[[#This Row],[AccountKey]],tblAccounts[AccountKey],tblAccounts[NormalBalance],"")</f>
        <v>Credit</v>
      </c>
      <c r="N188" s="8" t="str">
        <f>_xlfn.XLOOKUP(tblFinancials[[#This Row],[DepartmentKey]],tblDepartments[DepartmentKey],tblDepartments[DepartmentName],"")</f>
        <v>Information Technology</v>
      </c>
      <c r="O188" s="8" t="str">
        <f>_xlfn.XLOOKUP(tblFinancials[[#This Row],[BusinessUnitKey]],tblBusinessUnits[BusinessUnitKey],tblBusinessUnits[BusinessUnitName],"")</f>
        <v>Wholesale</v>
      </c>
      <c r="P188" s="8" t="str">
        <f>_xlfn.XLOOKUP(tblFinancials[[#This Row],[RegionKey]],tblRegions[RegionKey],tblRegions[RegionName],"")</f>
        <v>West</v>
      </c>
    </row>
    <row r="189" spans="1:16">
      <c r="A189">
        <v>20230601</v>
      </c>
      <c r="B189">
        <v>2</v>
      </c>
      <c r="C189">
        <v>3</v>
      </c>
      <c r="D189">
        <v>1</v>
      </c>
      <c r="E189">
        <v>13</v>
      </c>
      <c r="F189" t="s">
        <v>92</v>
      </c>
      <c r="G189">
        <v>30549.97</v>
      </c>
      <c r="H189">
        <f>_xlfn.XLOOKUP(tblFinancials[[#This Row],[DateKey]],tblCalendar[DateKey],tblCalendar[FullDate],"")</f>
        <v>45078</v>
      </c>
      <c r="I189">
        <f>_xlfn.XLOOKUP(tblFinancials[[#This Row],[AccountKey]],tblAccounts[AccountKey],tblAccounts[AccountNumber],"")</f>
        <v>4020</v>
      </c>
      <c r="J189" t="str">
        <f>_xlfn.XLOOKUP(tblFinancials[[#This Row],[AccountKey]],tblAccounts[AccountKey],tblAccounts[AccountName],"")</f>
        <v>Online Revenue</v>
      </c>
      <c r="K189" s="8" t="str">
        <f>_xlfn.XLOOKUP(tblFinancials[[#This Row],[AccountKey]],tblAccounts[AccountKey],tblAccounts[FinancialStatement],"")</f>
        <v>Income Statement</v>
      </c>
      <c r="L189" s="8" t="str">
        <f>_xlfn.XLOOKUP(tblFinancials[[#This Row],[AccountKey]],tblAccounts[AccountKey],tblAccounts[AccountCategory],"")</f>
        <v>Revenue</v>
      </c>
      <c r="M189" s="8" t="str">
        <f>_xlfn.XLOOKUP(tblFinancials[[#This Row],[AccountKey]],tblAccounts[AccountKey],tblAccounts[NormalBalance],"")</f>
        <v>Credit</v>
      </c>
      <c r="N189" s="8" t="str">
        <f>_xlfn.XLOOKUP(tblFinancials[[#This Row],[DepartmentKey]],tblDepartments[DepartmentKey],tblDepartments[DepartmentName],"")</f>
        <v>Finance</v>
      </c>
      <c r="O189" s="8" t="str">
        <f>_xlfn.XLOOKUP(tblFinancials[[#This Row],[BusinessUnitKey]],tblBusinessUnits[BusinessUnitKey],tblBusinessUnits[BusinessUnitName],"")</f>
        <v>Retail</v>
      </c>
      <c r="P189" s="8" t="str">
        <f>_xlfn.XLOOKUP(tblFinancials[[#This Row],[RegionKey]],tblRegions[RegionKey],tblRegions[RegionName],"")</f>
        <v>West</v>
      </c>
    </row>
    <row r="190" spans="1:16">
      <c r="A190">
        <v>20230601</v>
      </c>
      <c r="B190">
        <v>3</v>
      </c>
      <c r="C190">
        <v>4</v>
      </c>
      <c r="D190">
        <v>2</v>
      </c>
      <c r="E190">
        <v>13</v>
      </c>
      <c r="F190" t="s">
        <v>92</v>
      </c>
      <c r="G190">
        <v>30589.71</v>
      </c>
      <c r="H190">
        <f>_xlfn.XLOOKUP(tblFinancials[[#This Row],[DateKey]],tblCalendar[DateKey],tblCalendar[FullDate],"")</f>
        <v>45078</v>
      </c>
      <c r="I190">
        <f>_xlfn.XLOOKUP(tblFinancials[[#This Row],[AccountKey]],tblAccounts[AccountKey],tblAccounts[AccountNumber],"")</f>
        <v>4020</v>
      </c>
      <c r="J190" t="str">
        <f>_xlfn.XLOOKUP(tblFinancials[[#This Row],[AccountKey]],tblAccounts[AccountKey],tblAccounts[AccountName],"")</f>
        <v>Online Revenue</v>
      </c>
      <c r="K190" s="8" t="str">
        <f>_xlfn.XLOOKUP(tblFinancials[[#This Row],[AccountKey]],tblAccounts[AccountKey],tblAccounts[FinancialStatement],"")</f>
        <v>Income Statement</v>
      </c>
      <c r="L190" s="8" t="str">
        <f>_xlfn.XLOOKUP(tblFinancials[[#This Row],[AccountKey]],tblAccounts[AccountKey],tblAccounts[AccountCategory],"")</f>
        <v>Revenue</v>
      </c>
      <c r="M190" s="8" t="str">
        <f>_xlfn.XLOOKUP(tblFinancials[[#This Row],[AccountKey]],tblAccounts[AccountKey],tblAccounts[NormalBalance],"")</f>
        <v>Credit</v>
      </c>
      <c r="N190" s="8" t="str">
        <f>_xlfn.XLOOKUP(tblFinancials[[#This Row],[DepartmentKey]],tblDepartments[DepartmentKey],tblDepartments[DepartmentName],"")</f>
        <v>Human Resources</v>
      </c>
      <c r="O190" s="8" t="str">
        <f>_xlfn.XLOOKUP(tblFinancials[[#This Row],[BusinessUnitKey]],tblBusinessUnits[BusinessUnitKey],tblBusinessUnits[BusinessUnitName],"")</f>
        <v>E-Commerce</v>
      </c>
      <c r="P190" s="8" t="str">
        <f>_xlfn.XLOOKUP(tblFinancials[[#This Row],[RegionKey]],tblRegions[RegionKey],tblRegions[RegionName],"")</f>
        <v>Midwest</v>
      </c>
    </row>
    <row r="191" spans="1:16">
      <c r="A191">
        <v>20230601</v>
      </c>
      <c r="B191">
        <v>1</v>
      </c>
      <c r="C191">
        <v>1</v>
      </c>
      <c r="D191">
        <v>2</v>
      </c>
      <c r="E191">
        <v>11</v>
      </c>
      <c r="F191" t="s">
        <v>92</v>
      </c>
      <c r="G191">
        <v>32227.93</v>
      </c>
      <c r="H191">
        <f>_xlfn.XLOOKUP(tblFinancials[[#This Row],[DateKey]],tblCalendar[DateKey],tblCalendar[FullDate],"")</f>
        <v>45078</v>
      </c>
      <c r="I191">
        <f>_xlfn.XLOOKUP(tblFinancials[[#This Row],[AccountKey]],tblAccounts[AccountKey],tblAccounts[AccountNumber],"")</f>
        <v>4000</v>
      </c>
      <c r="J191" t="str">
        <f>_xlfn.XLOOKUP(tblFinancials[[#This Row],[AccountKey]],tblAccounts[AccountKey],tblAccounts[AccountName],"")</f>
        <v>Product Revenue</v>
      </c>
      <c r="K191" s="8" t="str">
        <f>_xlfn.XLOOKUP(tblFinancials[[#This Row],[AccountKey]],tblAccounts[AccountKey],tblAccounts[FinancialStatement],"")</f>
        <v>Income Statement</v>
      </c>
      <c r="L191" s="8" t="str">
        <f>_xlfn.XLOOKUP(tblFinancials[[#This Row],[AccountKey]],tblAccounts[AccountKey],tblAccounts[AccountCategory],"")</f>
        <v>Revenue</v>
      </c>
      <c r="M191" s="8" t="str">
        <f>_xlfn.XLOOKUP(tblFinancials[[#This Row],[AccountKey]],tblAccounts[AccountKey],tblAccounts[NormalBalance],"")</f>
        <v>Credit</v>
      </c>
      <c r="N191" s="8" t="str">
        <f>_xlfn.XLOOKUP(tblFinancials[[#This Row],[DepartmentKey]],tblDepartments[DepartmentKey],tblDepartments[DepartmentName],"")</f>
        <v>Executive</v>
      </c>
      <c r="O191" s="8" t="str">
        <f>_xlfn.XLOOKUP(tblFinancials[[#This Row],[BusinessUnitKey]],tblBusinessUnits[BusinessUnitKey],tblBusinessUnits[BusinessUnitName],"")</f>
        <v xml:space="preserve">Manufacturing </v>
      </c>
      <c r="P191" s="8" t="str">
        <f>_xlfn.XLOOKUP(tblFinancials[[#This Row],[RegionKey]],tblRegions[RegionKey],tblRegions[RegionName],"")</f>
        <v>Midwest</v>
      </c>
    </row>
    <row r="192" spans="1:16">
      <c r="A192">
        <v>20230601</v>
      </c>
      <c r="B192">
        <v>1</v>
      </c>
      <c r="C192">
        <v>4</v>
      </c>
      <c r="D192">
        <v>1</v>
      </c>
      <c r="E192">
        <v>13</v>
      </c>
      <c r="F192" t="s">
        <v>92</v>
      </c>
      <c r="G192">
        <v>31691.8</v>
      </c>
      <c r="H192">
        <f>_xlfn.XLOOKUP(tblFinancials[[#This Row],[DateKey]],tblCalendar[DateKey],tblCalendar[FullDate],"")</f>
        <v>45078</v>
      </c>
      <c r="I192">
        <f>_xlfn.XLOOKUP(tblFinancials[[#This Row],[AccountKey]],tblAccounts[AccountKey],tblAccounts[AccountNumber],"")</f>
        <v>4020</v>
      </c>
      <c r="J192" t="str">
        <f>_xlfn.XLOOKUP(tblFinancials[[#This Row],[AccountKey]],tblAccounts[AccountKey],tblAccounts[AccountName],"")</f>
        <v>Online Revenue</v>
      </c>
      <c r="K192" s="8" t="str">
        <f>_xlfn.XLOOKUP(tblFinancials[[#This Row],[AccountKey]],tblAccounts[AccountKey],tblAccounts[FinancialStatement],"")</f>
        <v>Income Statement</v>
      </c>
      <c r="L192" s="8" t="str">
        <f>_xlfn.XLOOKUP(tblFinancials[[#This Row],[AccountKey]],tblAccounts[AccountKey],tblAccounts[AccountCategory],"")</f>
        <v>Revenue</v>
      </c>
      <c r="M192" s="8" t="str">
        <f>_xlfn.XLOOKUP(tblFinancials[[#This Row],[AccountKey]],tblAccounts[AccountKey],tblAccounts[NormalBalance],"")</f>
        <v>Credit</v>
      </c>
      <c r="N192" s="8" t="str">
        <f>_xlfn.XLOOKUP(tblFinancials[[#This Row],[DepartmentKey]],tblDepartments[DepartmentKey],tblDepartments[DepartmentName],"")</f>
        <v>Executive</v>
      </c>
      <c r="O192" s="8" t="str">
        <f>_xlfn.XLOOKUP(tblFinancials[[#This Row],[BusinessUnitKey]],tblBusinessUnits[BusinessUnitKey],tblBusinessUnits[BusinessUnitName],"")</f>
        <v>E-Commerce</v>
      </c>
      <c r="P192" s="8" t="str">
        <f>_xlfn.XLOOKUP(tblFinancials[[#This Row],[RegionKey]],tblRegions[RegionKey],tblRegions[RegionName],"")</f>
        <v>West</v>
      </c>
    </row>
    <row r="193" spans="1:16">
      <c r="A193">
        <v>20230601</v>
      </c>
      <c r="B193">
        <v>7</v>
      </c>
      <c r="C193">
        <v>4</v>
      </c>
      <c r="D193">
        <v>1</v>
      </c>
      <c r="E193">
        <v>12</v>
      </c>
      <c r="F193" t="s">
        <v>92</v>
      </c>
      <c r="G193">
        <v>28689.05</v>
      </c>
      <c r="H193">
        <f>_xlfn.XLOOKUP(tblFinancials[[#This Row],[DateKey]],tblCalendar[DateKey],tblCalendar[FullDate],"")</f>
        <v>45078</v>
      </c>
      <c r="I193">
        <f>_xlfn.XLOOKUP(tblFinancials[[#This Row],[AccountKey]],tblAccounts[AccountKey],tblAccounts[AccountNumber],"")</f>
        <v>4010</v>
      </c>
      <c r="J193" t="str">
        <f>_xlfn.XLOOKUP(tblFinancials[[#This Row],[AccountKey]],tblAccounts[AccountKey],tblAccounts[AccountName],"")</f>
        <v>Service Revenue</v>
      </c>
      <c r="K193" s="8" t="str">
        <f>_xlfn.XLOOKUP(tblFinancials[[#This Row],[AccountKey]],tblAccounts[AccountKey],tblAccounts[FinancialStatement],"")</f>
        <v>Income Statement</v>
      </c>
      <c r="L193" s="8" t="str">
        <f>_xlfn.XLOOKUP(tblFinancials[[#This Row],[AccountKey]],tblAccounts[AccountKey],tblAccounts[AccountCategory],"")</f>
        <v>Revenue</v>
      </c>
      <c r="M193" s="8" t="str">
        <f>_xlfn.XLOOKUP(tblFinancials[[#This Row],[AccountKey]],tblAccounts[AccountKey],tblAccounts[NormalBalance],"")</f>
        <v>Credit</v>
      </c>
      <c r="N193" s="8" t="str">
        <f>_xlfn.XLOOKUP(tblFinancials[[#This Row],[DepartmentKey]],tblDepartments[DepartmentKey],tblDepartments[DepartmentName],"")</f>
        <v>Information Technology</v>
      </c>
      <c r="O193" s="8" t="str">
        <f>_xlfn.XLOOKUP(tblFinancials[[#This Row],[BusinessUnitKey]],tblBusinessUnits[BusinessUnitKey],tblBusinessUnits[BusinessUnitName],"")</f>
        <v>E-Commerce</v>
      </c>
      <c r="P193" s="8" t="str">
        <f>_xlfn.XLOOKUP(tblFinancials[[#This Row],[RegionKey]],tblRegions[RegionKey],tblRegions[RegionName],"")</f>
        <v>West</v>
      </c>
    </row>
    <row r="194" spans="1:16">
      <c r="A194">
        <v>20230601</v>
      </c>
      <c r="B194">
        <v>2</v>
      </c>
      <c r="C194">
        <v>2</v>
      </c>
      <c r="D194">
        <v>1</v>
      </c>
      <c r="E194">
        <v>14</v>
      </c>
      <c r="F194" t="s">
        <v>92</v>
      </c>
      <c r="G194">
        <v>-17299.580000000002</v>
      </c>
      <c r="H194">
        <f>_xlfn.XLOOKUP(tblFinancials[[#This Row],[DateKey]],tblCalendar[DateKey],tblCalendar[FullDate],"")</f>
        <v>45078</v>
      </c>
      <c r="I194">
        <f>_xlfn.XLOOKUP(tblFinancials[[#This Row],[AccountKey]],tblAccounts[AccountKey],tblAccounts[AccountNumber],"")</f>
        <v>5000</v>
      </c>
      <c r="J194" t="str">
        <f>_xlfn.XLOOKUP(tblFinancials[[#This Row],[AccountKey]],tblAccounts[AccountKey],tblAccounts[AccountName],"")</f>
        <v>Cost of Goods Sold</v>
      </c>
      <c r="K194" s="8" t="str">
        <f>_xlfn.XLOOKUP(tblFinancials[[#This Row],[AccountKey]],tblAccounts[AccountKey],tblAccounts[FinancialStatement],"")</f>
        <v>Income Statement</v>
      </c>
      <c r="L194" s="8" t="str">
        <f>_xlfn.XLOOKUP(tblFinancials[[#This Row],[AccountKey]],tblAccounts[AccountKey],tblAccounts[AccountCategory],"")</f>
        <v>Cost of Sales</v>
      </c>
      <c r="M194" s="8" t="str">
        <f>_xlfn.XLOOKUP(tblFinancials[[#This Row],[AccountKey]],tblAccounts[AccountKey],tblAccounts[NormalBalance],"")</f>
        <v>Debit</v>
      </c>
      <c r="N194" s="8" t="str">
        <f>_xlfn.XLOOKUP(tblFinancials[[#This Row],[DepartmentKey]],tblDepartments[DepartmentKey],tblDepartments[DepartmentName],"")</f>
        <v>Finance</v>
      </c>
      <c r="O194" s="8" t="str">
        <f>_xlfn.XLOOKUP(tblFinancials[[#This Row],[BusinessUnitKey]],tblBusinessUnits[BusinessUnitKey],tblBusinessUnits[BusinessUnitName],"")</f>
        <v>Wholesale</v>
      </c>
      <c r="P194" s="8" t="str">
        <f>_xlfn.XLOOKUP(tblFinancials[[#This Row],[RegionKey]],tblRegions[RegionKey],tblRegions[RegionName],"")</f>
        <v>West</v>
      </c>
    </row>
    <row r="195" spans="1:16">
      <c r="A195">
        <v>20230601</v>
      </c>
      <c r="B195">
        <v>5</v>
      </c>
      <c r="C195">
        <v>2</v>
      </c>
      <c r="D195">
        <v>4</v>
      </c>
      <c r="E195">
        <v>14</v>
      </c>
      <c r="F195" t="s">
        <v>92</v>
      </c>
      <c r="G195">
        <v>-18890.41</v>
      </c>
      <c r="H195">
        <f>_xlfn.XLOOKUP(tblFinancials[[#This Row],[DateKey]],tblCalendar[DateKey],tblCalendar[FullDate],"")</f>
        <v>45078</v>
      </c>
      <c r="I195">
        <f>_xlfn.XLOOKUP(tblFinancials[[#This Row],[AccountKey]],tblAccounts[AccountKey],tblAccounts[AccountNumber],"")</f>
        <v>5000</v>
      </c>
      <c r="J195" t="str">
        <f>_xlfn.XLOOKUP(tblFinancials[[#This Row],[AccountKey]],tblAccounts[AccountKey],tblAccounts[AccountName],"")</f>
        <v>Cost of Goods Sold</v>
      </c>
      <c r="K195" s="8" t="str">
        <f>_xlfn.XLOOKUP(tblFinancials[[#This Row],[AccountKey]],tblAccounts[AccountKey],tblAccounts[FinancialStatement],"")</f>
        <v>Income Statement</v>
      </c>
      <c r="L195" s="8" t="str">
        <f>_xlfn.XLOOKUP(tblFinancials[[#This Row],[AccountKey]],tblAccounts[AccountKey],tblAccounts[AccountCategory],"")</f>
        <v>Cost of Sales</v>
      </c>
      <c r="M195" s="8" t="str">
        <f>_xlfn.XLOOKUP(tblFinancials[[#This Row],[AccountKey]],tblAccounts[AccountKey],tblAccounts[NormalBalance],"")</f>
        <v>Debit</v>
      </c>
      <c r="N195" s="8" t="str">
        <f>_xlfn.XLOOKUP(tblFinancials[[#This Row],[DepartmentKey]],tblDepartments[DepartmentKey],tblDepartments[DepartmentName],"")</f>
        <v>Marketing</v>
      </c>
      <c r="O195" s="8" t="str">
        <f>_xlfn.XLOOKUP(tblFinancials[[#This Row],[BusinessUnitKey]],tblBusinessUnits[BusinessUnitKey],tblBusinessUnits[BusinessUnitName],"")</f>
        <v>Wholesale</v>
      </c>
      <c r="P195" s="8" t="str">
        <f>_xlfn.XLOOKUP(tblFinancials[[#This Row],[RegionKey]],tblRegions[RegionKey],tblRegions[RegionName],"")</f>
        <v>East</v>
      </c>
    </row>
    <row r="196" spans="1:16">
      <c r="A196">
        <v>20230601</v>
      </c>
      <c r="B196">
        <v>8</v>
      </c>
      <c r="C196">
        <v>2</v>
      </c>
      <c r="D196">
        <v>3</v>
      </c>
      <c r="E196">
        <v>14</v>
      </c>
      <c r="F196" t="s">
        <v>92</v>
      </c>
      <c r="G196">
        <v>-17794.169999999998</v>
      </c>
      <c r="H196">
        <f>_xlfn.XLOOKUP(tblFinancials[[#This Row],[DateKey]],tblCalendar[DateKey],tblCalendar[FullDate],"")</f>
        <v>45078</v>
      </c>
      <c r="I196">
        <f>_xlfn.XLOOKUP(tblFinancials[[#This Row],[AccountKey]],tblAccounts[AccountKey],tblAccounts[AccountNumber],"")</f>
        <v>5000</v>
      </c>
      <c r="J196" t="str">
        <f>_xlfn.XLOOKUP(tblFinancials[[#This Row],[AccountKey]],tblAccounts[AccountKey],tblAccounts[AccountName],"")</f>
        <v>Cost of Goods Sold</v>
      </c>
      <c r="K196" s="8" t="str">
        <f>_xlfn.XLOOKUP(tblFinancials[[#This Row],[AccountKey]],tblAccounts[AccountKey],tblAccounts[FinancialStatement],"")</f>
        <v>Income Statement</v>
      </c>
      <c r="L196" s="8" t="str">
        <f>_xlfn.XLOOKUP(tblFinancials[[#This Row],[AccountKey]],tblAccounts[AccountKey],tblAccounts[AccountCategory],"")</f>
        <v>Cost of Sales</v>
      </c>
      <c r="M196" s="8" t="str">
        <f>_xlfn.XLOOKUP(tblFinancials[[#This Row],[AccountKey]],tblAccounts[AccountKey],tblAccounts[NormalBalance],"")</f>
        <v>Debit</v>
      </c>
      <c r="N196" s="8" t="str">
        <f>_xlfn.XLOOKUP(tblFinancials[[#This Row],[DepartmentKey]],tblDepartments[DepartmentKey],tblDepartments[DepartmentName],"")</f>
        <v>Customer Service</v>
      </c>
      <c r="O196" s="8" t="str">
        <f>_xlfn.XLOOKUP(tblFinancials[[#This Row],[BusinessUnitKey]],tblBusinessUnits[BusinessUnitKey],tblBusinessUnits[BusinessUnitName],"")</f>
        <v>Wholesale</v>
      </c>
      <c r="P196" s="8" t="str">
        <f>_xlfn.XLOOKUP(tblFinancials[[#This Row],[RegionKey]],tblRegions[RegionKey],tblRegions[RegionName],"")</f>
        <v>South</v>
      </c>
    </row>
    <row r="197" spans="1:16">
      <c r="A197">
        <v>20230601</v>
      </c>
      <c r="B197">
        <v>2</v>
      </c>
      <c r="C197">
        <v>2</v>
      </c>
      <c r="D197">
        <v>4</v>
      </c>
      <c r="E197">
        <v>14</v>
      </c>
      <c r="F197" t="s">
        <v>92</v>
      </c>
      <c r="G197">
        <v>-16997.97</v>
      </c>
      <c r="H197">
        <f>_xlfn.XLOOKUP(tblFinancials[[#This Row],[DateKey]],tblCalendar[DateKey],tblCalendar[FullDate],"")</f>
        <v>45078</v>
      </c>
      <c r="I197">
        <f>_xlfn.XLOOKUP(tblFinancials[[#This Row],[AccountKey]],tblAccounts[AccountKey],tblAccounts[AccountNumber],"")</f>
        <v>5000</v>
      </c>
      <c r="J197" t="str">
        <f>_xlfn.XLOOKUP(tblFinancials[[#This Row],[AccountKey]],tblAccounts[AccountKey],tblAccounts[AccountName],"")</f>
        <v>Cost of Goods Sold</v>
      </c>
      <c r="K197" s="8" t="str">
        <f>_xlfn.XLOOKUP(tblFinancials[[#This Row],[AccountKey]],tblAccounts[AccountKey],tblAccounts[FinancialStatement],"")</f>
        <v>Income Statement</v>
      </c>
      <c r="L197" s="8" t="str">
        <f>_xlfn.XLOOKUP(tblFinancials[[#This Row],[AccountKey]],tblAccounts[AccountKey],tblAccounts[AccountCategory],"")</f>
        <v>Cost of Sales</v>
      </c>
      <c r="M197" s="8" t="str">
        <f>_xlfn.XLOOKUP(tblFinancials[[#This Row],[AccountKey]],tblAccounts[AccountKey],tblAccounts[NormalBalance],"")</f>
        <v>Debit</v>
      </c>
      <c r="N197" s="8" t="str">
        <f>_xlfn.XLOOKUP(tblFinancials[[#This Row],[DepartmentKey]],tblDepartments[DepartmentKey],tblDepartments[DepartmentName],"")</f>
        <v>Finance</v>
      </c>
      <c r="O197" s="8" t="str">
        <f>_xlfn.XLOOKUP(tblFinancials[[#This Row],[BusinessUnitKey]],tblBusinessUnits[BusinessUnitKey],tblBusinessUnits[BusinessUnitName],"")</f>
        <v>Wholesale</v>
      </c>
      <c r="P197" s="8" t="str">
        <f>_xlfn.XLOOKUP(tblFinancials[[#This Row],[RegionKey]],tblRegions[RegionKey],tblRegions[RegionName],"")</f>
        <v>East</v>
      </c>
    </row>
    <row r="198" spans="1:16">
      <c r="A198">
        <v>20230601</v>
      </c>
      <c r="B198">
        <v>7</v>
      </c>
      <c r="C198">
        <v>3</v>
      </c>
      <c r="D198">
        <v>4</v>
      </c>
      <c r="E198">
        <v>14</v>
      </c>
      <c r="F198" t="s">
        <v>92</v>
      </c>
      <c r="G198">
        <v>-18743.82</v>
      </c>
      <c r="H198">
        <f>_xlfn.XLOOKUP(tblFinancials[[#This Row],[DateKey]],tblCalendar[DateKey],tblCalendar[FullDate],"")</f>
        <v>45078</v>
      </c>
      <c r="I198">
        <f>_xlfn.XLOOKUP(tblFinancials[[#This Row],[AccountKey]],tblAccounts[AccountKey],tblAccounts[AccountNumber],"")</f>
        <v>5000</v>
      </c>
      <c r="J198" t="str">
        <f>_xlfn.XLOOKUP(tblFinancials[[#This Row],[AccountKey]],tblAccounts[AccountKey],tblAccounts[AccountName],"")</f>
        <v>Cost of Goods Sold</v>
      </c>
      <c r="K198" s="8" t="str">
        <f>_xlfn.XLOOKUP(tblFinancials[[#This Row],[AccountKey]],tblAccounts[AccountKey],tblAccounts[FinancialStatement],"")</f>
        <v>Income Statement</v>
      </c>
      <c r="L198" s="8" t="str">
        <f>_xlfn.XLOOKUP(tblFinancials[[#This Row],[AccountKey]],tblAccounts[AccountKey],tblAccounts[AccountCategory],"")</f>
        <v>Cost of Sales</v>
      </c>
      <c r="M198" s="8" t="str">
        <f>_xlfn.XLOOKUP(tblFinancials[[#This Row],[AccountKey]],tblAccounts[AccountKey],tblAccounts[NormalBalance],"")</f>
        <v>Debit</v>
      </c>
      <c r="N198" s="8" t="str">
        <f>_xlfn.XLOOKUP(tblFinancials[[#This Row],[DepartmentKey]],tblDepartments[DepartmentKey],tblDepartments[DepartmentName],"")</f>
        <v>Information Technology</v>
      </c>
      <c r="O198" s="8" t="str">
        <f>_xlfn.XLOOKUP(tblFinancials[[#This Row],[BusinessUnitKey]],tblBusinessUnits[BusinessUnitKey],tblBusinessUnits[BusinessUnitName],"")</f>
        <v>Retail</v>
      </c>
      <c r="P198" s="8" t="str">
        <f>_xlfn.XLOOKUP(tblFinancials[[#This Row],[RegionKey]],tblRegions[RegionKey],tblRegions[RegionName],"")</f>
        <v>East</v>
      </c>
    </row>
    <row r="199" spans="1:16">
      <c r="A199">
        <v>20230601</v>
      </c>
      <c r="B199">
        <v>5</v>
      </c>
      <c r="C199">
        <v>1</v>
      </c>
      <c r="D199">
        <v>2</v>
      </c>
      <c r="E199">
        <v>14</v>
      </c>
      <c r="F199" t="s">
        <v>92</v>
      </c>
      <c r="G199">
        <v>-18854.740000000002</v>
      </c>
      <c r="H199">
        <f>_xlfn.XLOOKUP(tblFinancials[[#This Row],[DateKey]],tblCalendar[DateKey],tblCalendar[FullDate],"")</f>
        <v>45078</v>
      </c>
      <c r="I199">
        <f>_xlfn.XLOOKUP(tblFinancials[[#This Row],[AccountKey]],tblAccounts[AccountKey],tblAccounts[AccountNumber],"")</f>
        <v>5000</v>
      </c>
      <c r="J199" t="str">
        <f>_xlfn.XLOOKUP(tblFinancials[[#This Row],[AccountKey]],tblAccounts[AccountKey],tblAccounts[AccountName],"")</f>
        <v>Cost of Goods Sold</v>
      </c>
      <c r="K199" s="8" t="str">
        <f>_xlfn.XLOOKUP(tblFinancials[[#This Row],[AccountKey]],tblAccounts[AccountKey],tblAccounts[FinancialStatement],"")</f>
        <v>Income Statement</v>
      </c>
      <c r="L199" s="8" t="str">
        <f>_xlfn.XLOOKUP(tblFinancials[[#This Row],[AccountKey]],tblAccounts[AccountKey],tblAccounts[AccountCategory],"")</f>
        <v>Cost of Sales</v>
      </c>
      <c r="M199" s="8" t="str">
        <f>_xlfn.XLOOKUP(tblFinancials[[#This Row],[AccountKey]],tblAccounts[AccountKey],tblAccounts[NormalBalance],"")</f>
        <v>Debit</v>
      </c>
      <c r="N199" s="8" t="str">
        <f>_xlfn.XLOOKUP(tblFinancials[[#This Row],[DepartmentKey]],tblDepartments[DepartmentKey],tblDepartments[DepartmentName],"")</f>
        <v>Marketing</v>
      </c>
      <c r="O199" s="8" t="str">
        <f>_xlfn.XLOOKUP(tblFinancials[[#This Row],[BusinessUnitKey]],tblBusinessUnits[BusinessUnitKey],tblBusinessUnits[BusinessUnitName],"")</f>
        <v xml:space="preserve">Manufacturing </v>
      </c>
      <c r="P199" s="8" t="str">
        <f>_xlfn.XLOOKUP(tblFinancials[[#This Row],[RegionKey]],tblRegions[RegionKey],tblRegions[RegionName],"")</f>
        <v>Midwest</v>
      </c>
    </row>
    <row r="200" spans="1:16">
      <c r="A200">
        <v>20230601</v>
      </c>
      <c r="B200">
        <v>7</v>
      </c>
      <c r="C200">
        <v>2</v>
      </c>
      <c r="D200">
        <v>4</v>
      </c>
      <c r="E200">
        <v>14</v>
      </c>
      <c r="F200" t="s">
        <v>92</v>
      </c>
      <c r="G200">
        <v>-17797.36</v>
      </c>
      <c r="H200">
        <f>_xlfn.XLOOKUP(tblFinancials[[#This Row],[DateKey]],tblCalendar[DateKey],tblCalendar[FullDate],"")</f>
        <v>45078</v>
      </c>
      <c r="I200">
        <f>_xlfn.XLOOKUP(tblFinancials[[#This Row],[AccountKey]],tblAccounts[AccountKey],tblAccounts[AccountNumber],"")</f>
        <v>5000</v>
      </c>
      <c r="J200" t="str">
        <f>_xlfn.XLOOKUP(tblFinancials[[#This Row],[AccountKey]],tblAccounts[AccountKey],tblAccounts[AccountName],"")</f>
        <v>Cost of Goods Sold</v>
      </c>
      <c r="K200" s="8" t="str">
        <f>_xlfn.XLOOKUP(tblFinancials[[#This Row],[AccountKey]],tblAccounts[AccountKey],tblAccounts[FinancialStatement],"")</f>
        <v>Income Statement</v>
      </c>
      <c r="L200" s="8" t="str">
        <f>_xlfn.XLOOKUP(tblFinancials[[#This Row],[AccountKey]],tblAccounts[AccountKey],tblAccounts[AccountCategory],"")</f>
        <v>Cost of Sales</v>
      </c>
      <c r="M200" s="8" t="str">
        <f>_xlfn.XLOOKUP(tblFinancials[[#This Row],[AccountKey]],tblAccounts[AccountKey],tblAccounts[NormalBalance],"")</f>
        <v>Debit</v>
      </c>
      <c r="N200" s="8" t="str">
        <f>_xlfn.XLOOKUP(tblFinancials[[#This Row],[DepartmentKey]],tblDepartments[DepartmentKey],tblDepartments[DepartmentName],"")</f>
        <v>Information Technology</v>
      </c>
      <c r="O200" s="8" t="str">
        <f>_xlfn.XLOOKUP(tblFinancials[[#This Row],[BusinessUnitKey]],tblBusinessUnits[BusinessUnitKey],tblBusinessUnits[BusinessUnitName],"")</f>
        <v>Wholesale</v>
      </c>
      <c r="P200" s="8" t="str">
        <f>_xlfn.XLOOKUP(tblFinancials[[#This Row],[RegionKey]],tblRegions[RegionKey],tblRegions[RegionName],"")</f>
        <v>East</v>
      </c>
    </row>
    <row r="201" spans="1:16">
      <c r="A201">
        <v>20230601</v>
      </c>
      <c r="B201">
        <v>1</v>
      </c>
      <c r="C201">
        <v>2</v>
      </c>
      <c r="D201">
        <v>2</v>
      </c>
      <c r="E201">
        <v>14</v>
      </c>
      <c r="F201" t="s">
        <v>92</v>
      </c>
      <c r="G201">
        <v>-18613.759999999998</v>
      </c>
      <c r="H201">
        <f>_xlfn.XLOOKUP(tblFinancials[[#This Row],[DateKey]],tblCalendar[DateKey],tblCalendar[FullDate],"")</f>
        <v>45078</v>
      </c>
      <c r="I201">
        <f>_xlfn.XLOOKUP(tblFinancials[[#This Row],[AccountKey]],tblAccounts[AccountKey],tblAccounts[AccountNumber],"")</f>
        <v>5000</v>
      </c>
      <c r="J201" t="str">
        <f>_xlfn.XLOOKUP(tblFinancials[[#This Row],[AccountKey]],tblAccounts[AccountKey],tblAccounts[AccountName],"")</f>
        <v>Cost of Goods Sold</v>
      </c>
      <c r="K201" s="8" t="str">
        <f>_xlfn.XLOOKUP(tblFinancials[[#This Row],[AccountKey]],tblAccounts[AccountKey],tblAccounts[FinancialStatement],"")</f>
        <v>Income Statement</v>
      </c>
      <c r="L201" s="8" t="str">
        <f>_xlfn.XLOOKUP(tblFinancials[[#This Row],[AccountKey]],tblAccounts[AccountKey],tblAccounts[AccountCategory],"")</f>
        <v>Cost of Sales</v>
      </c>
      <c r="M201" s="8" t="str">
        <f>_xlfn.XLOOKUP(tblFinancials[[#This Row],[AccountKey]],tblAccounts[AccountKey],tblAccounts[NormalBalance],"")</f>
        <v>Debit</v>
      </c>
      <c r="N201" s="8" t="str">
        <f>_xlfn.XLOOKUP(tblFinancials[[#This Row],[DepartmentKey]],tblDepartments[DepartmentKey],tblDepartments[DepartmentName],"")</f>
        <v>Executive</v>
      </c>
      <c r="O201" s="8" t="str">
        <f>_xlfn.XLOOKUP(tblFinancials[[#This Row],[BusinessUnitKey]],tblBusinessUnits[BusinessUnitKey],tblBusinessUnits[BusinessUnitName],"")</f>
        <v>Wholesale</v>
      </c>
      <c r="P201" s="8" t="str">
        <f>_xlfn.XLOOKUP(tblFinancials[[#This Row],[RegionKey]],tblRegions[RegionKey],tblRegions[RegionName],"")</f>
        <v>Midwest</v>
      </c>
    </row>
    <row r="202" spans="1:16">
      <c r="A202">
        <v>20230601</v>
      </c>
      <c r="B202">
        <v>6</v>
      </c>
      <c r="C202">
        <v>2</v>
      </c>
      <c r="D202">
        <v>2</v>
      </c>
      <c r="E202">
        <v>14</v>
      </c>
      <c r="F202" t="s">
        <v>92</v>
      </c>
      <c r="G202">
        <v>-17740.34</v>
      </c>
      <c r="H202">
        <f>_xlfn.XLOOKUP(tblFinancials[[#This Row],[DateKey]],tblCalendar[DateKey],tblCalendar[FullDate],"")</f>
        <v>45078</v>
      </c>
      <c r="I202">
        <f>_xlfn.XLOOKUP(tblFinancials[[#This Row],[AccountKey]],tblAccounts[AccountKey],tblAccounts[AccountNumber],"")</f>
        <v>5000</v>
      </c>
      <c r="J202" t="str">
        <f>_xlfn.XLOOKUP(tblFinancials[[#This Row],[AccountKey]],tblAccounts[AccountKey],tblAccounts[AccountName],"")</f>
        <v>Cost of Goods Sold</v>
      </c>
      <c r="K202" s="8" t="str">
        <f>_xlfn.XLOOKUP(tblFinancials[[#This Row],[AccountKey]],tblAccounts[AccountKey],tblAccounts[FinancialStatement],"")</f>
        <v>Income Statement</v>
      </c>
      <c r="L202" s="8" t="str">
        <f>_xlfn.XLOOKUP(tblFinancials[[#This Row],[AccountKey]],tblAccounts[AccountKey],tblAccounts[AccountCategory],"")</f>
        <v>Cost of Sales</v>
      </c>
      <c r="M202" s="8" t="str">
        <f>_xlfn.XLOOKUP(tblFinancials[[#This Row],[AccountKey]],tblAccounts[AccountKey],tblAccounts[NormalBalance],"")</f>
        <v>Debit</v>
      </c>
      <c r="N202" s="8" t="str">
        <f>_xlfn.XLOOKUP(tblFinancials[[#This Row],[DepartmentKey]],tblDepartments[DepartmentKey],tblDepartments[DepartmentName],"")</f>
        <v>Operations</v>
      </c>
      <c r="O202" s="8" t="str">
        <f>_xlfn.XLOOKUP(tblFinancials[[#This Row],[BusinessUnitKey]],tblBusinessUnits[BusinessUnitKey],tblBusinessUnits[BusinessUnitName],"")</f>
        <v>Wholesale</v>
      </c>
      <c r="P202" s="8" t="str">
        <f>_xlfn.XLOOKUP(tblFinancials[[#This Row],[RegionKey]],tblRegions[RegionKey],tblRegions[RegionName],"")</f>
        <v>Midwest</v>
      </c>
    </row>
    <row r="203" spans="1:16">
      <c r="A203">
        <v>20230601</v>
      </c>
      <c r="B203">
        <v>6</v>
      </c>
      <c r="C203">
        <v>3</v>
      </c>
      <c r="D203">
        <v>2</v>
      </c>
      <c r="E203">
        <v>14</v>
      </c>
      <c r="F203" t="s">
        <v>92</v>
      </c>
      <c r="G203">
        <v>-17500.810000000001</v>
      </c>
      <c r="H203">
        <f>_xlfn.XLOOKUP(tblFinancials[[#This Row],[DateKey]],tblCalendar[DateKey],tblCalendar[FullDate],"")</f>
        <v>45078</v>
      </c>
      <c r="I203">
        <f>_xlfn.XLOOKUP(tblFinancials[[#This Row],[AccountKey]],tblAccounts[AccountKey],tblAccounts[AccountNumber],"")</f>
        <v>5000</v>
      </c>
      <c r="J203" t="str">
        <f>_xlfn.XLOOKUP(tblFinancials[[#This Row],[AccountKey]],tblAccounts[AccountKey],tblAccounts[AccountName],"")</f>
        <v>Cost of Goods Sold</v>
      </c>
      <c r="K203" s="8" t="str">
        <f>_xlfn.XLOOKUP(tblFinancials[[#This Row],[AccountKey]],tblAccounts[AccountKey],tblAccounts[FinancialStatement],"")</f>
        <v>Income Statement</v>
      </c>
      <c r="L203" s="8" t="str">
        <f>_xlfn.XLOOKUP(tblFinancials[[#This Row],[AccountKey]],tblAccounts[AccountKey],tblAccounts[AccountCategory],"")</f>
        <v>Cost of Sales</v>
      </c>
      <c r="M203" s="8" t="str">
        <f>_xlfn.XLOOKUP(tblFinancials[[#This Row],[AccountKey]],tblAccounts[AccountKey],tblAccounts[NormalBalance],"")</f>
        <v>Debit</v>
      </c>
      <c r="N203" s="8" t="str">
        <f>_xlfn.XLOOKUP(tblFinancials[[#This Row],[DepartmentKey]],tblDepartments[DepartmentKey],tblDepartments[DepartmentName],"")</f>
        <v>Operations</v>
      </c>
      <c r="O203" s="8" t="str">
        <f>_xlfn.XLOOKUP(tblFinancials[[#This Row],[BusinessUnitKey]],tblBusinessUnits[BusinessUnitKey],tblBusinessUnits[BusinessUnitName],"")</f>
        <v>Retail</v>
      </c>
      <c r="P203" s="8" t="str">
        <f>_xlfn.XLOOKUP(tblFinancials[[#This Row],[RegionKey]],tblRegions[RegionKey],tblRegions[RegionName],"")</f>
        <v>Midwest</v>
      </c>
    </row>
    <row r="204" spans="1:16">
      <c r="A204">
        <v>20230601</v>
      </c>
      <c r="B204">
        <v>2</v>
      </c>
      <c r="C204">
        <v>1</v>
      </c>
      <c r="D204">
        <v>4</v>
      </c>
      <c r="E204">
        <v>14</v>
      </c>
      <c r="F204" t="s">
        <v>92</v>
      </c>
      <c r="G204">
        <v>-17437.12</v>
      </c>
      <c r="H204">
        <f>_xlfn.XLOOKUP(tblFinancials[[#This Row],[DateKey]],tblCalendar[DateKey],tblCalendar[FullDate],"")</f>
        <v>45078</v>
      </c>
      <c r="I204">
        <f>_xlfn.XLOOKUP(tblFinancials[[#This Row],[AccountKey]],tblAccounts[AccountKey],tblAccounts[AccountNumber],"")</f>
        <v>5000</v>
      </c>
      <c r="J204" t="str">
        <f>_xlfn.XLOOKUP(tblFinancials[[#This Row],[AccountKey]],tblAccounts[AccountKey],tblAccounts[AccountName],"")</f>
        <v>Cost of Goods Sold</v>
      </c>
      <c r="K204" s="8" t="str">
        <f>_xlfn.XLOOKUP(tblFinancials[[#This Row],[AccountKey]],tblAccounts[AccountKey],tblAccounts[FinancialStatement],"")</f>
        <v>Income Statement</v>
      </c>
      <c r="L204" s="8" t="str">
        <f>_xlfn.XLOOKUP(tblFinancials[[#This Row],[AccountKey]],tblAccounts[AccountKey],tblAccounts[AccountCategory],"")</f>
        <v>Cost of Sales</v>
      </c>
      <c r="M204" s="8" t="str">
        <f>_xlfn.XLOOKUP(tblFinancials[[#This Row],[AccountKey]],tblAccounts[AccountKey],tblAccounts[NormalBalance],"")</f>
        <v>Debit</v>
      </c>
      <c r="N204" s="8" t="str">
        <f>_xlfn.XLOOKUP(tblFinancials[[#This Row],[DepartmentKey]],tblDepartments[DepartmentKey],tblDepartments[DepartmentName],"")</f>
        <v>Finance</v>
      </c>
      <c r="O204" s="8" t="str">
        <f>_xlfn.XLOOKUP(tblFinancials[[#This Row],[BusinessUnitKey]],tblBusinessUnits[BusinessUnitKey],tblBusinessUnits[BusinessUnitName],"")</f>
        <v xml:space="preserve">Manufacturing </v>
      </c>
      <c r="P204" s="8" t="str">
        <f>_xlfn.XLOOKUP(tblFinancials[[#This Row],[RegionKey]],tblRegions[RegionKey],tblRegions[RegionName],"")</f>
        <v>East</v>
      </c>
    </row>
    <row r="205" spans="1:16">
      <c r="A205">
        <v>20230601</v>
      </c>
      <c r="B205">
        <v>2</v>
      </c>
      <c r="C205">
        <v>3</v>
      </c>
      <c r="D205">
        <v>1</v>
      </c>
      <c r="E205">
        <v>14</v>
      </c>
      <c r="F205" t="s">
        <v>92</v>
      </c>
      <c r="G205">
        <v>-20280.669999999998</v>
      </c>
      <c r="H205">
        <f>_xlfn.XLOOKUP(tblFinancials[[#This Row],[DateKey]],tblCalendar[DateKey],tblCalendar[FullDate],"")</f>
        <v>45078</v>
      </c>
      <c r="I205">
        <f>_xlfn.XLOOKUP(tblFinancials[[#This Row],[AccountKey]],tblAccounts[AccountKey],tblAccounts[AccountNumber],"")</f>
        <v>5000</v>
      </c>
      <c r="J205" t="str">
        <f>_xlfn.XLOOKUP(tblFinancials[[#This Row],[AccountKey]],tblAccounts[AccountKey],tblAccounts[AccountName],"")</f>
        <v>Cost of Goods Sold</v>
      </c>
      <c r="K205" s="8" t="str">
        <f>_xlfn.XLOOKUP(tblFinancials[[#This Row],[AccountKey]],tblAccounts[AccountKey],tblAccounts[FinancialStatement],"")</f>
        <v>Income Statement</v>
      </c>
      <c r="L205" s="8" t="str">
        <f>_xlfn.XLOOKUP(tblFinancials[[#This Row],[AccountKey]],tblAccounts[AccountKey],tblAccounts[AccountCategory],"")</f>
        <v>Cost of Sales</v>
      </c>
      <c r="M205" s="8" t="str">
        <f>_xlfn.XLOOKUP(tblFinancials[[#This Row],[AccountKey]],tblAccounts[AccountKey],tblAccounts[NormalBalance],"")</f>
        <v>Debit</v>
      </c>
      <c r="N205" s="8" t="str">
        <f>_xlfn.XLOOKUP(tblFinancials[[#This Row],[DepartmentKey]],tblDepartments[DepartmentKey],tblDepartments[DepartmentName],"")</f>
        <v>Finance</v>
      </c>
      <c r="O205" s="8" t="str">
        <f>_xlfn.XLOOKUP(tblFinancials[[#This Row],[BusinessUnitKey]],tblBusinessUnits[BusinessUnitKey],tblBusinessUnits[BusinessUnitName],"")</f>
        <v>Retail</v>
      </c>
      <c r="P205" s="8" t="str">
        <f>_xlfn.XLOOKUP(tblFinancials[[#This Row],[RegionKey]],tblRegions[RegionKey],tblRegions[RegionName],"")</f>
        <v>West</v>
      </c>
    </row>
    <row r="206" spans="1:16">
      <c r="A206">
        <v>20230601</v>
      </c>
      <c r="B206">
        <v>7</v>
      </c>
      <c r="C206">
        <v>2</v>
      </c>
      <c r="D206">
        <v>3</v>
      </c>
      <c r="E206">
        <v>24</v>
      </c>
      <c r="F206" t="s">
        <v>92</v>
      </c>
      <c r="G206">
        <v>-7130.39</v>
      </c>
      <c r="H206">
        <f>_xlfn.XLOOKUP(tblFinancials[[#This Row],[DateKey]],tblCalendar[DateKey],tblCalendar[FullDate],"")</f>
        <v>45078</v>
      </c>
      <c r="I206">
        <f>_xlfn.XLOOKUP(tblFinancials[[#This Row],[AccountKey]],tblAccounts[AccountKey],tblAccounts[AccountNumber],"")</f>
        <v>6900</v>
      </c>
      <c r="J206" t="str">
        <f>_xlfn.XLOOKUP(tblFinancials[[#This Row],[AccountKey]],tblAccounts[AccountKey],tblAccounts[AccountName],"")</f>
        <v>Professional Services</v>
      </c>
      <c r="K206" s="8" t="str">
        <f>_xlfn.XLOOKUP(tblFinancials[[#This Row],[AccountKey]],tblAccounts[AccountKey],tblAccounts[FinancialStatement],"")</f>
        <v>Income Statement</v>
      </c>
      <c r="L206" s="8" t="str">
        <f>_xlfn.XLOOKUP(tblFinancials[[#This Row],[AccountKey]],tblAccounts[AccountKey],tblAccounts[AccountCategory],"")</f>
        <v>Operating Expense</v>
      </c>
      <c r="M206" s="8" t="str">
        <f>_xlfn.XLOOKUP(tblFinancials[[#This Row],[AccountKey]],tblAccounts[AccountKey],tblAccounts[NormalBalance],"")</f>
        <v>Debit</v>
      </c>
      <c r="N206" s="8" t="str">
        <f>_xlfn.XLOOKUP(tblFinancials[[#This Row],[DepartmentKey]],tblDepartments[DepartmentKey],tblDepartments[DepartmentName],"")</f>
        <v>Information Technology</v>
      </c>
      <c r="O206" s="8" t="str">
        <f>_xlfn.XLOOKUP(tblFinancials[[#This Row],[BusinessUnitKey]],tblBusinessUnits[BusinessUnitKey],tblBusinessUnits[BusinessUnitName],"")</f>
        <v>Wholesale</v>
      </c>
      <c r="P206" s="8" t="str">
        <f>_xlfn.XLOOKUP(tblFinancials[[#This Row],[RegionKey]],tblRegions[RegionKey],tblRegions[RegionName],"")</f>
        <v>South</v>
      </c>
    </row>
    <row r="207" spans="1:16">
      <c r="A207">
        <v>20230601</v>
      </c>
      <c r="B207">
        <v>6</v>
      </c>
      <c r="C207">
        <v>4</v>
      </c>
      <c r="D207">
        <v>3</v>
      </c>
      <c r="E207">
        <v>17</v>
      </c>
      <c r="F207" t="s">
        <v>92</v>
      </c>
      <c r="G207">
        <v>-7112.85</v>
      </c>
      <c r="H207">
        <f>_xlfn.XLOOKUP(tblFinancials[[#This Row],[DateKey]],tblCalendar[DateKey],tblCalendar[FullDate],"")</f>
        <v>45078</v>
      </c>
      <c r="I207">
        <f>_xlfn.XLOOKUP(tblFinancials[[#This Row],[AccountKey]],tblAccounts[AccountKey],tblAccounts[AccountNumber],"")</f>
        <v>6120</v>
      </c>
      <c r="J207" t="str">
        <f>_xlfn.XLOOKUP(tblFinancials[[#This Row],[AccountKey]],tblAccounts[AccountKey],tblAccounts[AccountName],"")</f>
        <v>Employee Benefits</v>
      </c>
      <c r="K207" s="8" t="str">
        <f>_xlfn.XLOOKUP(tblFinancials[[#This Row],[AccountKey]],tblAccounts[AccountKey],tblAccounts[FinancialStatement],"")</f>
        <v>Income Statement</v>
      </c>
      <c r="L207" s="8" t="str">
        <f>_xlfn.XLOOKUP(tblFinancials[[#This Row],[AccountKey]],tblAccounts[AccountKey],tblAccounts[AccountCategory],"")</f>
        <v>Operating Expense</v>
      </c>
      <c r="M207" s="8" t="str">
        <f>_xlfn.XLOOKUP(tblFinancials[[#This Row],[AccountKey]],tblAccounts[AccountKey],tblAccounts[NormalBalance],"")</f>
        <v>Debit</v>
      </c>
      <c r="N207" s="8" t="str">
        <f>_xlfn.XLOOKUP(tblFinancials[[#This Row],[DepartmentKey]],tblDepartments[DepartmentKey],tblDepartments[DepartmentName],"")</f>
        <v>Operations</v>
      </c>
      <c r="O207" s="8" t="str">
        <f>_xlfn.XLOOKUP(tblFinancials[[#This Row],[BusinessUnitKey]],tblBusinessUnits[BusinessUnitKey],tblBusinessUnits[BusinessUnitName],"")</f>
        <v>E-Commerce</v>
      </c>
      <c r="P207" s="8" t="str">
        <f>_xlfn.XLOOKUP(tblFinancials[[#This Row],[RegionKey]],tblRegions[RegionKey],tblRegions[RegionName],"")</f>
        <v>South</v>
      </c>
    </row>
    <row r="208" spans="1:16">
      <c r="A208">
        <v>20230601</v>
      </c>
      <c r="B208">
        <v>7</v>
      </c>
      <c r="C208">
        <v>2</v>
      </c>
      <c r="D208">
        <v>2</v>
      </c>
      <c r="E208">
        <v>19</v>
      </c>
      <c r="F208" t="s">
        <v>92</v>
      </c>
      <c r="G208">
        <v>-7183.66</v>
      </c>
      <c r="H208">
        <f>_xlfn.XLOOKUP(tblFinancials[[#This Row],[DateKey]],tblCalendar[DateKey],tblCalendar[FullDate],"")</f>
        <v>45078</v>
      </c>
      <c r="I208">
        <f>_xlfn.XLOOKUP(tblFinancials[[#This Row],[AccountKey]],tblAccounts[AccountKey],tblAccounts[AccountNumber],"")</f>
        <v>6300</v>
      </c>
      <c r="J208" t="str">
        <f>_xlfn.XLOOKUP(tblFinancials[[#This Row],[AccountKey]],tblAccounts[AccountKey],tblAccounts[AccountName],"")</f>
        <v>Software Expense</v>
      </c>
      <c r="K208" s="8" t="str">
        <f>_xlfn.XLOOKUP(tblFinancials[[#This Row],[AccountKey]],tblAccounts[AccountKey],tblAccounts[FinancialStatement],"")</f>
        <v>Income Statement</v>
      </c>
      <c r="L208" s="8" t="str">
        <f>_xlfn.XLOOKUP(tblFinancials[[#This Row],[AccountKey]],tblAccounts[AccountKey],tblAccounts[AccountCategory],"")</f>
        <v>Operating Expense</v>
      </c>
      <c r="M208" s="8" t="str">
        <f>_xlfn.XLOOKUP(tblFinancials[[#This Row],[AccountKey]],tblAccounts[AccountKey],tblAccounts[NormalBalance],"")</f>
        <v>Debit</v>
      </c>
      <c r="N208" s="8" t="str">
        <f>_xlfn.XLOOKUP(tblFinancials[[#This Row],[DepartmentKey]],tblDepartments[DepartmentKey],tblDepartments[DepartmentName],"")</f>
        <v>Information Technology</v>
      </c>
      <c r="O208" s="8" t="str">
        <f>_xlfn.XLOOKUP(tblFinancials[[#This Row],[BusinessUnitKey]],tblBusinessUnits[BusinessUnitKey],tblBusinessUnits[BusinessUnitName],"")</f>
        <v>Wholesale</v>
      </c>
      <c r="P208" s="8" t="str">
        <f>_xlfn.XLOOKUP(tblFinancials[[#This Row],[RegionKey]],tblRegions[RegionKey],tblRegions[RegionName],"")</f>
        <v>Midwest</v>
      </c>
    </row>
    <row r="209" spans="1:16">
      <c r="A209">
        <v>20230601</v>
      </c>
      <c r="B209">
        <v>1</v>
      </c>
      <c r="C209">
        <v>1</v>
      </c>
      <c r="D209">
        <v>4</v>
      </c>
      <c r="E209">
        <v>23</v>
      </c>
      <c r="F209" t="s">
        <v>92</v>
      </c>
      <c r="G209">
        <v>-6407.57</v>
      </c>
      <c r="H209">
        <f>_xlfn.XLOOKUP(tblFinancials[[#This Row],[DateKey]],tblCalendar[DateKey],tblCalendar[FullDate],"")</f>
        <v>45078</v>
      </c>
      <c r="I209">
        <f>_xlfn.XLOOKUP(tblFinancials[[#This Row],[AccountKey]],tblAccounts[AccountKey],tblAccounts[AccountNumber],"")</f>
        <v>6800</v>
      </c>
      <c r="J209" t="str">
        <f>_xlfn.XLOOKUP(tblFinancials[[#This Row],[AccountKey]],tblAccounts[AccountKey],tblAccounts[AccountName],"")</f>
        <v>Travel Expense</v>
      </c>
      <c r="K209" s="8" t="str">
        <f>_xlfn.XLOOKUP(tblFinancials[[#This Row],[AccountKey]],tblAccounts[AccountKey],tblAccounts[FinancialStatement],"")</f>
        <v>Income Statement</v>
      </c>
      <c r="L209" s="8" t="str">
        <f>_xlfn.XLOOKUP(tblFinancials[[#This Row],[AccountKey]],tblAccounts[AccountKey],tblAccounts[AccountCategory],"")</f>
        <v>Operating Expense</v>
      </c>
      <c r="M209" s="8" t="str">
        <f>_xlfn.XLOOKUP(tblFinancials[[#This Row],[AccountKey]],tblAccounts[AccountKey],tblAccounts[NormalBalance],"")</f>
        <v>Debit</v>
      </c>
      <c r="N209" s="8" t="str">
        <f>_xlfn.XLOOKUP(tblFinancials[[#This Row],[DepartmentKey]],tblDepartments[DepartmentKey],tblDepartments[DepartmentName],"")</f>
        <v>Executive</v>
      </c>
      <c r="O209" s="8" t="str">
        <f>_xlfn.XLOOKUP(tblFinancials[[#This Row],[BusinessUnitKey]],tblBusinessUnits[BusinessUnitKey],tblBusinessUnits[BusinessUnitName],"")</f>
        <v xml:space="preserve">Manufacturing </v>
      </c>
      <c r="P209" s="8" t="str">
        <f>_xlfn.XLOOKUP(tblFinancials[[#This Row],[RegionKey]],tblRegions[RegionKey],tblRegions[RegionName],"")</f>
        <v>East</v>
      </c>
    </row>
    <row r="210" spans="1:16">
      <c r="A210">
        <v>20230601</v>
      </c>
      <c r="B210">
        <v>2</v>
      </c>
      <c r="C210">
        <v>2</v>
      </c>
      <c r="D210">
        <v>2</v>
      </c>
      <c r="E210">
        <v>18</v>
      </c>
      <c r="F210" t="s">
        <v>92</v>
      </c>
      <c r="G210">
        <v>-6893.88</v>
      </c>
      <c r="H210">
        <f>_xlfn.XLOOKUP(tblFinancials[[#This Row],[DateKey]],tblCalendar[DateKey],tblCalendar[FullDate],"")</f>
        <v>45078</v>
      </c>
      <c r="I210">
        <f>_xlfn.XLOOKUP(tblFinancials[[#This Row],[AccountKey]],tblAccounts[AccountKey],tblAccounts[AccountNumber],"")</f>
        <v>6200</v>
      </c>
      <c r="J210" t="str">
        <f>_xlfn.XLOOKUP(tblFinancials[[#This Row],[AccountKey]],tblAccounts[AccountKey],tblAccounts[AccountName],"")</f>
        <v>Marketing Expense</v>
      </c>
      <c r="K210" s="8" t="str">
        <f>_xlfn.XLOOKUP(tblFinancials[[#This Row],[AccountKey]],tblAccounts[AccountKey],tblAccounts[FinancialStatement],"")</f>
        <v>Income Statement</v>
      </c>
      <c r="L210" s="8" t="str">
        <f>_xlfn.XLOOKUP(tblFinancials[[#This Row],[AccountKey]],tblAccounts[AccountKey],tblAccounts[AccountCategory],"")</f>
        <v>Operating Expense</v>
      </c>
      <c r="M210" s="8" t="str">
        <f>_xlfn.XLOOKUP(tblFinancials[[#This Row],[AccountKey]],tblAccounts[AccountKey],tblAccounts[NormalBalance],"")</f>
        <v>Debit</v>
      </c>
      <c r="N210" s="8" t="str">
        <f>_xlfn.XLOOKUP(tblFinancials[[#This Row],[DepartmentKey]],tblDepartments[DepartmentKey],tblDepartments[DepartmentName],"")</f>
        <v>Finance</v>
      </c>
      <c r="O210" s="8" t="str">
        <f>_xlfn.XLOOKUP(tblFinancials[[#This Row],[BusinessUnitKey]],tblBusinessUnits[BusinessUnitKey],tblBusinessUnits[BusinessUnitName],"")</f>
        <v>Wholesale</v>
      </c>
      <c r="P210" s="8" t="str">
        <f>_xlfn.XLOOKUP(tblFinancials[[#This Row],[RegionKey]],tblRegions[RegionKey],tblRegions[RegionName],"")</f>
        <v>Midwest</v>
      </c>
    </row>
    <row r="211" spans="1:16">
      <c r="A211">
        <v>20230601</v>
      </c>
      <c r="B211">
        <v>4</v>
      </c>
      <c r="C211">
        <v>4</v>
      </c>
      <c r="D211">
        <v>2</v>
      </c>
      <c r="E211">
        <v>15</v>
      </c>
      <c r="F211" t="s">
        <v>92</v>
      </c>
      <c r="G211">
        <v>-6804.68</v>
      </c>
      <c r="H211">
        <f>_xlfn.XLOOKUP(tblFinancials[[#This Row],[DateKey]],tblCalendar[DateKey],tblCalendar[FullDate],"")</f>
        <v>45078</v>
      </c>
      <c r="I211">
        <f>_xlfn.XLOOKUP(tblFinancials[[#This Row],[AccountKey]],tblAccounts[AccountKey],tblAccounts[AccountNumber],"")</f>
        <v>6100</v>
      </c>
      <c r="J211" t="str">
        <f>_xlfn.XLOOKUP(tblFinancials[[#This Row],[AccountKey]],tblAccounts[AccountKey],tblAccounts[AccountName],"")</f>
        <v>Salaries Expense</v>
      </c>
      <c r="K211" s="8" t="str">
        <f>_xlfn.XLOOKUP(tblFinancials[[#This Row],[AccountKey]],tblAccounts[AccountKey],tblAccounts[FinancialStatement],"")</f>
        <v>Income Statement</v>
      </c>
      <c r="L211" s="8" t="str">
        <f>_xlfn.XLOOKUP(tblFinancials[[#This Row],[AccountKey]],tblAccounts[AccountKey],tblAccounts[AccountCategory],"")</f>
        <v>Operating Expense</v>
      </c>
      <c r="M211" s="8" t="str">
        <f>_xlfn.XLOOKUP(tblFinancials[[#This Row],[AccountKey]],tblAccounts[AccountKey],tblAccounts[NormalBalance],"")</f>
        <v>Debit</v>
      </c>
      <c r="N211" s="8" t="str">
        <f>_xlfn.XLOOKUP(tblFinancials[[#This Row],[DepartmentKey]],tblDepartments[DepartmentKey],tblDepartments[DepartmentName],"")</f>
        <v>Sales</v>
      </c>
      <c r="O211" s="8" t="str">
        <f>_xlfn.XLOOKUP(tblFinancials[[#This Row],[BusinessUnitKey]],tblBusinessUnits[BusinessUnitKey],tblBusinessUnits[BusinessUnitName],"")</f>
        <v>E-Commerce</v>
      </c>
      <c r="P211" s="8" t="str">
        <f>_xlfn.XLOOKUP(tblFinancials[[#This Row],[RegionKey]],tblRegions[RegionKey],tblRegions[RegionName],"")</f>
        <v>Midwest</v>
      </c>
    </row>
    <row r="212" spans="1:16">
      <c r="A212">
        <v>20230601</v>
      </c>
      <c r="B212">
        <v>2</v>
      </c>
      <c r="C212">
        <v>1</v>
      </c>
      <c r="D212">
        <v>4</v>
      </c>
      <c r="E212">
        <v>25</v>
      </c>
      <c r="F212" t="s">
        <v>92</v>
      </c>
      <c r="G212">
        <v>-7598.2</v>
      </c>
      <c r="H212">
        <f>_xlfn.XLOOKUP(tblFinancials[[#This Row],[DateKey]],tblCalendar[DateKey],tblCalendar[FullDate],"")</f>
        <v>45078</v>
      </c>
      <c r="I212">
        <f>_xlfn.XLOOKUP(tblFinancials[[#This Row],[AccountKey]],tblAccounts[AccountKey],tblAccounts[AccountNumber],"")</f>
        <v>8200</v>
      </c>
      <c r="J212" t="str">
        <f>_xlfn.XLOOKUP(tblFinancials[[#This Row],[AccountKey]],tblAccounts[AccountKey],tblAccounts[AccountName],"")</f>
        <v>Income Tax Expense</v>
      </c>
      <c r="K212" s="8" t="str">
        <f>_xlfn.XLOOKUP(tblFinancials[[#This Row],[AccountKey]],tblAccounts[AccountKey],tblAccounts[FinancialStatement],"")</f>
        <v>Income Statement</v>
      </c>
      <c r="L212" s="8" t="str">
        <f>_xlfn.XLOOKUP(tblFinancials[[#This Row],[AccountKey]],tblAccounts[AccountKey],tblAccounts[AccountCategory],"")</f>
        <v>Tax Expense</v>
      </c>
      <c r="M212" s="8" t="str">
        <f>_xlfn.XLOOKUP(tblFinancials[[#This Row],[AccountKey]],tblAccounts[AccountKey],tblAccounts[NormalBalance],"")</f>
        <v>Debit</v>
      </c>
      <c r="N212" s="8" t="str">
        <f>_xlfn.XLOOKUP(tblFinancials[[#This Row],[DepartmentKey]],tblDepartments[DepartmentKey],tblDepartments[DepartmentName],"")</f>
        <v>Finance</v>
      </c>
      <c r="O212" s="8" t="str">
        <f>_xlfn.XLOOKUP(tblFinancials[[#This Row],[BusinessUnitKey]],tblBusinessUnits[BusinessUnitKey],tblBusinessUnits[BusinessUnitName],"")</f>
        <v xml:space="preserve">Manufacturing </v>
      </c>
      <c r="P212" s="8" t="str">
        <f>_xlfn.XLOOKUP(tblFinancials[[#This Row],[RegionKey]],tblRegions[RegionKey],tblRegions[RegionName],"")</f>
        <v>East</v>
      </c>
    </row>
    <row r="213" spans="1:16">
      <c r="A213">
        <v>20230601</v>
      </c>
      <c r="B213">
        <v>5</v>
      </c>
      <c r="C213">
        <v>2</v>
      </c>
      <c r="D213">
        <v>4</v>
      </c>
      <c r="E213">
        <v>17</v>
      </c>
      <c r="F213" t="s">
        <v>92</v>
      </c>
      <c r="G213">
        <v>-7389.92</v>
      </c>
      <c r="H213">
        <f>_xlfn.XLOOKUP(tblFinancials[[#This Row],[DateKey]],tblCalendar[DateKey],tblCalendar[FullDate],"")</f>
        <v>45078</v>
      </c>
      <c r="I213">
        <f>_xlfn.XLOOKUP(tblFinancials[[#This Row],[AccountKey]],tblAccounts[AccountKey],tblAccounts[AccountNumber],"")</f>
        <v>6120</v>
      </c>
      <c r="J213" t="str">
        <f>_xlfn.XLOOKUP(tblFinancials[[#This Row],[AccountKey]],tblAccounts[AccountKey],tblAccounts[AccountName],"")</f>
        <v>Employee Benefits</v>
      </c>
      <c r="K213" s="8" t="str">
        <f>_xlfn.XLOOKUP(tblFinancials[[#This Row],[AccountKey]],tblAccounts[AccountKey],tblAccounts[FinancialStatement],"")</f>
        <v>Income Statement</v>
      </c>
      <c r="L213" s="8" t="str">
        <f>_xlfn.XLOOKUP(tblFinancials[[#This Row],[AccountKey]],tblAccounts[AccountKey],tblAccounts[AccountCategory],"")</f>
        <v>Operating Expense</v>
      </c>
      <c r="M213" s="8" t="str">
        <f>_xlfn.XLOOKUP(tblFinancials[[#This Row],[AccountKey]],tblAccounts[AccountKey],tblAccounts[NormalBalance],"")</f>
        <v>Debit</v>
      </c>
      <c r="N213" s="8" t="str">
        <f>_xlfn.XLOOKUP(tblFinancials[[#This Row],[DepartmentKey]],tblDepartments[DepartmentKey],tblDepartments[DepartmentName],"")</f>
        <v>Marketing</v>
      </c>
      <c r="O213" s="8" t="str">
        <f>_xlfn.XLOOKUP(tblFinancials[[#This Row],[BusinessUnitKey]],tblBusinessUnits[BusinessUnitKey],tblBusinessUnits[BusinessUnitName],"")</f>
        <v>Wholesale</v>
      </c>
      <c r="P213" s="8" t="str">
        <f>_xlfn.XLOOKUP(tblFinancials[[#This Row],[RegionKey]],tblRegions[RegionKey],tblRegions[RegionName],"")</f>
        <v>East</v>
      </c>
    </row>
    <row r="214" spans="1:16">
      <c r="A214">
        <v>20230601</v>
      </c>
      <c r="B214">
        <v>1</v>
      </c>
      <c r="C214">
        <v>3</v>
      </c>
      <c r="D214">
        <v>3</v>
      </c>
      <c r="E214">
        <v>25</v>
      </c>
      <c r="F214" t="s">
        <v>92</v>
      </c>
      <c r="G214">
        <v>-8465.36</v>
      </c>
      <c r="H214">
        <f>_xlfn.XLOOKUP(tblFinancials[[#This Row],[DateKey]],tblCalendar[DateKey],tblCalendar[FullDate],"")</f>
        <v>45078</v>
      </c>
      <c r="I214">
        <f>_xlfn.XLOOKUP(tblFinancials[[#This Row],[AccountKey]],tblAccounts[AccountKey],tblAccounts[AccountNumber],"")</f>
        <v>8200</v>
      </c>
      <c r="J214" t="str">
        <f>_xlfn.XLOOKUP(tblFinancials[[#This Row],[AccountKey]],tblAccounts[AccountKey],tblAccounts[AccountName],"")</f>
        <v>Income Tax Expense</v>
      </c>
      <c r="K214" s="8" t="str">
        <f>_xlfn.XLOOKUP(tblFinancials[[#This Row],[AccountKey]],tblAccounts[AccountKey],tblAccounts[FinancialStatement],"")</f>
        <v>Income Statement</v>
      </c>
      <c r="L214" s="8" t="str">
        <f>_xlfn.XLOOKUP(tblFinancials[[#This Row],[AccountKey]],tblAccounts[AccountKey],tblAccounts[AccountCategory],"")</f>
        <v>Tax Expense</v>
      </c>
      <c r="M214" s="8" t="str">
        <f>_xlfn.XLOOKUP(tblFinancials[[#This Row],[AccountKey]],tblAccounts[AccountKey],tblAccounts[NormalBalance],"")</f>
        <v>Debit</v>
      </c>
      <c r="N214" s="8" t="str">
        <f>_xlfn.XLOOKUP(tblFinancials[[#This Row],[DepartmentKey]],tblDepartments[DepartmentKey],tblDepartments[DepartmentName],"")</f>
        <v>Executive</v>
      </c>
      <c r="O214" s="8" t="str">
        <f>_xlfn.XLOOKUP(tblFinancials[[#This Row],[BusinessUnitKey]],tblBusinessUnits[BusinessUnitKey],tblBusinessUnits[BusinessUnitName],"")</f>
        <v>Retail</v>
      </c>
      <c r="P214" s="8" t="str">
        <f>_xlfn.XLOOKUP(tblFinancials[[#This Row],[RegionKey]],tblRegions[RegionKey],tblRegions[RegionName],"")</f>
        <v>South</v>
      </c>
    </row>
    <row r="215" spans="1:16">
      <c r="A215">
        <v>20230601</v>
      </c>
      <c r="B215">
        <v>1</v>
      </c>
      <c r="C215">
        <v>4</v>
      </c>
      <c r="D215">
        <v>4</v>
      </c>
      <c r="E215">
        <v>18</v>
      </c>
      <c r="F215" t="s">
        <v>92</v>
      </c>
      <c r="G215">
        <v>-6816.09</v>
      </c>
      <c r="H215">
        <f>_xlfn.XLOOKUP(tblFinancials[[#This Row],[DateKey]],tblCalendar[DateKey],tblCalendar[FullDate],"")</f>
        <v>45078</v>
      </c>
      <c r="I215">
        <f>_xlfn.XLOOKUP(tblFinancials[[#This Row],[AccountKey]],tblAccounts[AccountKey],tblAccounts[AccountNumber],"")</f>
        <v>6200</v>
      </c>
      <c r="J215" t="str">
        <f>_xlfn.XLOOKUP(tblFinancials[[#This Row],[AccountKey]],tblAccounts[AccountKey],tblAccounts[AccountName],"")</f>
        <v>Marketing Expense</v>
      </c>
      <c r="K215" s="8" t="str">
        <f>_xlfn.XLOOKUP(tblFinancials[[#This Row],[AccountKey]],tblAccounts[AccountKey],tblAccounts[FinancialStatement],"")</f>
        <v>Income Statement</v>
      </c>
      <c r="L215" s="8" t="str">
        <f>_xlfn.XLOOKUP(tblFinancials[[#This Row],[AccountKey]],tblAccounts[AccountKey],tblAccounts[AccountCategory],"")</f>
        <v>Operating Expense</v>
      </c>
      <c r="M215" s="8" t="str">
        <f>_xlfn.XLOOKUP(tblFinancials[[#This Row],[AccountKey]],tblAccounts[AccountKey],tblAccounts[NormalBalance],"")</f>
        <v>Debit</v>
      </c>
      <c r="N215" s="8" t="str">
        <f>_xlfn.XLOOKUP(tblFinancials[[#This Row],[DepartmentKey]],tblDepartments[DepartmentKey],tblDepartments[DepartmentName],"")</f>
        <v>Executive</v>
      </c>
      <c r="O215" s="8" t="str">
        <f>_xlfn.XLOOKUP(tblFinancials[[#This Row],[BusinessUnitKey]],tblBusinessUnits[BusinessUnitKey],tblBusinessUnits[BusinessUnitName],"")</f>
        <v>E-Commerce</v>
      </c>
      <c r="P215" s="8" t="str">
        <f>_xlfn.XLOOKUP(tblFinancials[[#This Row],[RegionKey]],tblRegions[RegionKey],tblRegions[RegionName],"")</f>
        <v>East</v>
      </c>
    </row>
    <row r="216" spans="1:16">
      <c r="A216">
        <v>20230601</v>
      </c>
      <c r="B216">
        <v>2</v>
      </c>
      <c r="C216">
        <v>4</v>
      </c>
      <c r="D216">
        <v>3</v>
      </c>
      <c r="E216">
        <v>20</v>
      </c>
      <c r="F216" t="s">
        <v>92</v>
      </c>
      <c r="G216">
        <v>-8016.67</v>
      </c>
      <c r="H216">
        <f>_xlfn.XLOOKUP(tblFinancials[[#This Row],[DateKey]],tblCalendar[DateKey],tblCalendar[FullDate],"")</f>
        <v>45078</v>
      </c>
      <c r="I216">
        <f>_xlfn.XLOOKUP(tblFinancials[[#This Row],[AccountKey]],tblAccounts[AccountKey],tblAccounts[AccountNumber],"")</f>
        <v>6500</v>
      </c>
      <c r="J216" t="str">
        <f>_xlfn.XLOOKUP(tblFinancials[[#This Row],[AccountKey]],tblAccounts[AccountKey],tblAccounts[AccountName],"")</f>
        <v>Rent Expense</v>
      </c>
      <c r="K216" s="8" t="str">
        <f>_xlfn.XLOOKUP(tblFinancials[[#This Row],[AccountKey]],tblAccounts[AccountKey],tblAccounts[FinancialStatement],"")</f>
        <v>Income Statement</v>
      </c>
      <c r="L216" s="8" t="str">
        <f>_xlfn.XLOOKUP(tblFinancials[[#This Row],[AccountKey]],tblAccounts[AccountKey],tblAccounts[AccountCategory],"")</f>
        <v>Operating Expense</v>
      </c>
      <c r="M216" s="8" t="str">
        <f>_xlfn.XLOOKUP(tblFinancials[[#This Row],[AccountKey]],tblAccounts[AccountKey],tblAccounts[NormalBalance],"")</f>
        <v>Debit</v>
      </c>
      <c r="N216" s="8" t="str">
        <f>_xlfn.XLOOKUP(tblFinancials[[#This Row],[DepartmentKey]],tblDepartments[DepartmentKey],tblDepartments[DepartmentName],"")</f>
        <v>Finance</v>
      </c>
      <c r="O216" s="8" t="str">
        <f>_xlfn.XLOOKUP(tblFinancials[[#This Row],[BusinessUnitKey]],tblBusinessUnits[BusinessUnitKey],tblBusinessUnits[BusinessUnitName],"")</f>
        <v>E-Commerce</v>
      </c>
      <c r="P216" s="8" t="str">
        <f>_xlfn.XLOOKUP(tblFinancials[[#This Row],[RegionKey]],tblRegions[RegionKey],tblRegions[RegionName],"")</f>
        <v>South</v>
      </c>
    </row>
    <row r="217" spans="1:16">
      <c r="A217">
        <v>20230601</v>
      </c>
      <c r="B217">
        <v>4</v>
      </c>
      <c r="C217">
        <v>1</v>
      </c>
      <c r="D217">
        <v>3</v>
      </c>
      <c r="E217">
        <v>24</v>
      </c>
      <c r="F217" t="s">
        <v>92</v>
      </c>
      <c r="G217">
        <v>-7733.6</v>
      </c>
      <c r="H217">
        <f>_xlfn.XLOOKUP(tblFinancials[[#This Row],[DateKey]],tblCalendar[DateKey],tblCalendar[FullDate],"")</f>
        <v>45078</v>
      </c>
      <c r="I217">
        <f>_xlfn.XLOOKUP(tblFinancials[[#This Row],[AccountKey]],tblAccounts[AccountKey],tblAccounts[AccountNumber],"")</f>
        <v>6900</v>
      </c>
      <c r="J217" t="str">
        <f>_xlfn.XLOOKUP(tblFinancials[[#This Row],[AccountKey]],tblAccounts[AccountKey],tblAccounts[AccountName],"")</f>
        <v>Professional Services</v>
      </c>
      <c r="K217" s="8" t="str">
        <f>_xlfn.XLOOKUP(tblFinancials[[#This Row],[AccountKey]],tblAccounts[AccountKey],tblAccounts[FinancialStatement],"")</f>
        <v>Income Statement</v>
      </c>
      <c r="L217" s="8" t="str">
        <f>_xlfn.XLOOKUP(tblFinancials[[#This Row],[AccountKey]],tblAccounts[AccountKey],tblAccounts[AccountCategory],"")</f>
        <v>Operating Expense</v>
      </c>
      <c r="M217" s="8" t="str">
        <f>_xlfn.XLOOKUP(tblFinancials[[#This Row],[AccountKey]],tblAccounts[AccountKey],tblAccounts[NormalBalance],"")</f>
        <v>Debit</v>
      </c>
      <c r="N217" s="8" t="str">
        <f>_xlfn.XLOOKUP(tblFinancials[[#This Row],[DepartmentKey]],tblDepartments[DepartmentKey],tblDepartments[DepartmentName],"")</f>
        <v>Sales</v>
      </c>
      <c r="O217" s="8" t="str">
        <f>_xlfn.XLOOKUP(tblFinancials[[#This Row],[BusinessUnitKey]],tblBusinessUnits[BusinessUnitKey],tblBusinessUnits[BusinessUnitName],"")</f>
        <v xml:space="preserve">Manufacturing </v>
      </c>
      <c r="P217" s="8" t="str">
        <f>_xlfn.XLOOKUP(tblFinancials[[#This Row],[RegionKey]],tblRegions[RegionKey],tblRegions[RegionName],"")</f>
        <v>South</v>
      </c>
    </row>
    <row r="218" spans="1:16">
      <c r="A218">
        <v>20230701</v>
      </c>
      <c r="B218">
        <v>3</v>
      </c>
      <c r="C218">
        <v>3</v>
      </c>
      <c r="D218">
        <v>3</v>
      </c>
      <c r="E218">
        <v>12</v>
      </c>
      <c r="F218" t="s">
        <v>92</v>
      </c>
      <c r="G218">
        <v>31519.759999999998</v>
      </c>
      <c r="H218">
        <f>_xlfn.XLOOKUP(tblFinancials[[#This Row],[DateKey]],tblCalendar[DateKey],tblCalendar[FullDate],"")</f>
        <v>45108</v>
      </c>
      <c r="I218">
        <f>_xlfn.XLOOKUP(tblFinancials[[#This Row],[AccountKey]],tblAccounts[AccountKey],tblAccounts[AccountNumber],"")</f>
        <v>4010</v>
      </c>
      <c r="J218" t="str">
        <f>_xlfn.XLOOKUP(tblFinancials[[#This Row],[AccountKey]],tblAccounts[AccountKey],tblAccounts[AccountName],"")</f>
        <v>Service Revenue</v>
      </c>
      <c r="K218" s="8" t="str">
        <f>_xlfn.XLOOKUP(tblFinancials[[#This Row],[AccountKey]],tblAccounts[AccountKey],tblAccounts[FinancialStatement],"")</f>
        <v>Income Statement</v>
      </c>
      <c r="L218" s="8" t="str">
        <f>_xlfn.XLOOKUP(tblFinancials[[#This Row],[AccountKey]],tblAccounts[AccountKey],tblAccounts[AccountCategory],"")</f>
        <v>Revenue</v>
      </c>
      <c r="M218" s="8" t="str">
        <f>_xlfn.XLOOKUP(tblFinancials[[#This Row],[AccountKey]],tblAccounts[AccountKey],tblAccounts[NormalBalance],"")</f>
        <v>Credit</v>
      </c>
      <c r="N218" s="8" t="str">
        <f>_xlfn.XLOOKUP(tblFinancials[[#This Row],[DepartmentKey]],tblDepartments[DepartmentKey],tblDepartments[DepartmentName],"")</f>
        <v>Human Resources</v>
      </c>
      <c r="O218" s="8" t="str">
        <f>_xlfn.XLOOKUP(tblFinancials[[#This Row],[BusinessUnitKey]],tblBusinessUnits[BusinessUnitKey],tblBusinessUnits[BusinessUnitName],"")</f>
        <v>Retail</v>
      </c>
      <c r="P218" s="8" t="str">
        <f>_xlfn.XLOOKUP(tblFinancials[[#This Row],[RegionKey]],tblRegions[RegionKey],tblRegions[RegionName],"")</f>
        <v>South</v>
      </c>
    </row>
    <row r="219" spans="1:16">
      <c r="A219">
        <v>20230701</v>
      </c>
      <c r="B219">
        <v>4</v>
      </c>
      <c r="C219">
        <v>2</v>
      </c>
      <c r="D219">
        <v>2</v>
      </c>
      <c r="E219">
        <v>11</v>
      </c>
      <c r="F219" t="s">
        <v>92</v>
      </c>
      <c r="G219">
        <v>30007.99</v>
      </c>
      <c r="H219">
        <f>_xlfn.XLOOKUP(tblFinancials[[#This Row],[DateKey]],tblCalendar[DateKey],tblCalendar[FullDate],"")</f>
        <v>45108</v>
      </c>
      <c r="I219">
        <f>_xlfn.XLOOKUP(tblFinancials[[#This Row],[AccountKey]],tblAccounts[AccountKey],tblAccounts[AccountNumber],"")</f>
        <v>4000</v>
      </c>
      <c r="J219" t="str">
        <f>_xlfn.XLOOKUP(tblFinancials[[#This Row],[AccountKey]],tblAccounts[AccountKey],tblAccounts[AccountName],"")</f>
        <v>Product Revenue</v>
      </c>
      <c r="K219" s="8" t="str">
        <f>_xlfn.XLOOKUP(tblFinancials[[#This Row],[AccountKey]],tblAccounts[AccountKey],tblAccounts[FinancialStatement],"")</f>
        <v>Income Statement</v>
      </c>
      <c r="L219" s="8" t="str">
        <f>_xlfn.XLOOKUP(tblFinancials[[#This Row],[AccountKey]],tblAccounts[AccountKey],tblAccounts[AccountCategory],"")</f>
        <v>Revenue</v>
      </c>
      <c r="M219" s="8" t="str">
        <f>_xlfn.XLOOKUP(tblFinancials[[#This Row],[AccountKey]],tblAccounts[AccountKey],tblAccounts[NormalBalance],"")</f>
        <v>Credit</v>
      </c>
      <c r="N219" s="8" t="str">
        <f>_xlfn.XLOOKUP(tblFinancials[[#This Row],[DepartmentKey]],tblDepartments[DepartmentKey],tblDepartments[DepartmentName],"")</f>
        <v>Sales</v>
      </c>
      <c r="O219" s="8" t="str">
        <f>_xlfn.XLOOKUP(tblFinancials[[#This Row],[BusinessUnitKey]],tblBusinessUnits[BusinessUnitKey],tblBusinessUnits[BusinessUnitName],"")</f>
        <v>Wholesale</v>
      </c>
      <c r="P219" s="8" t="str">
        <f>_xlfn.XLOOKUP(tblFinancials[[#This Row],[RegionKey]],tblRegions[RegionKey],tblRegions[RegionName],"")</f>
        <v>Midwest</v>
      </c>
    </row>
    <row r="220" spans="1:16">
      <c r="A220">
        <v>20230701</v>
      </c>
      <c r="B220">
        <v>3</v>
      </c>
      <c r="C220">
        <v>1</v>
      </c>
      <c r="D220">
        <v>3</v>
      </c>
      <c r="E220">
        <v>12</v>
      </c>
      <c r="F220" t="s">
        <v>92</v>
      </c>
      <c r="G220">
        <v>30183.19</v>
      </c>
      <c r="H220">
        <f>_xlfn.XLOOKUP(tblFinancials[[#This Row],[DateKey]],tblCalendar[DateKey],tblCalendar[FullDate],"")</f>
        <v>45108</v>
      </c>
      <c r="I220">
        <f>_xlfn.XLOOKUP(tblFinancials[[#This Row],[AccountKey]],tblAccounts[AccountKey],tblAccounts[AccountNumber],"")</f>
        <v>4010</v>
      </c>
      <c r="J220" t="str">
        <f>_xlfn.XLOOKUP(tblFinancials[[#This Row],[AccountKey]],tblAccounts[AccountKey],tblAccounts[AccountName],"")</f>
        <v>Service Revenue</v>
      </c>
      <c r="K220" s="8" t="str">
        <f>_xlfn.XLOOKUP(tblFinancials[[#This Row],[AccountKey]],tblAccounts[AccountKey],tblAccounts[FinancialStatement],"")</f>
        <v>Income Statement</v>
      </c>
      <c r="L220" s="8" t="str">
        <f>_xlfn.XLOOKUP(tblFinancials[[#This Row],[AccountKey]],tblAccounts[AccountKey],tblAccounts[AccountCategory],"")</f>
        <v>Revenue</v>
      </c>
      <c r="M220" s="8" t="str">
        <f>_xlfn.XLOOKUP(tblFinancials[[#This Row],[AccountKey]],tblAccounts[AccountKey],tblAccounts[NormalBalance],"")</f>
        <v>Credit</v>
      </c>
      <c r="N220" s="8" t="str">
        <f>_xlfn.XLOOKUP(tblFinancials[[#This Row],[DepartmentKey]],tblDepartments[DepartmentKey],tblDepartments[DepartmentName],"")</f>
        <v>Human Resources</v>
      </c>
      <c r="O220" s="8" t="str">
        <f>_xlfn.XLOOKUP(tblFinancials[[#This Row],[BusinessUnitKey]],tblBusinessUnits[BusinessUnitKey],tblBusinessUnits[BusinessUnitName],"")</f>
        <v xml:space="preserve">Manufacturing </v>
      </c>
      <c r="P220" s="8" t="str">
        <f>_xlfn.XLOOKUP(tblFinancials[[#This Row],[RegionKey]],tblRegions[RegionKey],tblRegions[RegionName],"")</f>
        <v>South</v>
      </c>
    </row>
    <row r="221" spans="1:16">
      <c r="A221">
        <v>20230701</v>
      </c>
      <c r="B221">
        <v>4</v>
      </c>
      <c r="C221">
        <v>1</v>
      </c>
      <c r="D221">
        <v>3</v>
      </c>
      <c r="E221">
        <v>13</v>
      </c>
      <c r="F221" t="s">
        <v>92</v>
      </c>
      <c r="G221">
        <v>31655.93</v>
      </c>
      <c r="H221">
        <f>_xlfn.XLOOKUP(tblFinancials[[#This Row],[DateKey]],tblCalendar[DateKey],tblCalendar[FullDate],"")</f>
        <v>45108</v>
      </c>
      <c r="I221">
        <f>_xlfn.XLOOKUP(tblFinancials[[#This Row],[AccountKey]],tblAccounts[AccountKey],tblAccounts[AccountNumber],"")</f>
        <v>4020</v>
      </c>
      <c r="J221" t="str">
        <f>_xlfn.XLOOKUP(tblFinancials[[#This Row],[AccountKey]],tblAccounts[AccountKey],tblAccounts[AccountName],"")</f>
        <v>Online Revenue</v>
      </c>
      <c r="K221" s="8" t="str">
        <f>_xlfn.XLOOKUP(tblFinancials[[#This Row],[AccountKey]],tblAccounts[AccountKey],tblAccounts[FinancialStatement],"")</f>
        <v>Income Statement</v>
      </c>
      <c r="L221" s="8" t="str">
        <f>_xlfn.XLOOKUP(tblFinancials[[#This Row],[AccountKey]],tblAccounts[AccountKey],tblAccounts[AccountCategory],"")</f>
        <v>Revenue</v>
      </c>
      <c r="M221" s="8" t="str">
        <f>_xlfn.XLOOKUP(tblFinancials[[#This Row],[AccountKey]],tblAccounts[AccountKey],tblAccounts[NormalBalance],"")</f>
        <v>Credit</v>
      </c>
      <c r="N221" s="8" t="str">
        <f>_xlfn.XLOOKUP(tblFinancials[[#This Row],[DepartmentKey]],tblDepartments[DepartmentKey],tblDepartments[DepartmentName],"")</f>
        <v>Sales</v>
      </c>
      <c r="O221" s="8" t="str">
        <f>_xlfn.XLOOKUP(tblFinancials[[#This Row],[BusinessUnitKey]],tblBusinessUnits[BusinessUnitKey],tblBusinessUnits[BusinessUnitName],"")</f>
        <v xml:space="preserve">Manufacturing </v>
      </c>
      <c r="P221" s="8" t="str">
        <f>_xlfn.XLOOKUP(tblFinancials[[#This Row],[RegionKey]],tblRegions[RegionKey],tblRegions[RegionName],"")</f>
        <v>South</v>
      </c>
    </row>
    <row r="222" spans="1:16">
      <c r="A222">
        <v>20230701</v>
      </c>
      <c r="B222">
        <v>8</v>
      </c>
      <c r="C222">
        <v>2</v>
      </c>
      <c r="D222">
        <v>4</v>
      </c>
      <c r="E222">
        <v>11</v>
      </c>
      <c r="F222" t="s">
        <v>92</v>
      </c>
      <c r="G222">
        <v>31708.65</v>
      </c>
      <c r="H222">
        <f>_xlfn.XLOOKUP(tblFinancials[[#This Row],[DateKey]],tblCalendar[DateKey],tblCalendar[FullDate],"")</f>
        <v>45108</v>
      </c>
      <c r="I222">
        <f>_xlfn.XLOOKUP(tblFinancials[[#This Row],[AccountKey]],tblAccounts[AccountKey],tblAccounts[AccountNumber],"")</f>
        <v>4000</v>
      </c>
      <c r="J222" t="str">
        <f>_xlfn.XLOOKUP(tblFinancials[[#This Row],[AccountKey]],tblAccounts[AccountKey],tblAccounts[AccountName],"")</f>
        <v>Product Revenue</v>
      </c>
      <c r="K222" s="8" t="str">
        <f>_xlfn.XLOOKUP(tblFinancials[[#This Row],[AccountKey]],tblAccounts[AccountKey],tblAccounts[FinancialStatement],"")</f>
        <v>Income Statement</v>
      </c>
      <c r="L222" s="8" t="str">
        <f>_xlfn.XLOOKUP(tblFinancials[[#This Row],[AccountKey]],tblAccounts[AccountKey],tblAccounts[AccountCategory],"")</f>
        <v>Revenue</v>
      </c>
      <c r="M222" s="8" t="str">
        <f>_xlfn.XLOOKUP(tblFinancials[[#This Row],[AccountKey]],tblAccounts[AccountKey],tblAccounts[NormalBalance],"")</f>
        <v>Credit</v>
      </c>
      <c r="N222" s="8" t="str">
        <f>_xlfn.XLOOKUP(tblFinancials[[#This Row],[DepartmentKey]],tblDepartments[DepartmentKey],tblDepartments[DepartmentName],"")</f>
        <v>Customer Service</v>
      </c>
      <c r="O222" s="8" t="str">
        <f>_xlfn.XLOOKUP(tblFinancials[[#This Row],[BusinessUnitKey]],tblBusinessUnits[BusinessUnitKey],tblBusinessUnits[BusinessUnitName],"")</f>
        <v>Wholesale</v>
      </c>
      <c r="P222" s="8" t="str">
        <f>_xlfn.XLOOKUP(tblFinancials[[#This Row],[RegionKey]],tblRegions[RegionKey],tblRegions[RegionName],"")</f>
        <v>East</v>
      </c>
    </row>
    <row r="223" spans="1:16">
      <c r="A223">
        <v>20230701</v>
      </c>
      <c r="B223">
        <v>4</v>
      </c>
      <c r="C223">
        <v>2</v>
      </c>
      <c r="D223">
        <v>1</v>
      </c>
      <c r="E223">
        <v>12</v>
      </c>
      <c r="F223" t="s">
        <v>92</v>
      </c>
      <c r="G223">
        <v>31585.24</v>
      </c>
      <c r="H223">
        <f>_xlfn.XLOOKUP(tblFinancials[[#This Row],[DateKey]],tblCalendar[DateKey],tblCalendar[FullDate],"")</f>
        <v>45108</v>
      </c>
      <c r="I223">
        <f>_xlfn.XLOOKUP(tblFinancials[[#This Row],[AccountKey]],tblAccounts[AccountKey],tblAccounts[AccountNumber],"")</f>
        <v>4010</v>
      </c>
      <c r="J223" t="str">
        <f>_xlfn.XLOOKUP(tblFinancials[[#This Row],[AccountKey]],tblAccounts[AccountKey],tblAccounts[AccountName],"")</f>
        <v>Service Revenue</v>
      </c>
      <c r="K223" s="8" t="str">
        <f>_xlfn.XLOOKUP(tblFinancials[[#This Row],[AccountKey]],tblAccounts[AccountKey],tblAccounts[FinancialStatement],"")</f>
        <v>Income Statement</v>
      </c>
      <c r="L223" s="8" t="str">
        <f>_xlfn.XLOOKUP(tblFinancials[[#This Row],[AccountKey]],tblAccounts[AccountKey],tblAccounts[AccountCategory],"")</f>
        <v>Revenue</v>
      </c>
      <c r="M223" s="8" t="str">
        <f>_xlfn.XLOOKUP(tblFinancials[[#This Row],[AccountKey]],tblAccounts[AccountKey],tblAccounts[NormalBalance],"")</f>
        <v>Credit</v>
      </c>
      <c r="N223" s="8" t="str">
        <f>_xlfn.XLOOKUP(tblFinancials[[#This Row],[DepartmentKey]],tblDepartments[DepartmentKey],tblDepartments[DepartmentName],"")</f>
        <v>Sales</v>
      </c>
      <c r="O223" s="8" t="str">
        <f>_xlfn.XLOOKUP(tblFinancials[[#This Row],[BusinessUnitKey]],tblBusinessUnits[BusinessUnitKey],tblBusinessUnits[BusinessUnitName],"")</f>
        <v>Wholesale</v>
      </c>
      <c r="P223" s="8" t="str">
        <f>_xlfn.XLOOKUP(tblFinancials[[#This Row],[RegionKey]],tblRegions[RegionKey],tblRegions[RegionName],"")</f>
        <v>West</v>
      </c>
    </row>
    <row r="224" spans="1:16">
      <c r="A224">
        <v>20230701</v>
      </c>
      <c r="B224">
        <v>5</v>
      </c>
      <c r="C224">
        <v>2</v>
      </c>
      <c r="D224">
        <v>4</v>
      </c>
      <c r="E224">
        <v>11</v>
      </c>
      <c r="F224" t="s">
        <v>92</v>
      </c>
      <c r="G224">
        <v>30752.9</v>
      </c>
      <c r="H224">
        <f>_xlfn.XLOOKUP(tblFinancials[[#This Row],[DateKey]],tblCalendar[DateKey],tblCalendar[FullDate],"")</f>
        <v>45108</v>
      </c>
      <c r="I224">
        <f>_xlfn.XLOOKUP(tblFinancials[[#This Row],[AccountKey]],tblAccounts[AccountKey],tblAccounts[AccountNumber],"")</f>
        <v>4000</v>
      </c>
      <c r="J224" t="str">
        <f>_xlfn.XLOOKUP(tblFinancials[[#This Row],[AccountKey]],tblAccounts[AccountKey],tblAccounts[AccountName],"")</f>
        <v>Product Revenue</v>
      </c>
      <c r="K224" s="8" t="str">
        <f>_xlfn.XLOOKUP(tblFinancials[[#This Row],[AccountKey]],tblAccounts[AccountKey],tblAccounts[FinancialStatement],"")</f>
        <v>Income Statement</v>
      </c>
      <c r="L224" s="8" t="str">
        <f>_xlfn.XLOOKUP(tblFinancials[[#This Row],[AccountKey]],tblAccounts[AccountKey],tblAccounts[AccountCategory],"")</f>
        <v>Revenue</v>
      </c>
      <c r="M224" s="8" t="str">
        <f>_xlfn.XLOOKUP(tblFinancials[[#This Row],[AccountKey]],tblAccounts[AccountKey],tblAccounts[NormalBalance],"")</f>
        <v>Credit</v>
      </c>
      <c r="N224" s="8" t="str">
        <f>_xlfn.XLOOKUP(tblFinancials[[#This Row],[DepartmentKey]],tblDepartments[DepartmentKey],tblDepartments[DepartmentName],"")</f>
        <v>Marketing</v>
      </c>
      <c r="O224" s="8" t="str">
        <f>_xlfn.XLOOKUP(tblFinancials[[#This Row],[BusinessUnitKey]],tblBusinessUnits[BusinessUnitKey],tblBusinessUnits[BusinessUnitName],"")</f>
        <v>Wholesale</v>
      </c>
      <c r="P224" s="8" t="str">
        <f>_xlfn.XLOOKUP(tblFinancials[[#This Row],[RegionKey]],tblRegions[RegionKey],tblRegions[RegionName],"")</f>
        <v>East</v>
      </c>
    </row>
    <row r="225" spans="1:16">
      <c r="A225">
        <v>20230701</v>
      </c>
      <c r="B225">
        <v>5</v>
      </c>
      <c r="C225">
        <v>1</v>
      </c>
      <c r="D225">
        <v>3</v>
      </c>
      <c r="E225">
        <v>11</v>
      </c>
      <c r="F225" t="s">
        <v>92</v>
      </c>
      <c r="G225">
        <v>31858.19</v>
      </c>
      <c r="H225">
        <f>_xlfn.XLOOKUP(tblFinancials[[#This Row],[DateKey]],tblCalendar[DateKey],tblCalendar[FullDate],"")</f>
        <v>45108</v>
      </c>
      <c r="I225">
        <f>_xlfn.XLOOKUP(tblFinancials[[#This Row],[AccountKey]],tblAccounts[AccountKey],tblAccounts[AccountNumber],"")</f>
        <v>4000</v>
      </c>
      <c r="J225" t="str">
        <f>_xlfn.XLOOKUP(tblFinancials[[#This Row],[AccountKey]],tblAccounts[AccountKey],tblAccounts[AccountName],"")</f>
        <v>Product Revenue</v>
      </c>
      <c r="K225" s="8" t="str">
        <f>_xlfn.XLOOKUP(tblFinancials[[#This Row],[AccountKey]],tblAccounts[AccountKey],tblAccounts[FinancialStatement],"")</f>
        <v>Income Statement</v>
      </c>
      <c r="L225" s="8" t="str">
        <f>_xlfn.XLOOKUP(tblFinancials[[#This Row],[AccountKey]],tblAccounts[AccountKey],tblAccounts[AccountCategory],"")</f>
        <v>Revenue</v>
      </c>
      <c r="M225" s="8" t="str">
        <f>_xlfn.XLOOKUP(tblFinancials[[#This Row],[AccountKey]],tblAccounts[AccountKey],tblAccounts[NormalBalance],"")</f>
        <v>Credit</v>
      </c>
      <c r="N225" s="8" t="str">
        <f>_xlfn.XLOOKUP(tblFinancials[[#This Row],[DepartmentKey]],tblDepartments[DepartmentKey],tblDepartments[DepartmentName],"")</f>
        <v>Marketing</v>
      </c>
      <c r="O225" s="8" t="str">
        <f>_xlfn.XLOOKUP(tblFinancials[[#This Row],[BusinessUnitKey]],tblBusinessUnits[BusinessUnitKey],tblBusinessUnits[BusinessUnitName],"")</f>
        <v xml:space="preserve">Manufacturing </v>
      </c>
      <c r="P225" s="8" t="str">
        <f>_xlfn.XLOOKUP(tblFinancials[[#This Row],[RegionKey]],tblRegions[RegionKey],tblRegions[RegionName],"")</f>
        <v>South</v>
      </c>
    </row>
    <row r="226" spans="1:16">
      <c r="A226">
        <v>20230701</v>
      </c>
      <c r="B226">
        <v>2</v>
      </c>
      <c r="C226">
        <v>1</v>
      </c>
      <c r="D226">
        <v>4</v>
      </c>
      <c r="E226">
        <v>11</v>
      </c>
      <c r="F226" t="s">
        <v>92</v>
      </c>
      <c r="G226">
        <v>31515.32</v>
      </c>
      <c r="H226">
        <f>_xlfn.XLOOKUP(tblFinancials[[#This Row],[DateKey]],tblCalendar[DateKey],tblCalendar[FullDate],"")</f>
        <v>45108</v>
      </c>
      <c r="I226">
        <f>_xlfn.XLOOKUP(tblFinancials[[#This Row],[AccountKey]],tblAccounts[AccountKey],tblAccounts[AccountNumber],"")</f>
        <v>4000</v>
      </c>
      <c r="J226" t="str">
        <f>_xlfn.XLOOKUP(tblFinancials[[#This Row],[AccountKey]],tblAccounts[AccountKey],tblAccounts[AccountName],"")</f>
        <v>Product Revenue</v>
      </c>
      <c r="K226" s="8" t="str">
        <f>_xlfn.XLOOKUP(tblFinancials[[#This Row],[AccountKey]],tblAccounts[AccountKey],tblAccounts[FinancialStatement],"")</f>
        <v>Income Statement</v>
      </c>
      <c r="L226" s="8" t="str">
        <f>_xlfn.XLOOKUP(tblFinancials[[#This Row],[AccountKey]],tblAccounts[AccountKey],tblAccounts[AccountCategory],"")</f>
        <v>Revenue</v>
      </c>
      <c r="M226" s="8" t="str">
        <f>_xlfn.XLOOKUP(tblFinancials[[#This Row],[AccountKey]],tblAccounts[AccountKey],tblAccounts[NormalBalance],"")</f>
        <v>Credit</v>
      </c>
      <c r="N226" s="8" t="str">
        <f>_xlfn.XLOOKUP(tblFinancials[[#This Row],[DepartmentKey]],tblDepartments[DepartmentKey],tblDepartments[DepartmentName],"")</f>
        <v>Finance</v>
      </c>
      <c r="O226" s="8" t="str">
        <f>_xlfn.XLOOKUP(tblFinancials[[#This Row],[BusinessUnitKey]],tblBusinessUnits[BusinessUnitKey],tblBusinessUnits[BusinessUnitName],"")</f>
        <v xml:space="preserve">Manufacturing </v>
      </c>
      <c r="P226" s="8" t="str">
        <f>_xlfn.XLOOKUP(tblFinancials[[#This Row],[RegionKey]],tblRegions[RegionKey],tblRegions[RegionName],"")</f>
        <v>East</v>
      </c>
    </row>
    <row r="227" spans="1:16">
      <c r="A227">
        <v>20230701</v>
      </c>
      <c r="B227">
        <v>3</v>
      </c>
      <c r="C227">
        <v>4</v>
      </c>
      <c r="D227">
        <v>4</v>
      </c>
      <c r="E227">
        <v>13</v>
      </c>
      <c r="F227" t="s">
        <v>92</v>
      </c>
      <c r="G227">
        <v>30813.439999999999</v>
      </c>
      <c r="H227">
        <f>_xlfn.XLOOKUP(tblFinancials[[#This Row],[DateKey]],tblCalendar[DateKey],tblCalendar[FullDate],"")</f>
        <v>45108</v>
      </c>
      <c r="I227">
        <f>_xlfn.XLOOKUP(tblFinancials[[#This Row],[AccountKey]],tblAccounts[AccountKey],tblAccounts[AccountNumber],"")</f>
        <v>4020</v>
      </c>
      <c r="J227" t="str">
        <f>_xlfn.XLOOKUP(tblFinancials[[#This Row],[AccountKey]],tblAccounts[AccountKey],tblAccounts[AccountName],"")</f>
        <v>Online Revenue</v>
      </c>
      <c r="K227" s="8" t="str">
        <f>_xlfn.XLOOKUP(tblFinancials[[#This Row],[AccountKey]],tblAccounts[AccountKey],tblAccounts[FinancialStatement],"")</f>
        <v>Income Statement</v>
      </c>
      <c r="L227" s="8" t="str">
        <f>_xlfn.XLOOKUP(tblFinancials[[#This Row],[AccountKey]],tblAccounts[AccountKey],tblAccounts[AccountCategory],"")</f>
        <v>Revenue</v>
      </c>
      <c r="M227" s="8" t="str">
        <f>_xlfn.XLOOKUP(tblFinancials[[#This Row],[AccountKey]],tblAccounts[AccountKey],tblAccounts[NormalBalance],"")</f>
        <v>Credit</v>
      </c>
      <c r="N227" s="8" t="str">
        <f>_xlfn.XLOOKUP(tblFinancials[[#This Row],[DepartmentKey]],tblDepartments[DepartmentKey],tblDepartments[DepartmentName],"")</f>
        <v>Human Resources</v>
      </c>
      <c r="O227" s="8" t="str">
        <f>_xlfn.XLOOKUP(tblFinancials[[#This Row],[BusinessUnitKey]],tblBusinessUnits[BusinessUnitKey],tblBusinessUnits[BusinessUnitName],"")</f>
        <v>E-Commerce</v>
      </c>
      <c r="P227" s="8" t="str">
        <f>_xlfn.XLOOKUP(tblFinancials[[#This Row],[RegionKey]],tblRegions[RegionKey],tblRegions[RegionName],"")</f>
        <v>East</v>
      </c>
    </row>
    <row r="228" spans="1:16">
      <c r="A228">
        <v>20230701</v>
      </c>
      <c r="B228">
        <v>1</v>
      </c>
      <c r="C228">
        <v>3</v>
      </c>
      <c r="D228">
        <v>4</v>
      </c>
      <c r="E228">
        <v>13</v>
      </c>
      <c r="F228" t="s">
        <v>92</v>
      </c>
      <c r="G228">
        <v>30434.52</v>
      </c>
      <c r="H228">
        <f>_xlfn.XLOOKUP(tblFinancials[[#This Row],[DateKey]],tblCalendar[DateKey],tblCalendar[FullDate],"")</f>
        <v>45108</v>
      </c>
      <c r="I228">
        <f>_xlfn.XLOOKUP(tblFinancials[[#This Row],[AccountKey]],tblAccounts[AccountKey],tblAccounts[AccountNumber],"")</f>
        <v>4020</v>
      </c>
      <c r="J228" t="str">
        <f>_xlfn.XLOOKUP(tblFinancials[[#This Row],[AccountKey]],tblAccounts[AccountKey],tblAccounts[AccountName],"")</f>
        <v>Online Revenue</v>
      </c>
      <c r="K228" s="8" t="str">
        <f>_xlfn.XLOOKUP(tblFinancials[[#This Row],[AccountKey]],tblAccounts[AccountKey],tblAccounts[FinancialStatement],"")</f>
        <v>Income Statement</v>
      </c>
      <c r="L228" s="8" t="str">
        <f>_xlfn.XLOOKUP(tblFinancials[[#This Row],[AccountKey]],tblAccounts[AccountKey],tblAccounts[AccountCategory],"")</f>
        <v>Revenue</v>
      </c>
      <c r="M228" s="8" t="str">
        <f>_xlfn.XLOOKUP(tblFinancials[[#This Row],[AccountKey]],tblAccounts[AccountKey],tblAccounts[NormalBalance],"")</f>
        <v>Credit</v>
      </c>
      <c r="N228" s="8" t="str">
        <f>_xlfn.XLOOKUP(tblFinancials[[#This Row],[DepartmentKey]],tblDepartments[DepartmentKey],tblDepartments[DepartmentName],"")</f>
        <v>Executive</v>
      </c>
      <c r="O228" s="8" t="str">
        <f>_xlfn.XLOOKUP(tblFinancials[[#This Row],[BusinessUnitKey]],tblBusinessUnits[BusinessUnitKey],tblBusinessUnits[BusinessUnitName],"")</f>
        <v>Retail</v>
      </c>
      <c r="P228" s="8" t="str">
        <f>_xlfn.XLOOKUP(tblFinancials[[#This Row],[RegionKey]],tblRegions[RegionKey],tblRegions[RegionName],"")</f>
        <v>East</v>
      </c>
    </row>
    <row r="229" spans="1:16">
      <c r="A229">
        <v>20230701</v>
      </c>
      <c r="B229">
        <v>4</v>
      </c>
      <c r="C229">
        <v>3</v>
      </c>
      <c r="D229">
        <v>4</v>
      </c>
      <c r="E229">
        <v>13</v>
      </c>
      <c r="F229" t="s">
        <v>92</v>
      </c>
      <c r="G229">
        <v>31089.65</v>
      </c>
      <c r="H229">
        <f>_xlfn.XLOOKUP(tblFinancials[[#This Row],[DateKey]],tblCalendar[DateKey],tblCalendar[FullDate],"")</f>
        <v>45108</v>
      </c>
      <c r="I229">
        <f>_xlfn.XLOOKUP(tblFinancials[[#This Row],[AccountKey]],tblAccounts[AccountKey],tblAccounts[AccountNumber],"")</f>
        <v>4020</v>
      </c>
      <c r="J229" t="str">
        <f>_xlfn.XLOOKUP(tblFinancials[[#This Row],[AccountKey]],tblAccounts[AccountKey],tblAccounts[AccountName],"")</f>
        <v>Online Revenue</v>
      </c>
      <c r="K229" s="8" t="str">
        <f>_xlfn.XLOOKUP(tblFinancials[[#This Row],[AccountKey]],tblAccounts[AccountKey],tblAccounts[FinancialStatement],"")</f>
        <v>Income Statement</v>
      </c>
      <c r="L229" s="8" t="str">
        <f>_xlfn.XLOOKUP(tblFinancials[[#This Row],[AccountKey]],tblAccounts[AccountKey],tblAccounts[AccountCategory],"")</f>
        <v>Revenue</v>
      </c>
      <c r="M229" s="8" t="str">
        <f>_xlfn.XLOOKUP(tblFinancials[[#This Row],[AccountKey]],tblAccounts[AccountKey],tblAccounts[NormalBalance],"")</f>
        <v>Credit</v>
      </c>
      <c r="N229" s="8" t="str">
        <f>_xlfn.XLOOKUP(tblFinancials[[#This Row],[DepartmentKey]],tblDepartments[DepartmentKey],tblDepartments[DepartmentName],"")</f>
        <v>Sales</v>
      </c>
      <c r="O229" s="8" t="str">
        <f>_xlfn.XLOOKUP(tblFinancials[[#This Row],[BusinessUnitKey]],tblBusinessUnits[BusinessUnitKey],tblBusinessUnits[BusinessUnitName],"")</f>
        <v>Retail</v>
      </c>
      <c r="P229" s="8" t="str">
        <f>_xlfn.XLOOKUP(tblFinancials[[#This Row],[RegionKey]],tblRegions[RegionKey],tblRegions[RegionName],"")</f>
        <v>East</v>
      </c>
    </row>
    <row r="230" spans="1:16">
      <c r="A230">
        <v>20230701</v>
      </c>
      <c r="B230">
        <v>8</v>
      </c>
      <c r="C230">
        <v>3</v>
      </c>
      <c r="D230">
        <v>3</v>
      </c>
      <c r="E230">
        <v>14</v>
      </c>
      <c r="F230" t="s">
        <v>92</v>
      </c>
      <c r="G230">
        <v>-19241.68</v>
      </c>
      <c r="H230">
        <f>_xlfn.XLOOKUP(tblFinancials[[#This Row],[DateKey]],tblCalendar[DateKey],tblCalendar[FullDate],"")</f>
        <v>45108</v>
      </c>
      <c r="I230">
        <f>_xlfn.XLOOKUP(tblFinancials[[#This Row],[AccountKey]],tblAccounts[AccountKey],tblAccounts[AccountNumber],"")</f>
        <v>5000</v>
      </c>
      <c r="J230" t="str">
        <f>_xlfn.XLOOKUP(tblFinancials[[#This Row],[AccountKey]],tblAccounts[AccountKey],tblAccounts[AccountName],"")</f>
        <v>Cost of Goods Sold</v>
      </c>
      <c r="K230" s="8" t="str">
        <f>_xlfn.XLOOKUP(tblFinancials[[#This Row],[AccountKey]],tblAccounts[AccountKey],tblAccounts[FinancialStatement],"")</f>
        <v>Income Statement</v>
      </c>
      <c r="L230" s="8" t="str">
        <f>_xlfn.XLOOKUP(tblFinancials[[#This Row],[AccountKey]],tblAccounts[AccountKey],tblAccounts[AccountCategory],"")</f>
        <v>Cost of Sales</v>
      </c>
      <c r="M230" s="8" t="str">
        <f>_xlfn.XLOOKUP(tblFinancials[[#This Row],[AccountKey]],tblAccounts[AccountKey],tblAccounts[NormalBalance],"")</f>
        <v>Debit</v>
      </c>
      <c r="N230" s="8" t="str">
        <f>_xlfn.XLOOKUP(tblFinancials[[#This Row],[DepartmentKey]],tblDepartments[DepartmentKey],tblDepartments[DepartmentName],"")</f>
        <v>Customer Service</v>
      </c>
      <c r="O230" s="8" t="str">
        <f>_xlfn.XLOOKUP(tblFinancials[[#This Row],[BusinessUnitKey]],tblBusinessUnits[BusinessUnitKey],tblBusinessUnits[BusinessUnitName],"")</f>
        <v>Retail</v>
      </c>
      <c r="P230" s="8" t="str">
        <f>_xlfn.XLOOKUP(tblFinancials[[#This Row],[RegionKey]],tblRegions[RegionKey],tblRegions[RegionName],"")</f>
        <v>South</v>
      </c>
    </row>
    <row r="231" spans="1:16">
      <c r="A231">
        <v>20230701</v>
      </c>
      <c r="B231">
        <v>7</v>
      </c>
      <c r="C231">
        <v>3</v>
      </c>
      <c r="D231">
        <v>2</v>
      </c>
      <c r="E231">
        <v>14</v>
      </c>
      <c r="F231" t="s">
        <v>92</v>
      </c>
      <c r="G231">
        <v>-17329.900000000001</v>
      </c>
      <c r="H231">
        <f>_xlfn.XLOOKUP(tblFinancials[[#This Row],[DateKey]],tblCalendar[DateKey],tblCalendar[FullDate],"")</f>
        <v>45108</v>
      </c>
      <c r="I231">
        <f>_xlfn.XLOOKUP(tblFinancials[[#This Row],[AccountKey]],tblAccounts[AccountKey],tblAccounts[AccountNumber],"")</f>
        <v>5000</v>
      </c>
      <c r="J231" t="str">
        <f>_xlfn.XLOOKUP(tblFinancials[[#This Row],[AccountKey]],tblAccounts[AccountKey],tblAccounts[AccountName],"")</f>
        <v>Cost of Goods Sold</v>
      </c>
      <c r="K231" s="8" t="str">
        <f>_xlfn.XLOOKUP(tblFinancials[[#This Row],[AccountKey]],tblAccounts[AccountKey],tblAccounts[FinancialStatement],"")</f>
        <v>Income Statement</v>
      </c>
      <c r="L231" s="8" t="str">
        <f>_xlfn.XLOOKUP(tblFinancials[[#This Row],[AccountKey]],tblAccounts[AccountKey],tblAccounts[AccountCategory],"")</f>
        <v>Cost of Sales</v>
      </c>
      <c r="M231" s="8" t="str">
        <f>_xlfn.XLOOKUP(tblFinancials[[#This Row],[AccountKey]],tblAccounts[AccountKey],tblAccounts[NormalBalance],"")</f>
        <v>Debit</v>
      </c>
      <c r="N231" s="8" t="str">
        <f>_xlfn.XLOOKUP(tblFinancials[[#This Row],[DepartmentKey]],tblDepartments[DepartmentKey],tblDepartments[DepartmentName],"")</f>
        <v>Information Technology</v>
      </c>
      <c r="O231" s="8" t="str">
        <f>_xlfn.XLOOKUP(tblFinancials[[#This Row],[BusinessUnitKey]],tblBusinessUnits[BusinessUnitKey],tblBusinessUnits[BusinessUnitName],"")</f>
        <v>Retail</v>
      </c>
      <c r="P231" s="8" t="str">
        <f>_xlfn.XLOOKUP(tblFinancials[[#This Row],[RegionKey]],tblRegions[RegionKey],tblRegions[RegionName],"")</f>
        <v>Midwest</v>
      </c>
    </row>
    <row r="232" spans="1:16">
      <c r="A232">
        <v>20230701</v>
      </c>
      <c r="B232">
        <v>6</v>
      </c>
      <c r="C232">
        <v>2</v>
      </c>
      <c r="D232">
        <v>3</v>
      </c>
      <c r="E232">
        <v>14</v>
      </c>
      <c r="F232" t="s">
        <v>92</v>
      </c>
      <c r="G232">
        <v>-17610.37</v>
      </c>
      <c r="H232">
        <f>_xlfn.XLOOKUP(tblFinancials[[#This Row],[DateKey]],tblCalendar[DateKey],tblCalendar[FullDate],"")</f>
        <v>45108</v>
      </c>
      <c r="I232">
        <f>_xlfn.XLOOKUP(tblFinancials[[#This Row],[AccountKey]],tblAccounts[AccountKey],tblAccounts[AccountNumber],"")</f>
        <v>5000</v>
      </c>
      <c r="J232" t="str">
        <f>_xlfn.XLOOKUP(tblFinancials[[#This Row],[AccountKey]],tblAccounts[AccountKey],tblAccounts[AccountName],"")</f>
        <v>Cost of Goods Sold</v>
      </c>
      <c r="K232" s="8" t="str">
        <f>_xlfn.XLOOKUP(tblFinancials[[#This Row],[AccountKey]],tblAccounts[AccountKey],tblAccounts[FinancialStatement],"")</f>
        <v>Income Statement</v>
      </c>
      <c r="L232" s="8" t="str">
        <f>_xlfn.XLOOKUP(tblFinancials[[#This Row],[AccountKey]],tblAccounts[AccountKey],tblAccounts[AccountCategory],"")</f>
        <v>Cost of Sales</v>
      </c>
      <c r="M232" s="8" t="str">
        <f>_xlfn.XLOOKUP(tblFinancials[[#This Row],[AccountKey]],tblAccounts[AccountKey],tblAccounts[NormalBalance],"")</f>
        <v>Debit</v>
      </c>
      <c r="N232" s="8" t="str">
        <f>_xlfn.XLOOKUP(tblFinancials[[#This Row],[DepartmentKey]],tblDepartments[DepartmentKey],tblDepartments[DepartmentName],"")</f>
        <v>Operations</v>
      </c>
      <c r="O232" s="8" t="str">
        <f>_xlfn.XLOOKUP(tblFinancials[[#This Row],[BusinessUnitKey]],tblBusinessUnits[BusinessUnitKey],tblBusinessUnits[BusinessUnitName],"")</f>
        <v>Wholesale</v>
      </c>
      <c r="P232" s="8" t="str">
        <f>_xlfn.XLOOKUP(tblFinancials[[#This Row],[RegionKey]],tblRegions[RegionKey],tblRegions[RegionName],"")</f>
        <v>South</v>
      </c>
    </row>
    <row r="233" spans="1:16">
      <c r="A233">
        <v>20230701</v>
      </c>
      <c r="B233">
        <v>6</v>
      </c>
      <c r="C233">
        <v>2</v>
      </c>
      <c r="D233">
        <v>3</v>
      </c>
      <c r="E233">
        <v>14</v>
      </c>
      <c r="F233" t="s">
        <v>92</v>
      </c>
      <c r="G233">
        <v>-17494.82</v>
      </c>
      <c r="H233">
        <f>_xlfn.XLOOKUP(tblFinancials[[#This Row],[DateKey]],tblCalendar[DateKey],tblCalendar[FullDate],"")</f>
        <v>45108</v>
      </c>
      <c r="I233">
        <f>_xlfn.XLOOKUP(tblFinancials[[#This Row],[AccountKey]],tblAccounts[AccountKey],tblAccounts[AccountNumber],"")</f>
        <v>5000</v>
      </c>
      <c r="J233" t="str">
        <f>_xlfn.XLOOKUP(tblFinancials[[#This Row],[AccountKey]],tblAccounts[AccountKey],tblAccounts[AccountName],"")</f>
        <v>Cost of Goods Sold</v>
      </c>
      <c r="K233" s="8" t="str">
        <f>_xlfn.XLOOKUP(tblFinancials[[#This Row],[AccountKey]],tblAccounts[AccountKey],tblAccounts[FinancialStatement],"")</f>
        <v>Income Statement</v>
      </c>
      <c r="L233" s="8" t="str">
        <f>_xlfn.XLOOKUP(tblFinancials[[#This Row],[AccountKey]],tblAccounts[AccountKey],tblAccounts[AccountCategory],"")</f>
        <v>Cost of Sales</v>
      </c>
      <c r="M233" s="8" t="str">
        <f>_xlfn.XLOOKUP(tblFinancials[[#This Row],[AccountKey]],tblAccounts[AccountKey],tblAccounts[NormalBalance],"")</f>
        <v>Debit</v>
      </c>
      <c r="N233" s="8" t="str">
        <f>_xlfn.XLOOKUP(tblFinancials[[#This Row],[DepartmentKey]],tblDepartments[DepartmentKey],tblDepartments[DepartmentName],"")</f>
        <v>Operations</v>
      </c>
      <c r="O233" s="8" t="str">
        <f>_xlfn.XLOOKUP(tblFinancials[[#This Row],[BusinessUnitKey]],tblBusinessUnits[BusinessUnitKey],tblBusinessUnits[BusinessUnitName],"")</f>
        <v>Wholesale</v>
      </c>
      <c r="P233" s="8" t="str">
        <f>_xlfn.XLOOKUP(tblFinancials[[#This Row],[RegionKey]],tblRegions[RegionKey],tblRegions[RegionName],"")</f>
        <v>South</v>
      </c>
    </row>
    <row r="234" spans="1:16">
      <c r="A234">
        <v>20230701</v>
      </c>
      <c r="B234">
        <v>4</v>
      </c>
      <c r="C234">
        <v>2</v>
      </c>
      <c r="D234">
        <v>3</v>
      </c>
      <c r="E234">
        <v>14</v>
      </c>
      <c r="F234" t="s">
        <v>92</v>
      </c>
      <c r="G234">
        <v>-18000.54</v>
      </c>
      <c r="H234">
        <f>_xlfn.XLOOKUP(tblFinancials[[#This Row],[DateKey]],tblCalendar[DateKey],tblCalendar[FullDate],"")</f>
        <v>45108</v>
      </c>
      <c r="I234">
        <f>_xlfn.XLOOKUP(tblFinancials[[#This Row],[AccountKey]],tblAccounts[AccountKey],tblAccounts[AccountNumber],"")</f>
        <v>5000</v>
      </c>
      <c r="J234" t="str">
        <f>_xlfn.XLOOKUP(tblFinancials[[#This Row],[AccountKey]],tblAccounts[AccountKey],tblAccounts[AccountName],"")</f>
        <v>Cost of Goods Sold</v>
      </c>
      <c r="K234" s="8" t="str">
        <f>_xlfn.XLOOKUP(tblFinancials[[#This Row],[AccountKey]],tblAccounts[AccountKey],tblAccounts[FinancialStatement],"")</f>
        <v>Income Statement</v>
      </c>
      <c r="L234" s="8" t="str">
        <f>_xlfn.XLOOKUP(tblFinancials[[#This Row],[AccountKey]],tblAccounts[AccountKey],tblAccounts[AccountCategory],"")</f>
        <v>Cost of Sales</v>
      </c>
      <c r="M234" s="8" t="str">
        <f>_xlfn.XLOOKUP(tblFinancials[[#This Row],[AccountKey]],tblAccounts[AccountKey],tblAccounts[NormalBalance],"")</f>
        <v>Debit</v>
      </c>
      <c r="N234" s="8" t="str">
        <f>_xlfn.XLOOKUP(tblFinancials[[#This Row],[DepartmentKey]],tblDepartments[DepartmentKey],tblDepartments[DepartmentName],"")</f>
        <v>Sales</v>
      </c>
      <c r="O234" s="8" t="str">
        <f>_xlfn.XLOOKUP(tblFinancials[[#This Row],[BusinessUnitKey]],tblBusinessUnits[BusinessUnitKey],tblBusinessUnits[BusinessUnitName],"")</f>
        <v>Wholesale</v>
      </c>
      <c r="P234" s="8" t="str">
        <f>_xlfn.XLOOKUP(tblFinancials[[#This Row],[RegionKey]],tblRegions[RegionKey],tblRegions[RegionName],"")</f>
        <v>South</v>
      </c>
    </row>
    <row r="235" spans="1:16">
      <c r="A235">
        <v>20230701</v>
      </c>
      <c r="B235">
        <v>8</v>
      </c>
      <c r="C235">
        <v>3</v>
      </c>
      <c r="D235">
        <v>1</v>
      </c>
      <c r="E235">
        <v>14</v>
      </c>
      <c r="F235" t="s">
        <v>92</v>
      </c>
      <c r="G235">
        <v>-19343.599999999999</v>
      </c>
      <c r="H235">
        <f>_xlfn.XLOOKUP(tblFinancials[[#This Row],[DateKey]],tblCalendar[DateKey],tblCalendar[FullDate],"")</f>
        <v>45108</v>
      </c>
      <c r="I235">
        <f>_xlfn.XLOOKUP(tblFinancials[[#This Row],[AccountKey]],tblAccounts[AccountKey],tblAccounts[AccountNumber],"")</f>
        <v>5000</v>
      </c>
      <c r="J235" t="str">
        <f>_xlfn.XLOOKUP(tblFinancials[[#This Row],[AccountKey]],tblAccounts[AccountKey],tblAccounts[AccountName],"")</f>
        <v>Cost of Goods Sold</v>
      </c>
      <c r="K235" s="8" t="str">
        <f>_xlfn.XLOOKUP(tblFinancials[[#This Row],[AccountKey]],tblAccounts[AccountKey],tblAccounts[FinancialStatement],"")</f>
        <v>Income Statement</v>
      </c>
      <c r="L235" s="8" t="str">
        <f>_xlfn.XLOOKUP(tblFinancials[[#This Row],[AccountKey]],tblAccounts[AccountKey],tblAccounts[AccountCategory],"")</f>
        <v>Cost of Sales</v>
      </c>
      <c r="M235" s="8" t="str">
        <f>_xlfn.XLOOKUP(tblFinancials[[#This Row],[AccountKey]],tblAccounts[AccountKey],tblAccounts[NormalBalance],"")</f>
        <v>Debit</v>
      </c>
      <c r="N235" s="8" t="str">
        <f>_xlfn.XLOOKUP(tblFinancials[[#This Row],[DepartmentKey]],tblDepartments[DepartmentKey],tblDepartments[DepartmentName],"")</f>
        <v>Customer Service</v>
      </c>
      <c r="O235" s="8" t="str">
        <f>_xlfn.XLOOKUP(tblFinancials[[#This Row],[BusinessUnitKey]],tblBusinessUnits[BusinessUnitKey],tblBusinessUnits[BusinessUnitName],"")</f>
        <v>Retail</v>
      </c>
      <c r="P235" s="8" t="str">
        <f>_xlfn.XLOOKUP(tblFinancials[[#This Row],[RegionKey]],tblRegions[RegionKey],tblRegions[RegionName],"")</f>
        <v>West</v>
      </c>
    </row>
    <row r="236" spans="1:16">
      <c r="A236">
        <v>20230701</v>
      </c>
      <c r="B236">
        <v>4</v>
      </c>
      <c r="C236">
        <v>4</v>
      </c>
      <c r="D236">
        <v>1</v>
      </c>
      <c r="E236">
        <v>14</v>
      </c>
      <c r="F236" t="s">
        <v>92</v>
      </c>
      <c r="G236">
        <v>-19149.580000000002</v>
      </c>
      <c r="H236">
        <f>_xlfn.XLOOKUP(tblFinancials[[#This Row],[DateKey]],tblCalendar[DateKey],tblCalendar[FullDate],"")</f>
        <v>45108</v>
      </c>
      <c r="I236">
        <f>_xlfn.XLOOKUP(tblFinancials[[#This Row],[AccountKey]],tblAccounts[AccountKey],tblAccounts[AccountNumber],"")</f>
        <v>5000</v>
      </c>
      <c r="J236" t="str">
        <f>_xlfn.XLOOKUP(tblFinancials[[#This Row],[AccountKey]],tblAccounts[AccountKey],tblAccounts[AccountName],"")</f>
        <v>Cost of Goods Sold</v>
      </c>
      <c r="K236" s="8" t="str">
        <f>_xlfn.XLOOKUP(tblFinancials[[#This Row],[AccountKey]],tblAccounts[AccountKey],tblAccounts[FinancialStatement],"")</f>
        <v>Income Statement</v>
      </c>
      <c r="L236" s="8" t="str">
        <f>_xlfn.XLOOKUP(tblFinancials[[#This Row],[AccountKey]],tblAccounts[AccountKey],tblAccounts[AccountCategory],"")</f>
        <v>Cost of Sales</v>
      </c>
      <c r="M236" s="8" t="str">
        <f>_xlfn.XLOOKUP(tblFinancials[[#This Row],[AccountKey]],tblAccounts[AccountKey],tblAccounts[NormalBalance],"")</f>
        <v>Debit</v>
      </c>
      <c r="N236" s="8" t="str">
        <f>_xlfn.XLOOKUP(tblFinancials[[#This Row],[DepartmentKey]],tblDepartments[DepartmentKey],tblDepartments[DepartmentName],"")</f>
        <v>Sales</v>
      </c>
      <c r="O236" s="8" t="str">
        <f>_xlfn.XLOOKUP(tblFinancials[[#This Row],[BusinessUnitKey]],tblBusinessUnits[BusinessUnitKey],tblBusinessUnits[BusinessUnitName],"")</f>
        <v>E-Commerce</v>
      </c>
      <c r="P236" s="8" t="str">
        <f>_xlfn.XLOOKUP(tblFinancials[[#This Row],[RegionKey]],tblRegions[RegionKey],tblRegions[RegionName],"")</f>
        <v>West</v>
      </c>
    </row>
    <row r="237" spans="1:16">
      <c r="A237">
        <v>20230701</v>
      </c>
      <c r="B237">
        <v>2</v>
      </c>
      <c r="C237">
        <v>1</v>
      </c>
      <c r="D237">
        <v>1</v>
      </c>
      <c r="E237">
        <v>14</v>
      </c>
      <c r="F237" t="s">
        <v>92</v>
      </c>
      <c r="G237">
        <v>-18925.189999999999</v>
      </c>
      <c r="H237">
        <f>_xlfn.XLOOKUP(tblFinancials[[#This Row],[DateKey]],tblCalendar[DateKey],tblCalendar[FullDate],"")</f>
        <v>45108</v>
      </c>
      <c r="I237">
        <f>_xlfn.XLOOKUP(tblFinancials[[#This Row],[AccountKey]],tblAccounts[AccountKey],tblAccounts[AccountNumber],"")</f>
        <v>5000</v>
      </c>
      <c r="J237" t="str">
        <f>_xlfn.XLOOKUP(tblFinancials[[#This Row],[AccountKey]],tblAccounts[AccountKey],tblAccounts[AccountName],"")</f>
        <v>Cost of Goods Sold</v>
      </c>
      <c r="K237" s="8" t="str">
        <f>_xlfn.XLOOKUP(tblFinancials[[#This Row],[AccountKey]],tblAccounts[AccountKey],tblAccounts[FinancialStatement],"")</f>
        <v>Income Statement</v>
      </c>
      <c r="L237" s="8" t="str">
        <f>_xlfn.XLOOKUP(tblFinancials[[#This Row],[AccountKey]],tblAccounts[AccountKey],tblAccounts[AccountCategory],"")</f>
        <v>Cost of Sales</v>
      </c>
      <c r="M237" s="8" t="str">
        <f>_xlfn.XLOOKUP(tblFinancials[[#This Row],[AccountKey]],tblAccounts[AccountKey],tblAccounts[NormalBalance],"")</f>
        <v>Debit</v>
      </c>
      <c r="N237" s="8" t="str">
        <f>_xlfn.XLOOKUP(tblFinancials[[#This Row],[DepartmentKey]],tblDepartments[DepartmentKey],tblDepartments[DepartmentName],"")</f>
        <v>Finance</v>
      </c>
      <c r="O237" s="8" t="str">
        <f>_xlfn.XLOOKUP(tblFinancials[[#This Row],[BusinessUnitKey]],tblBusinessUnits[BusinessUnitKey],tblBusinessUnits[BusinessUnitName],"")</f>
        <v xml:space="preserve">Manufacturing </v>
      </c>
      <c r="P237" s="8" t="str">
        <f>_xlfn.XLOOKUP(tblFinancials[[#This Row],[RegionKey]],tblRegions[RegionKey],tblRegions[RegionName],"")</f>
        <v>West</v>
      </c>
    </row>
    <row r="238" spans="1:16">
      <c r="A238">
        <v>20230701</v>
      </c>
      <c r="B238">
        <v>8</v>
      </c>
      <c r="C238">
        <v>1</v>
      </c>
      <c r="D238">
        <v>3</v>
      </c>
      <c r="E238">
        <v>14</v>
      </c>
      <c r="F238" t="s">
        <v>92</v>
      </c>
      <c r="G238">
        <v>-19100.150000000001</v>
      </c>
      <c r="H238">
        <f>_xlfn.XLOOKUP(tblFinancials[[#This Row],[DateKey]],tblCalendar[DateKey],tblCalendar[FullDate],"")</f>
        <v>45108</v>
      </c>
      <c r="I238">
        <f>_xlfn.XLOOKUP(tblFinancials[[#This Row],[AccountKey]],tblAccounts[AccountKey],tblAccounts[AccountNumber],"")</f>
        <v>5000</v>
      </c>
      <c r="J238" t="str">
        <f>_xlfn.XLOOKUP(tblFinancials[[#This Row],[AccountKey]],tblAccounts[AccountKey],tblAccounts[AccountName],"")</f>
        <v>Cost of Goods Sold</v>
      </c>
      <c r="K238" s="8" t="str">
        <f>_xlfn.XLOOKUP(tblFinancials[[#This Row],[AccountKey]],tblAccounts[AccountKey],tblAccounts[FinancialStatement],"")</f>
        <v>Income Statement</v>
      </c>
      <c r="L238" s="8" t="str">
        <f>_xlfn.XLOOKUP(tblFinancials[[#This Row],[AccountKey]],tblAccounts[AccountKey],tblAccounts[AccountCategory],"")</f>
        <v>Cost of Sales</v>
      </c>
      <c r="M238" s="8" t="str">
        <f>_xlfn.XLOOKUP(tblFinancials[[#This Row],[AccountKey]],tblAccounts[AccountKey],tblAccounts[NormalBalance],"")</f>
        <v>Debit</v>
      </c>
      <c r="N238" s="8" t="str">
        <f>_xlfn.XLOOKUP(tblFinancials[[#This Row],[DepartmentKey]],tblDepartments[DepartmentKey],tblDepartments[DepartmentName],"")</f>
        <v>Customer Service</v>
      </c>
      <c r="O238" s="8" t="str">
        <f>_xlfn.XLOOKUP(tblFinancials[[#This Row],[BusinessUnitKey]],tblBusinessUnits[BusinessUnitKey],tblBusinessUnits[BusinessUnitName],"")</f>
        <v xml:space="preserve">Manufacturing </v>
      </c>
      <c r="P238" s="8" t="str">
        <f>_xlfn.XLOOKUP(tblFinancials[[#This Row],[RegionKey]],tblRegions[RegionKey],tblRegions[RegionName],"")</f>
        <v>South</v>
      </c>
    </row>
    <row r="239" spans="1:16">
      <c r="A239">
        <v>20230701</v>
      </c>
      <c r="B239">
        <v>5</v>
      </c>
      <c r="C239">
        <v>4</v>
      </c>
      <c r="D239">
        <v>3</v>
      </c>
      <c r="E239">
        <v>14</v>
      </c>
      <c r="F239" t="s">
        <v>92</v>
      </c>
      <c r="G239">
        <v>-17269.98</v>
      </c>
      <c r="H239">
        <f>_xlfn.XLOOKUP(tblFinancials[[#This Row],[DateKey]],tblCalendar[DateKey],tblCalendar[FullDate],"")</f>
        <v>45108</v>
      </c>
      <c r="I239">
        <f>_xlfn.XLOOKUP(tblFinancials[[#This Row],[AccountKey]],tblAccounts[AccountKey],tblAccounts[AccountNumber],"")</f>
        <v>5000</v>
      </c>
      <c r="J239" t="str">
        <f>_xlfn.XLOOKUP(tblFinancials[[#This Row],[AccountKey]],tblAccounts[AccountKey],tblAccounts[AccountName],"")</f>
        <v>Cost of Goods Sold</v>
      </c>
      <c r="K239" s="8" t="str">
        <f>_xlfn.XLOOKUP(tblFinancials[[#This Row],[AccountKey]],tblAccounts[AccountKey],tblAccounts[FinancialStatement],"")</f>
        <v>Income Statement</v>
      </c>
      <c r="L239" s="8" t="str">
        <f>_xlfn.XLOOKUP(tblFinancials[[#This Row],[AccountKey]],tblAccounts[AccountKey],tblAccounts[AccountCategory],"")</f>
        <v>Cost of Sales</v>
      </c>
      <c r="M239" s="8" t="str">
        <f>_xlfn.XLOOKUP(tblFinancials[[#This Row],[AccountKey]],tblAccounts[AccountKey],tblAccounts[NormalBalance],"")</f>
        <v>Debit</v>
      </c>
      <c r="N239" s="8" t="str">
        <f>_xlfn.XLOOKUP(tblFinancials[[#This Row],[DepartmentKey]],tblDepartments[DepartmentKey],tblDepartments[DepartmentName],"")</f>
        <v>Marketing</v>
      </c>
      <c r="O239" s="8" t="str">
        <f>_xlfn.XLOOKUP(tblFinancials[[#This Row],[BusinessUnitKey]],tblBusinessUnits[BusinessUnitKey],tblBusinessUnits[BusinessUnitName],"")</f>
        <v>E-Commerce</v>
      </c>
      <c r="P239" s="8" t="str">
        <f>_xlfn.XLOOKUP(tblFinancials[[#This Row],[RegionKey]],tblRegions[RegionKey],tblRegions[RegionName],"")</f>
        <v>South</v>
      </c>
    </row>
    <row r="240" spans="1:16">
      <c r="A240">
        <v>20230701</v>
      </c>
      <c r="B240">
        <v>6</v>
      </c>
      <c r="C240">
        <v>4</v>
      </c>
      <c r="D240">
        <v>2</v>
      </c>
      <c r="E240">
        <v>14</v>
      </c>
      <c r="F240" t="s">
        <v>92</v>
      </c>
      <c r="G240">
        <v>-17864.93</v>
      </c>
      <c r="H240">
        <f>_xlfn.XLOOKUP(tblFinancials[[#This Row],[DateKey]],tblCalendar[DateKey],tblCalendar[FullDate],"")</f>
        <v>45108</v>
      </c>
      <c r="I240">
        <f>_xlfn.XLOOKUP(tblFinancials[[#This Row],[AccountKey]],tblAccounts[AccountKey],tblAccounts[AccountNumber],"")</f>
        <v>5000</v>
      </c>
      <c r="J240" t="str">
        <f>_xlfn.XLOOKUP(tblFinancials[[#This Row],[AccountKey]],tblAccounts[AccountKey],tblAccounts[AccountName],"")</f>
        <v>Cost of Goods Sold</v>
      </c>
      <c r="K240" s="8" t="str">
        <f>_xlfn.XLOOKUP(tblFinancials[[#This Row],[AccountKey]],tblAccounts[AccountKey],tblAccounts[FinancialStatement],"")</f>
        <v>Income Statement</v>
      </c>
      <c r="L240" s="8" t="str">
        <f>_xlfn.XLOOKUP(tblFinancials[[#This Row],[AccountKey]],tblAccounts[AccountKey],tblAccounts[AccountCategory],"")</f>
        <v>Cost of Sales</v>
      </c>
      <c r="M240" s="8" t="str">
        <f>_xlfn.XLOOKUP(tblFinancials[[#This Row],[AccountKey]],tblAccounts[AccountKey],tblAccounts[NormalBalance],"")</f>
        <v>Debit</v>
      </c>
      <c r="N240" s="8" t="str">
        <f>_xlfn.XLOOKUP(tblFinancials[[#This Row],[DepartmentKey]],tblDepartments[DepartmentKey],tblDepartments[DepartmentName],"")</f>
        <v>Operations</v>
      </c>
      <c r="O240" s="8" t="str">
        <f>_xlfn.XLOOKUP(tblFinancials[[#This Row],[BusinessUnitKey]],tblBusinessUnits[BusinessUnitKey],tblBusinessUnits[BusinessUnitName],"")</f>
        <v>E-Commerce</v>
      </c>
      <c r="P240" s="8" t="str">
        <f>_xlfn.XLOOKUP(tblFinancials[[#This Row],[RegionKey]],tblRegions[RegionKey],tblRegions[RegionName],"")</f>
        <v>Midwest</v>
      </c>
    </row>
    <row r="241" spans="1:16">
      <c r="A241">
        <v>20230701</v>
      </c>
      <c r="B241">
        <v>5</v>
      </c>
      <c r="C241">
        <v>4</v>
      </c>
      <c r="D241">
        <v>3</v>
      </c>
      <c r="E241">
        <v>14</v>
      </c>
      <c r="F241" t="s">
        <v>92</v>
      </c>
      <c r="G241">
        <v>-16947.259999999998</v>
      </c>
      <c r="H241">
        <f>_xlfn.XLOOKUP(tblFinancials[[#This Row],[DateKey]],tblCalendar[DateKey],tblCalendar[FullDate],"")</f>
        <v>45108</v>
      </c>
      <c r="I241">
        <f>_xlfn.XLOOKUP(tblFinancials[[#This Row],[AccountKey]],tblAccounts[AccountKey],tblAccounts[AccountNumber],"")</f>
        <v>5000</v>
      </c>
      <c r="J241" t="str">
        <f>_xlfn.XLOOKUP(tblFinancials[[#This Row],[AccountKey]],tblAccounts[AccountKey],tblAccounts[AccountName],"")</f>
        <v>Cost of Goods Sold</v>
      </c>
      <c r="K241" s="8" t="str">
        <f>_xlfn.XLOOKUP(tblFinancials[[#This Row],[AccountKey]],tblAccounts[AccountKey],tblAccounts[FinancialStatement],"")</f>
        <v>Income Statement</v>
      </c>
      <c r="L241" s="8" t="str">
        <f>_xlfn.XLOOKUP(tblFinancials[[#This Row],[AccountKey]],tblAccounts[AccountKey],tblAccounts[AccountCategory],"")</f>
        <v>Cost of Sales</v>
      </c>
      <c r="M241" s="8" t="str">
        <f>_xlfn.XLOOKUP(tblFinancials[[#This Row],[AccountKey]],tblAccounts[AccountKey],tblAccounts[NormalBalance],"")</f>
        <v>Debit</v>
      </c>
      <c r="N241" s="8" t="str">
        <f>_xlfn.XLOOKUP(tblFinancials[[#This Row],[DepartmentKey]],tblDepartments[DepartmentKey],tblDepartments[DepartmentName],"")</f>
        <v>Marketing</v>
      </c>
      <c r="O241" s="8" t="str">
        <f>_xlfn.XLOOKUP(tblFinancials[[#This Row],[BusinessUnitKey]],tblBusinessUnits[BusinessUnitKey],tblBusinessUnits[BusinessUnitName],"")</f>
        <v>E-Commerce</v>
      </c>
      <c r="P241" s="8" t="str">
        <f>_xlfn.XLOOKUP(tblFinancials[[#This Row],[RegionKey]],tblRegions[RegionKey],tblRegions[RegionName],"")</f>
        <v>South</v>
      </c>
    </row>
    <row r="242" spans="1:16">
      <c r="A242">
        <v>20230701</v>
      </c>
      <c r="B242">
        <v>7</v>
      </c>
      <c r="C242">
        <v>1</v>
      </c>
      <c r="D242">
        <v>2</v>
      </c>
      <c r="E242">
        <v>22</v>
      </c>
      <c r="F242" t="s">
        <v>92</v>
      </c>
      <c r="G242">
        <v>-6226.42</v>
      </c>
      <c r="H242">
        <f>_xlfn.XLOOKUP(tblFinancials[[#This Row],[DateKey]],tblCalendar[DateKey],tblCalendar[FullDate],"")</f>
        <v>45108</v>
      </c>
      <c r="I242">
        <f>_xlfn.XLOOKUP(tblFinancials[[#This Row],[AccountKey]],tblAccounts[AccountKey],tblAccounts[AccountNumber],"")</f>
        <v>6700</v>
      </c>
      <c r="J242" t="str">
        <f>_xlfn.XLOOKUP(tblFinancials[[#This Row],[AccountKey]],tblAccounts[AccountKey],tblAccounts[AccountName],"")</f>
        <v>Insurance Expense</v>
      </c>
      <c r="K242" s="8" t="str">
        <f>_xlfn.XLOOKUP(tblFinancials[[#This Row],[AccountKey]],tblAccounts[AccountKey],tblAccounts[FinancialStatement],"")</f>
        <v>Income Statement</v>
      </c>
      <c r="L242" s="8" t="str">
        <f>_xlfn.XLOOKUP(tblFinancials[[#This Row],[AccountKey]],tblAccounts[AccountKey],tblAccounts[AccountCategory],"")</f>
        <v>Operating Expense</v>
      </c>
      <c r="M242" s="8" t="str">
        <f>_xlfn.XLOOKUP(tblFinancials[[#This Row],[AccountKey]],tblAccounts[AccountKey],tblAccounts[NormalBalance],"")</f>
        <v>Debit</v>
      </c>
      <c r="N242" s="8" t="str">
        <f>_xlfn.XLOOKUP(tblFinancials[[#This Row],[DepartmentKey]],tblDepartments[DepartmentKey],tblDepartments[DepartmentName],"")</f>
        <v>Information Technology</v>
      </c>
      <c r="O242" s="8" t="str">
        <f>_xlfn.XLOOKUP(tblFinancials[[#This Row],[BusinessUnitKey]],tblBusinessUnits[BusinessUnitKey],tblBusinessUnits[BusinessUnitName],"")</f>
        <v xml:space="preserve">Manufacturing </v>
      </c>
      <c r="P242" s="8" t="str">
        <f>_xlfn.XLOOKUP(tblFinancials[[#This Row],[RegionKey]],tblRegions[RegionKey],tblRegions[RegionName],"")</f>
        <v>Midwest</v>
      </c>
    </row>
    <row r="243" spans="1:16">
      <c r="A243">
        <v>20230701</v>
      </c>
      <c r="B243">
        <v>7</v>
      </c>
      <c r="C243">
        <v>1</v>
      </c>
      <c r="D243">
        <v>2</v>
      </c>
      <c r="E243">
        <v>16</v>
      </c>
      <c r="F243" t="s">
        <v>92</v>
      </c>
      <c r="G243">
        <v>-6938.75</v>
      </c>
      <c r="H243">
        <f>_xlfn.XLOOKUP(tblFinancials[[#This Row],[DateKey]],tblCalendar[DateKey],tblCalendar[FullDate],"")</f>
        <v>45108</v>
      </c>
      <c r="I243">
        <f>_xlfn.XLOOKUP(tblFinancials[[#This Row],[AccountKey]],tblAccounts[AccountKey],tblAccounts[AccountNumber],"")</f>
        <v>6110</v>
      </c>
      <c r="J243" t="str">
        <f>_xlfn.XLOOKUP(tblFinancials[[#This Row],[AccountKey]],tblAccounts[AccountKey],tblAccounts[AccountName],"")</f>
        <v>Payroll Taxes</v>
      </c>
      <c r="K243" s="8" t="str">
        <f>_xlfn.XLOOKUP(tblFinancials[[#This Row],[AccountKey]],tblAccounts[AccountKey],tblAccounts[FinancialStatement],"")</f>
        <v>Income Statement</v>
      </c>
      <c r="L243" s="8" t="str">
        <f>_xlfn.XLOOKUP(tblFinancials[[#This Row],[AccountKey]],tblAccounts[AccountKey],tblAccounts[AccountCategory],"")</f>
        <v>Operating Expense</v>
      </c>
      <c r="M243" s="8" t="str">
        <f>_xlfn.XLOOKUP(tblFinancials[[#This Row],[AccountKey]],tblAccounts[AccountKey],tblAccounts[NormalBalance],"")</f>
        <v>Debit</v>
      </c>
      <c r="N243" s="8" t="str">
        <f>_xlfn.XLOOKUP(tblFinancials[[#This Row],[DepartmentKey]],tblDepartments[DepartmentKey],tblDepartments[DepartmentName],"")</f>
        <v>Information Technology</v>
      </c>
      <c r="O243" s="8" t="str">
        <f>_xlfn.XLOOKUP(tblFinancials[[#This Row],[BusinessUnitKey]],tblBusinessUnits[BusinessUnitKey],tblBusinessUnits[BusinessUnitName],"")</f>
        <v xml:space="preserve">Manufacturing </v>
      </c>
      <c r="P243" s="8" t="str">
        <f>_xlfn.XLOOKUP(tblFinancials[[#This Row],[RegionKey]],tblRegions[RegionKey],tblRegions[RegionName],"")</f>
        <v>Midwest</v>
      </c>
    </row>
    <row r="244" spans="1:16">
      <c r="A244">
        <v>20230701</v>
      </c>
      <c r="B244">
        <v>2</v>
      </c>
      <c r="C244">
        <v>4</v>
      </c>
      <c r="D244">
        <v>3</v>
      </c>
      <c r="E244">
        <v>15</v>
      </c>
      <c r="F244" t="s">
        <v>92</v>
      </c>
      <c r="G244">
        <v>-6512.14</v>
      </c>
      <c r="H244">
        <f>_xlfn.XLOOKUP(tblFinancials[[#This Row],[DateKey]],tblCalendar[DateKey],tblCalendar[FullDate],"")</f>
        <v>45108</v>
      </c>
      <c r="I244">
        <f>_xlfn.XLOOKUP(tblFinancials[[#This Row],[AccountKey]],tblAccounts[AccountKey],tblAccounts[AccountNumber],"")</f>
        <v>6100</v>
      </c>
      <c r="J244" t="str">
        <f>_xlfn.XLOOKUP(tblFinancials[[#This Row],[AccountKey]],tblAccounts[AccountKey],tblAccounts[AccountName],"")</f>
        <v>Salaries Expense</v>
      </c>
      <c r="K244" s="8" t="str">
        <f>_xlfn.XLOOKUP(tblFinancials[[#This Row],[AccountKey]],tblAccounts[AccountKey],tblAccounts[FinancialStatement],"")</f>
        <v>Income Statement</v>
      </c>
      <c r="L244" s="8" t="str">
        <f>_xlfn.XLOOKUP(tblFinancials[[#This Row],[AccountKey]],tblAccounts[AccountKey],tblAccounts[AccountCategory],"")</f>
        <v>Operating Expense</v>
      </c>
      <c r="M244" s="8" t="str">
        <f>_xlfn.XLOOKUP(tblFinancials[[#This Row],[AccountKey]],tblAccounts[AccountKey],tblAccounts[NormalBalance],"")</f>
        <v>Debit</v>
      </c>
      <c r="N244" s="8" t="str">
        <f>_xlfn.XLOOKUP(tblFinancials[[#This Row],[DepartmentKey]],tblDepartments[DepartmentKey],tblDepartments[DepartmentName],"")</f>
        <v>Finance</v>
      </c>
      <c r="O244" s="8" t="str">
        <f>_xlfn.XLOOKUP(tblFinancials[[#This Row],[BusinessUnitKey]],tblBusinessUnits[BusinessUnitKey],tblBusinessUnits[BusinessUnitName],"")</f>
        <v>E-Commerce</v>
      </c>
      <c r="P244" s="8" t="str">
        <f>_xlfn.XLOOKUP(tblFinancials[[#This Row],[RegionKey]],tblRegions[RegionKey],tblRegions[RegionName],"")</f>
        <v>South</v>
      </c>
    </row>
    <row r="245" spans="1:16">
      <c r="A245">
        <v>20230701</v>
      </c>
      <c r="B245">
        <v>2</v>
      </c>
      <c r="C245">
        <v>2</v>
      </c>
      <c r="D245">
        <v>4</v>
      </c>
      <c r="E245">
        <v>23</v>
      </c>
      <c r="F245" t="s">
        <v>92</v>
      </c>
      <c r="G245">
        <v>-7754.2</v>
      </c>
      <c r="H245">
        <f>_xlfn.XLOOKUP(tblFinancials[[#This Row],[DateKey]],tblCalendar[DateKey],tblCalendar[FullDate],"")</f>
        <v>45108</v>
      </c>
      <c r="I245">
        <f>_xlfn.XLOOKUP(tblFinancials[[#This Row],[AccountKey]],tblAccounts[AccountKey],tblAccounts[AccountNumber],"")</f>
        <v>6800</v>
      </c>
      <c r="J245" t="str">
        <f>_xlfn.XLOOKUP(tblFinancials[[#This Row],[AccountKey]],tblAccounts[AccountKey],tblAccounts[AccountName],"")</f>
        <v>Travel Expense</v>
      </c>
      <c r="K245" s="8" t="str">
        <f>_xlfn.XLOOKUP(tblFinancials[[#This Row],[AccountKey]],tblAccounts[AccountKey],tblAccounts[FinancialStatement],"")</f>
        <v>Income Statement</v>
      </c>
      <c r="L245" s="8" t="str">
        <f>_xlfn.XLOOKUP(tblFinancials[[#This Row],[AccountKey]],tblAccounts[AccountKey],tblAccounts[AccountCategory],"")</f>
        <v>Operating Expense</v>
      </c>
      <c r="M245" s="8" t="str">
        <f>_xlfn.XLOOKUP(tblFinancials[[#This Row],[AccountKey]],tblAccounts[AccountKey],tblAccounts[NormalBalance],"")</f>
        <v>Debit</v>
      </c>
      <c r="N245" s="8" t="str">
        <f>_xlfn.XLOOKUP(tblFinancials[[#This Row],[DepartmentKey]],tblDepartments[DepartmentKey],tblDepartments[DepartmentName],"")</f>
        <v>Finance</v>
      </c>
      <c r="O245" s="8" t="str">
        <f>_xlfn.XLOOKUP(tblFinancials[[#This Row],[BusinessUnitKey]],tblBusinessUnits[BusinessUnitKey],tblBusinessUnits[BusinessUnitName],"")</f>
        <v>Wholesale</v>
      </c>
      <c r="P245" s="8" t="str">
        <f>_xlfn.XLOOKUP(tblFinancials[[#This Row],[RegionKey]],tblRegions[RegionKey],tblRegions[RegionName],"")</f>
        <v>East</v>
      </c>
    </row>
    <row r="246" spans="1:16">
      <c r="A246">
        <v>20230701</v>
      </c>
      <c r="B246">
        <v>7</v>
      </c>
      <c r="C246">
        <v>4</v>
      </c>
      <c r="D246">
        <v>1</v>
      </c>
      <c r="E246">
        <v>17</v>
      </c>
      <c r="F246" t="s">
        <v>92</v>
      </c>
      <c r="G246">
        <v>-8218.74</v>
      </c>
      <c r="H246">
        <f>_xlfn.XLOOKUP(tblFinancials[[#This Row],[DateKey]],tblCalendar[DateKey],tblCalendar[FullDate],"")</f>
        <v>45108</v>
      </c>
      <c r="I246">
        <f>_xlfn.XLOOKUP(tblFinancials[[#This Row],[AccountKey]],tblAccounts[AccountKey],tblAccounts[AccountNumber],"")</f>
        <v>6120</v>
      </c>
      <c r="J246" t="str">
        <f>_xlfn.XLOOKUP(tblFinancials[[#This Row],[AccountKey]],tblAccounts[AccountKey],tblAccounts[AccountName],"")</f>
        <v>Employee Benefits</v>
      </c>
      <c r="K246" s="8" t="str">
        <f>_xlfn.XLOOKUP(tblFinancials[[#This Row],[AccountKey]],tblAccounts[AccountKey],tblAccounts[FinancialStatement],"")</f>
        <v>Income Statement</v>
      </c>
      <c r="L246" s="8" t="str">
        <f>_xlfn.XLOOKUP(tblFinancials[[#This Row],[AccountKey]],tblAccounts[AccountKey],tblAccounts[AccountCategory],"")</f>
        <v>Operating Expense</v>
      </c>
      <c r="M246" s="8" t="str">
        <f>_xlfn.XLOOKUP(tblFinancials[[#This Row],[AccountKey]],tblAccounts[AccountKey],tblAccounts[NormalBalance],"")</f>
        <v>Debit</v>
      </c>
      <c r="N246" s="8" t="str">
        <f>_xlfn.XLOOKUP(tblFinancials[[#This Row],[DepartmentKey]],tblDepartments[DepartmentKey],tblDepartments[DepartmentName],"")</f>
        <v>Information Technology</v>
      </c>
      <c r="O246" s="8" t="str">
        <f>_xlfn.XLOOKUP(tblFinancials[[#This Row],[BusinessUnitKey]],tblBusinessUnits[BusinessUnitKey],tblBusinessUnits[BusinessUnitName],"")</f>
        <v>E-Commerce</v>
      </c>
      <c r="P246" s="8" t="str">
        <f>_xlfn.XLOOKUP(tblFinancials[[#This Row],[RegionKey]],tblRegions[RegionKey],tblRegions[RegionName],"")</f>
        <v>West</v>
      </c>
    </row>
    <row r="247" spans="1:16">
      <c r="A247">
        <v>20230701</v>
      </c>
      <c r="B247">
        <v>2</v>
      </c>
      <c r="C247">
        <v>4</v>
      </c>
      <c r="D247">
        <v>3</v>
      </c>
      <c r="E247">
        <v>23</v>
      </c>
      <c r="F247" t="s">
        <v>92</v>
      </c>
      <c r="G247">
        <v>-6536.18</v>
      </c>
      <c r="H247">
        <f>_xlfn.XLOOKUP(tblFinancials[[#This Row],[DateKey]],tblCalendar[DateKey],tblCalendar[FullDate],"")</f>
        <v>45108</v>
      </c>
      <c r="I247">
        <f>_xlfn.XLOOKUP(tblFinancials[[#This Row],[AccountKey]],tblAccounts[AccountKey],tblAccounts[AccountNumber],"")</f>
        <v>6800</v>
      </c>
      <c r="J247" t="str">
        <f>_xlfn.XLOOKUP(tblFinancials[[#This Row],[AccountKey]],tblAccounts[AccountKey],tblAccounts[AccountName],"")</f>
        <v>Travel Expense</v>
      </c>
      <c r="K247" s="8" t="str">
        <f>_xlfn.XLOOKUP(tblFinancials[[#This Row],[AccountKey]],tblAccounts[AccountKey],tblAccounts[FinancialStatement],"")</f>
        <v>Income Statement</v>
      </c>
      <c r="L247" s="8" t="str">
        <f>_xlfn.XLOOKUP(tblFinancials[[#This Row],[AccountKey]],tblAccounts[AccountKey],tblAccounts[AccountCategory],"")</f>
        <v>Operating Expense</v>
      </c>
      <c r="M247" s="8" t="str">
        <f>_xlfn.XLOOKUP(tblFinancials[[#This Row],[AccountKey]],tblAccounts[AccountKey],tblAccounts[NormalBalance],"")</f>
        <v>Debit</v>
      </c>
      <c r="N247" s="8" t="str">
        <f>_xlfn.XLOOKUP(tblFinancials[[#This Row],[DepartmentKey]],tblDepartments[DepartmentKey],tblDepartments[DepartmentName],"")</f>
        <v>Finance</v>
      </c>
      <c r="O247" s="8" t="str">
        <f>_xlfn.XLOOKUP(tblFinancials[[#This Row],[BusinessUnitKey]],tblBusinessUnits[BusinessUnitKey],tblBusinessUnits[BusinessUnitName],"")</f>
        <v>E-Commerce</v>
      </c>
      <c r="P247" s="8" t="str">
        <f>_xlfn.XLOOKUP(tblFinancials[[#This Row],[RegionKey]],tblRegions[RegionKey],tblRegions[RegionName],"")</f>
        <v>South</v>
      </c>
    </row>
    <row r="248" spans="1:16">
      <c r="A248">
        <v>20230701</v>
      </c>
      <c r="B248">
        <v>7</v>
      </c>
      <c r="C248">
        <v>3</v>
      </c>
      <c r="D248">
        <v>4</v>
      </c>
      <c r="E248">
        <v>21</v>
      </c>
      <c r="F248" t="s">
        <v>92</v>
      </c>
      <c r="G248">
        <v>-8390.82</v>
      </c>
      <c r="H248">
        <f>_xlfn.XLOOKUP(tblFinancials[[#This Row],[DateKey]],tblCalendar[DateKey],tblCalendar[FullDate],"")</f>
        <v>45108</v>
      </c>
      <c r="I248">
        <f>_xlfn.XLOOKUP(tblFinancials[[#This Row],[AccountKey]],tblAccounts[AccountKey],tblAccounts[AccountNumber],"")</f>
        <v>6600</v>
      </c>
      <c r="J248" t="str">
        <f>_xlfn.XLOOKUP(tblFinancials[[#This Row],[AccountKey]],tblAccounts[AccountKey],tblAccounts[AccountName],"")</f>
        <v>Utilities Expense</v>
      </c>
      <c r="K248" s="8" t="str">
        <f>_xlfn.XLOOKUP(tblFinancials[[#This Row],[AccountKey]],tblAccounts[AccountKey],tblAccounts[FinancialStatement],"")</f>
        <v>Income Statement</v>
      </c>
      <c r="L248" s="8" t="str">
        <f>_xlfn.XLOOKUP(tblFinancials[[#This Row],[AccountKey]],tblAccounts[AccountKey],tblAccounts[AccountCategory],"")</f>
        <v>Operating Expense</v>
      </c>
      <c r="M248" s="8" t="str">
        <f>_xlfn.XLOOKUP(tblFinancials[[#This Row],[AccountKey]],tblAccounts[AccountKey],tblAccounts[NormalBalance],"")</f>
        <v>Debit</v>
      </c>
      <c r="N248" s="8" t="str">
        <f>_xlfn.XLOOKUP(tblFinancials[[#This Row],[DepartmentKey]],tblDepartments[DepartmentKey],tblDepartments[DepartmentName],"")</f>
        <v>Information Technology</v>
      </c>
      <c r="O248" s="8" t="str">
        <f>_xlfn.XLOOKUP(tblFinancials[[#This Row],[BusinessUnitKey]],tblBusinessUnits[BusinessUnitKey],tblBusinessUnits[BusinessUnitName],"")</f>
        <v>Retail</v>
      </c>
      <c r="P248" s="8" t="str">
        <f>_xlfn.XLOOKUP(tblFinancials[[#This Row],[RegionKey]],tblRegions[RegionKey],tblRegions[RegionName],"")</f>
        <v>East</v>
      </c>
    </row>
    <row r="249" spans="1:16">
      <c r="A249">
        <v>20230701</v>
      </c>
      <c r="B249">
        <v>7</v>
      </c>
      <c r="C249">
        <v>2</v>
      </c>
      <c r="D249">
        <v>1</v>
      </c>
      <c r="E249">
        <v>20</v>
      </c>
      <c r="F249" t="s">
        <v>92</v>
      </c>
      <c r="G249">
        <v>-8021.87</v>
      </c>
      <c r="H249">
        <f>_xlfn.XLOOKUP(tblFinancials[[#This Row],[DateKey]],tblCalendar[DateKey],tblCalendar[FullDate],"")</f>
        <v>45108</v>
      </c>
      <c r="I249">
        <f>_xlfn.XLOOKUP(tblFinancials[[#This Row],[AccountKey]],tblAccounts[AccountKey],tblAccounts[AccountNumber],"")</f>
        <v>6500</v>
      </c>
      <c r="J249" t="str">
        <f>_xlfn.XLOOKUP(tblFinancials[[#This Row],[AccountKey]],tblAccounts[AccountKey],tblAccounts[AccountName],"")</f>
        <v>Rent Expense</v>
      </c>
      <c r="K249" s="8" t="str">
        <f>_xlfn.XLOOKUP(tblFinancials[[#This Row],[AccountKey]],tblAccounts[AccountKey],tblAccounts[FinancialStatement],"")</f>
        <v>Income Statement</v>
      </c>
      <c r="L249" s="8" t="str">
        <f>_xlfn.XLOOKUP(tblFinancials[[#This Row],[AccountKey]],tblAccounts[AccountKey],tblAccounts[AccountCategory],"")</f>
        <v>Operating Expense</v>
      </c>
      <c r="M249" s="8" t="str">
        <f>_xlfn.XLOOKUP(tblFinancials[[#This Row],[AccountKey]],tblAccounts[AccountKey],tblAccounts[NormalBalance],"")</f>
        <v>Debit</v>
      </c>
      <c r="N249" s="8" t="str">
        <f>_xlfn.XLOOKUP(tblFinancials[[#This Row],[DepartmentKey]],tblDepartments[DepartmentKey],tblDepartments[DepartmentName],"")</f>
        <v>Information Technology</v>
      </c>
      <c r="O249" s="8" t="str">
        <f>_xlfn.XLOOKUP(tblFinancials[[#This Row],[BusinessUnitKey]],tblBusinessUnits[BusinessUnitKey],tblBusinessUnits[BusinessUnitName],"")</f>
        <v>Wholesale</v>
      </c>
      <c r="P249" s="8" t="str">
        <f>_xlfn.XLOOKUP(tblFinancials[[#This Row],[RegionKey]],tblRegions[RegionKey],tblRegions[RegionName],"")</f>
        <v>West</v>
      </c>
    </row>
    <row r="250" spans="1:16">
      <c r="A250">
        <v>20230701</v>
      </c>
      <c r="B250">
        <v>8</v>
      </c>
      <c r="C250">
        <v>3</v>
      </c>
      <c r="D250">
        <v>1</v>
      </c>
      <c r="E250">
        <v>21</v>
      </c>
      <c r="F250" t="s">
        <v>92</v>
      </c>
      <c r="G250">
        <v>-7387.31</v>
      </c>
      <c r="H250">
        <f>_xlfn.XLOOKUP(tblFinancials[[#This Row],[DateKey]],tblCalendar[DateKey],tblCalendar[FullDate],"")</f>
        <v>45108</v>
      </c>
      <c r="I250">
        <f>_xlfn.XLOOKUP(tblFinancials[[#This Row],[AccountKey]],tblAccounts[AccountKey],tblAccounts[AccountNumber],"")</f>
        <v>6600</v>
      </c>
      <c r="J250" t="str">
        <f>_xlfn.XLOOKUP(tblFinancials[[#This Row],[AccountKey]],tblAccounts[AccountKey],tblAccounts[AccountName],"")</f>
        <v>Utilities Expense</v>
      </c>
      <c r="K250" s="8" t="str">
        <f>_xlfn.XLOOKUP(tblFinancials[[#This Row],[AccountKey]],tblAccounts[AccountKey],tblAccounts[FinancialStatement],"")</f>
        <v>Income Statement</v>
      </c>
      <c r="L250" s="8" t="str">
        <f>_xlfn.XLOOKUP(tblFinancials[[#This Row],[AccountKey]],tblAccounts[AccountKey],tblAccounts[AccountCategory],"")</f>
        <v>Operating Expense</v>
      </c>
      <c r="M250" s="8" t="str">
        <f>_xlfn.XLOOKUP(tblFinancials[[#This Row],[AccountKey]],tblAccounts[AccountKey],tblAccounts[NormalBalance],"")</f>
        <v>Debit</v>
      </c>
      <c r="N250" s="8" t="str">
        <f>_xlfn.XLOOKUP(tblFinancials[[#This Row],[DepartmentKey]],tblDepartments[DepartmentKey],tblDepartments[DepartmentName],"")</f>
        <v>Customer Service</v>
      </c>
      <c r="O250" s="8" t="str">
        <f>_xlfn.XLOOKUP(tblFinancials[[#This Row],[BusinessUnitKey]],tblBusinessUnits[BusinessUnitKey],tblBusinessUnits[BusinessUnitName],"")</f>
        <v>Retail</v>
      </c>
      <c r="P250" s="8" t="str">
        <f>_xlfn.XLOOKUP(tblFinancials[[#This Row],[RegionKey]],tblRegions[RegionKey],tblRegions[RegionName],"")</f>
        <v>West</v>
      </c>
    </row>
    <row r="251" spans="1:16">
      <c r="A251">
        <v>20230701</v>
      </c>
      <c r="B251">
        <v>5</v>
      </c>
      <c r="C251">
        <v>3</v>
      </c>
      <c r="D251">
        <v>2</v>
      </c>
      <c r="E251">
        <v>20</v>
      </c>
      <c r="F251" t="s">
        <v>92</v>
      </c>
      <c r="G251">
        <v>-8251.8700000000008</v>
      </c>
      <c r="H251">
        <f>_xlfn.XLOOKUP(tblFinancials[[#This Row],[DateKey]],tblCalendar[DateKey],tblCalendar[FullDate],"")</f>
        <v>45108</v>
      </c>
      <c r="I251">
        <f>_xlfn.XLOOKUP(tblFinancials[[#This Row],[AccountKey]],tblAccounts[AccountKey],tblAccounts[AccountNumber],"")</f>
        <v>6500</v>
      </c>
      <c r="J251" t="str">
        <f>_xlfn.XLOOKUP(tblFinancials[[#This Row],[AccountKey]],tblAccounts[AccountKey],tblAccounts[AccountName],"")</f>
        <v>Rent Expense</v>
      </c>
      <c r="K251" s="8" t="str">
        <f>_xlfn.XLOOKUP(tblFinancials[[#This Row],[AccountKey]],tblAccounts[AccountKey],tblAccounts[FinancialStatement],"")</f>
        <v>Income Statement</v>
      </c>
      <c r="L251" s="8" t="str">
        <f>_xlfn.XLOOKUP(tblFinancials[[#This Row],[AccountKey]],tblAccounts[AccountKey],tblAccounts[AccountCategory],"")</f>
        <v>Operating Expense</v>
      </c>
      <c r="M251" s="8" t="str">
        <f>_xlfn.XLOOKUP(tblFinancials[[#This Row],[AccountKey]],tblAccounts[AccountKey],tblAccounts[NormalBalance],"")</f>
        <v>Debit</v>
      </c>
      <c r="N251" s="8" t="str">
        <f>_xlfn.XLOOKUP(tblFinancials[[#This Row],[DepartmentKey]],tblDepartments[DepartmentKey],tblDepartments[DepartmentName],"")</f>
        <v>Marketing</v>
      </c>
      <c r="O251" s="8" t="str">
        <f>_xlfn.XLOOKUP(tblFinancials[[#This Row],[BusinessUnitKey]],tblBusinessUnits[BusinessUnitKey],tblBusinessUnits[BusinessUnitName],"")</f>
        <v>Retail</v>
      </c>
      <c r="P251" s="8" t="str">
        <f>_xlfn.XLOOKUP(tblFinancials[[#This Row],[RegionKey]],tblRegions[RegionKey],tblRegions[RegionName],"")</f>
        <v>Midwest</v>
      </c>
    </row>
    <row r="252" spans="1:16">
      <c r="A252">
        <v>20230701</v>
      </c>
      <c r="B252">
        <v>7</v>
      </c>
      <c r="C252">
        <v>4</v>
      </c>
      <c r="D252">
        <v>3</v>
      </c>
      <c r="E252">
        <v>17</v>
      </c>
      <c r="F252" t="s">
        <v>92</v>
      </c>
      <c r="G252">
        <v>-8137.88</v>
      </c>
      <c r="H252">
        <f>_xlfn.XLOOKUP(tblFinancials[[#This Row],[DateKey]],tblCalendar[DateKey],tblCalendar[FullDate],"")</f>
        <v>45108</v>
      </c>
      <c r="I252">
        <f>_xlfn.XLOOKUP(tblFinancials[[#This Row],[AccountKey]],tblAccounts[AccountKey],tblAccounts[AccountNumber],"")</f>
        <v>6120</v>
      </c>
      <c r="J252" t="str">
        <f>_xlfn.XLOOKUP(tblFinancials[[#This Row],[AccountKey]],tblAccounts[AccountKey],tblAccounts[AccountName],"")</f>
        <v>Employee Benefits</v>
      </c>
      <c r="K252" s="8" t="str">
        <f>_xlfn.XLOOKUP(tblFinancials[[#This Row],[AccountKey]],tblAccounts[AccountKey],tblAccounts[FinancialStatement],"")</f>
        <v>Income Statement</v>
      </c>
      <c r="L252" s="8" t="str">
        <f>_xlfn.XLOOKUP(tblFinancials[[#This Row],[AccountKey]],tblAccounts[AccountKey],tblAccounts[AccountCategory],"")</f>
        <v>Operating Expense</v>
      </c>
      <c r="M252" s="8" t="str">
        <f>_xlfn.XLOOKUP(tblFinancials[[#This Row],[AccountKey]],tblAccounts[AccountKey],tblAccounts[NormalBalance],"")</f>
        <v>Debit</v>
      </c>
      <c r="N252" s="8" t="str">
        <f>_xlfn.XLOOKUP(tblFinancials[[#This Row],[DepartmentKey]],tblDepartments[DepartmentKey],tblDepartments[DepartmentName],"")</f>
        <v>Information Technology</v>
      </c>
      <c r="O252" s="8" t="str">
        <f>_xlfn.XLOOKUP(tblFinancials[[#This Row],[BusinessUnitKey]],tblBusinessUnits[BusinessUnitKey],tblBusinessUnits[BusinessUnitName],"")</f>
        <v>E-Commerce</v>
      </c>
      <c r="P252" s="8" t="str">
        <f>_xlfn.XLOOKUP(tblFinancials[[#This Row],[RegionKey]],tblRegions[RegionKey],tblRegions[RegionName],"")</f>
        <v>South</v>
      </c>
    </row>
    <row r="253" spans="1:16">
      <c r="A253">
        <v>20230701</v>
      </c>
      <c r="B253">
        <v>1</v>
      </c>
      <c r="C253">
        <v>4</v>
      </c>
      <c r="D253">
        <v>3</v>
      </c>
      <c r="E253">
        <v>15</v>
      </c>
      <c r="F253" t="s">
        <v>92</v>
      </c>
      <c r="G253">
        <v>-5308.14</v>
      </c>
      <c r="H253">
        <f>_xlfn.XLOOKUP(tblFinancials[[#This Row],[DateKey]],tblCalendar[DateKey],tblCalendar[FullDate],"")</f>
        <v>45108</v>
      </c>
      <c r="I253">
        <f>_xlfn.XLOOKUP(tblFinancials[[#This Row],[AccountKey]],tblAccounts[AccountKey],tblAccounts[AccountNumber],"")</f>
        <v>6100</v>
      </c>
      <c r="J253" t="str">
        <f>_xlfn.XLOOKUP(tblFinancials[[#This Row],[AccountKey]],tblAccounts[AccountKey],tblAccounts[AccountName],"")</f>
        <v>Salaries Expense</v>
      </c>
      <c r="K253" s="8" t="str">
        <f>_xlfn.XLOOKUP(tblFinancials[[#This Row],[AccountKey]],tblAccounts[AccountKey],tblAccounts[FinancialStatement],"")</f>
        <v>Income Statement</v>
      </c>
      <c r="L253" s="8" t="str">
        <f>_xlfn.XLOOKUP(tblFinancials[[#This Row],[AccountKey]],tblAccounts[AccountKey],tblAccounts[AccountCategory],"")</f>
        <v>Operating Expense</v>
      </c>
      <c r="M253" s="8" t="str">
        <f>_xlfn.XLOOKUP(tblFinancials[[#This Row],[AccountKey]],tblAccounts[AccountKey],tblAccounts[NormalBalance],"")</f>
        <v>Debit</v>
      </c>
      <c r="N253" s="8" t="str">
        <f>_xlfn.XLOOKUP(tblFinancials[[#This Row],[DepartmentKey]],tblDepartments[DepartmentKey],tblDepartments[DepartmentName],"")</f>
        <v>Executive</v>
      </c>
      <c r="O253" s="8" t="str">
        <f>_xlfn.XLOOKUP(tblFinancials[[#This Row],[BusinessUnitKey]],tblBusinessUnits[BusinessUnitKey],tblBusinessUnits[BusinessUnitName],"")</f>
        <v>E-Commerce</v>
      </c>
      <c r="P253" s="8" t="str">
        <f>_xlfn.XLOOKUP(tblFinancials[[#This Row],[RegionKey]],tblRegions[RegionKey],tblRegions[RegionName],"")</f>
        <v>South</v>
      </c>
    </row>
    <row r="254" spans="1:16">
      <c r="A254">
        <v>20230801</v>
      </c>
      <c r="B254">
        <v>6</v>
      </c>
      <c r="C254">
        <v>4</v>
      </c>
      <c r="D254">
        <v>2</v>
      </c>
      <c r="E254">
        <v>12</v>
      </c>
      <c r="F254" t="s">
        <v>92</v>
      </c>
      <c r="G254">
        <v>30218.89</v>
      </c>
      <c r="H254">
        <f>_xlfn.XLOOKUP(tblFinancials[[#This Row],[DateKey]],tblCalendar[DateKey],tblCalendar[FullDate],"")</f>
        <v>45139</v>
      </c>
      <c r="I254">
        <f>_xlfn.XLOOKUP(tblFinancials[[#This Row],[AccountKey]],tblAccounts[AccountKey],tblAccounts[AccountNumber],"")</f>
        <v>4010</v>
      </c>
      <c r="J254" t="str">
        <f>_xlfn.XLOOKUP(tblFinancials[[#This Row],[AccountKey]],tblAccounts[AccountKey],tblAccounts[AccountName],"")</f>
        <v>Service Revenue</v>
      </c>
      <c r="K254" s="8" t="str">
        <f>_xlfn.XLOOKUP(tblFinancials[[#This Row],[AccountKey]],tblAccounts[AccountKey],tblAccounts[FinancialStatement],"")</f>
        <v>Income Statement</v>
      </c>
      <c r="L254" s="8" t="str">
        <f>_xlfn.XLOOKUP(tblFinancials[[#This Row],[AccountKey]],tblAccounts[AccountKey],tblAccounts[AccountCategory],"")</f>
        <v>Revenue</v>
      </c>
      <c r="M254" s="8" t="str">
        <f>_xlfn.XLOOKUP(tblFinancials[[#This Row],[AccountKey]],tblAccounts[AccountKey],tblAccounts[NormalBalance],"")</f>
        <v>Credit</v>
      </c>
      <c r="N254" s="8" t="str">
        <f>_xlfn.XLOOKUP(tblFinancials[[#This Row],[DepartmentKey]],tblDepartments[DepartmentKey],tblDepartments[DepartmentName],"")</f>
        <v>Operations</v>
      </c>
      <c r="O254" s="8" t="str">
        <f>_xlfn.XLOOKUP(tblFinancials[[#This Row],[BusinessUnitKey]],tblBusinessUnits[BusinessUnitKey],tblBusinessUnits[BusinessUnitName],"")</f>
        <v>E-Commerce</v>
      </c>
      <c r="P254" s="8" t="str">
        <f>_xlfn.XLOOKUP(tblFinancials[[#This Row],[RegionKey]],tblRegions[RegionKey],tblRegions[RegionName],"")</f>
        <v>Midwest</v>
      </c>
    </row>
    <row r="255" spans="1:16">
      <c r="A255">
        <v>20230801</v>
      </c>
      <c r="B255">
        <v>4</v>
      </c>
      <c r="C255">
        <v>3</v>
      </c>
      <c r="D255">
        <v>3</v>
      </c>
      <c r="E255">
        <v>12</v>
      </c>
      <c r="F255" t="s">
        <v>92</v>
      </c>
      <c r="G255">
        <v>29893</v>
      </c>
      <c r="H255">
        <f>_xlfn.XLOOKUP(tblFinancials[[#This Row],[DateKey]],tblCalendar[DateKey],tblCalendar[FullDate],"")</f>
        <v>45139</v>
      </c>
      <c r="I255">
        <f>_xlfn.XLOOKUP(tblFinancials[[#This Row],[AccountKey]],tblAccounts[AccountKey],tblAccounts[AccountNumber],"")</f>
        <v>4010</v>
      </c>
      <c r="J255" t="str">
        <f>_xlfn.XLOOKUP(tblFinancials[[#This Row],[AccountKey]],tblAccounts[AccountKey],tblAccounts[AccountName],"")</f>
        <v>Service Revenue</v>
      </c>
      <c r="K255" s="8" t="str">
        <f>_xlfn.XLOOKUP(tblFinancials[[#This Row],[AccountKey]],tblAccounts[AccountKey],tblAccounts[FinancialStatement],"")</f>
        <v>Income Statement</v>
      </c>
      <c r="L255" s="8" t="str">
        <f>_xlfn.XLOOKUP(tblFinancials[[#This Row],[AccountKey]],tblAccounts[AccountKey],tblAccounts[AccountCategory],"")</f>
        <v>Revenue</v>
      </c>
      <c r="M255" s="8" t="str">
        <f>_xlfn.XLOOKUP(tblFinancials[[#This Row],[AccountKey]],tblAccounts[AccountKey],tblAccounts[NormalBalance],"")</f>
        <v>Credit</v>
      </c>
      <c r="N255" s="8" t="str">
        <f>_xlfn.XLOOKUP(tblFinancials[[#This Row],[DepartmentKey]],tblDepartments[DepartmentKey],tblDepartments[DepartmentName],"")</f>
        <v>Sales</v>
      </c>
      <c r="O255" s="8" t="str">
        <f>_xlfn.XLOOKUP(tblFinancials[[#This Row],[BusinessUnitKey]],tblBusinessUnits[BusinessUnitKey],tblBusinessUnits[BusinessUnitName],"")</f>
        <v>Retail</v>
      </c>
      <c r="P255" s="8" t="str">
        <f>_xlfn.XLOOKUP(tblFinancials[[#This Row],[RegionKey]],tblRegions[RegionKey],tblRegions[RegionName],"")</f>
        <v>South</v>
      </c>
    </row>
    <row r="256" spans="1:16">
      <c r="A256">
        <v>20230801</v>
      </c>
      <c r="B256">
        <v>4</v>
      </c>
      <c r="C256">
        <v>1</v>
      </c>
      <c r="D256">
        <v>4</v>
      </c>
      <c r="E256">
        <v>12</v>
      </c>
      <c r="F256" t="s">
        <v>92</v>
      </c>
      <c r="G256">
        <v>31136.87</v>
      </c>
      <c r="H256">
        <f>_xlfn.XLOOKUP(tblFinancials[[#This Row],[DateKey]],tblCalendar[DateKey],tblCalendar[FullDate],"")</f>
        <v>45139</v>
      </c>
      <c r="I256">
        <f>_xlfn.XLOOKUP(tblFinancials[[#This Row],[AccountKey]],tblAccounts[AccountKey],tblAccounts[AccountNumber],"")</f>
        <v>4010</v>
      </c>
      <c r="J256" t="str">
        <f>_xlfn.XLOOKUP(tblFinancials[[#This Row],[AccountKey]],tblAccounts[AccountKey],tblAccounts[AccountName],"")</f>
        <v>Service Revenue</v>
      </c>
      <c r="K256" s="8" t="str">
        <f>_xlfn.XLOOKUP(tblFinancials[[#This Row],[AccountKey]],tblAccounts[AccountKey],tblAccounts[FinancialStatement],"")</f>
        <v>Income Statement</v>
      </c>
      <c r="L256" s="8" t="str">
        <f>_xlfn.XLOOKUP(tblFinancials[[#This Row],[AccountKey]],tblAccounts[AccountKey],tblAccounts[AccountCategory],"")</f>
        <v>Revenue</v>
      </c>
      <c r="M256" s="8" t="str">
        <f>_xlfn.XLOOKUP(tblFinancials[[#This Row],[AccountKey]],tblAccounts[AccountKey],tblAccounts[NormalBalance],"")</f>
        <v>Credit</v>
      </c>
      <c r="N256" s="8" t="str">
        <f>_xlfn.XLOOKUP(tblFinancials[[#This Row],[DepartmentKey]],tblDepartments[DepartmentKey],tblDepartments[DepartmentName],"")</f>
        <v>Sales</v>
      </c>
      <c r="O256" s="8" t="str">
        <f>_xlfn.XLOOKUP(tblFinancials[[#This Row],[BusinessUnitKey]],tblBusinessUnits[BusinessUnitKey],tblBusinessUnits[BusinessUnitName],"")</f>
        <v xml:space="preserve">Manufacturing </v>
      </c>
      <c r="P256" s="8" t="str">
        <f>_xlfn.XLOOKUP(tblFinancials[[#This Row],[RegionKey]],tblRegions[RegionKey],tblRegions[RegionName],"")</f>
        <v>East</v>
      </c>
    </row>
    <row r="257" spans="1:16">
      <c r="A257">
        <v>20230801</v>
      </c>
      <c r="B257">
        <v>2</v>
      </c>
      <c r="C257">
        <v>3</v>
      </c>
      <c r="D257">
        <v>2</v>
      </c>
      <c r="E257">
        <v>13</v>
      </c>
      <c r="F257" t="s">
        <v>92</v>
      </c>
      <c r="G257">
        <v>30562.799999999999</v>
      </c>
      <c r="H257">
        <f>_xlfn.XLOOKUP(tblFinancials[[#This Row],[DateKey]],tblCalendar[DateKey],tblCalendar[FullDate],"")</f>
        <v>45139</v>
      </c>
      <c r="I257">
        <f>_xlfn.XLOOKUP(tblFinancials[[#This Row],[AccountKey]],tblAccounts[AccountKey],tblAccounts[AccountNumber],"")</f>
        <v>4020</v>
      </c>
      <c r="J257" t="str">
        <f>_xlfn.XLOOKUP(tblFinancials[[#This Row],[AccountKey]],tblAccounts[AccountKey],tblAccounts[AccountName],"")</f>
        <v>Online Revenue</v>
      </c>
      <c r="K257" s="8" t="str">
        <f>_xlfn.XLOOKUP(tblFinancials[[#This Row],[AccountKey]],tblAccounts[AccountKey],tblAccounts[FinancialStatement],"")</f>
        <v>Income Statement</v>
      </c>
      <c r="L257" s="8" t="str">
        <f>_xlfn.XLOOKUP(tblFinancials[[#This Row],[AccountKey]],tblAccounts[AccountKey],tblAccounts[AccountCategory],"")</f>
        <v>Revenue</v>
      </c>
      <c r="M257" s="8" t="str">
        <f>_xlfn.XLOOKUP(tblFinancials[[#This Row],[AccountKey]],tblAccounts[AccountKey],tblAccounts[NormalBalance],"")</f>
        <v>Credit</v>
      </c>
      <c r="N257" s="8" t="str">
        <f>_xlfn.XLOOKUP(tblFinancials[[#This Row],[DepartmentKey]],tblDepartments[DepartmentKey],tblDepartments[DepartmentName],"")</f>
        <v>Finance</v>
      </c>
      <c r="O257" s="8" t="str">
        <f>_xlfn.XLOOKUP(tblFinancials[[#This Row],[BusinessUnitKey]],tblBusinessUnits[BusinessUnitKey],tblBusinessUnits[BusinessUnitName],"")</f>
        <v>Retail</v>
      </c>
      <c r="P257" s="8" t="str">
        <f>_xlfn.XLOOKUP(tblFinancials[[#This Row],[RegionKey]],tblRegions[RegionKey],tblRegions[RegionName],"")</f>
        <v>Midwest</v>
      </c>
    </row>
    <row r="258" spans="1:16">
      <c r="A258">
        <v>20230801</v>
      </c>
      <c r="B258">
        <v>7</v>
      </c>
      <c r="C258">
        <v>1</v>
      </c>
      <c r="D258">
        <v>4</v>
      </c>
      <c r="E258">
        <v>11</v>
      </c>
      <c r="F258" t="s">
        <v>92</v>
      </c>
      <c r="G258">
        <v>30290.71</v>
      </c>
      <c r="H258">
        <f>_xlfn.XLOOKUP(tblFinancials[[#This Row],[DateKey]],tblCalendar[DateKey],tblCalendar[FullDate],"")</f>
        <v>45139</v>
      </c>
      <c r="I258">
        <f>_xlfn.XLOOKUP(tblFinancials[[#This Row],[AccountKey]],tblAccounts[AccountKey],tblAccounts[AccountNumber],"")</f>
        <v>4000</v>
      </c>
      <c r="J258" t="str">
        <f>_xlfn.XLOOKUP(tblFinancials[[#This Row],[AccountKey]],tblAccounts[AccountKey],tblAccounts[AccountName],"")</f>
        <v>Product Revenue</v>
      </c>
      <c r="K258" s="8" t="str">
        <f>_xlfn.XLOOKUP(tblFinancials[[#This Row],[AccountKey]],tblAccounts[AccountKey],tblAccounts[FinancialStatement],"")</f>
        <v>Income Statement</v>
      </c>
      <c r="L258" s="8" t="str">
        <f>_xlfn.XLOOKUP(tblFinancials[[#This Row],[AccountKey]],tblAccounts[AccountKey],tblAccounts[AccountCategory],"")</f>
        <v>Revenue</v>
      </c>
      <c r="M258" s="8" t="str">
        <f>_xlfn.XLOOKUP(tblFinancials[[#This Row],[AccountKey]],tblAccounts[AccountKey],tblAccounts[NormalBalance],"")</f>
        <v>Credit</v>
      </c>
      <c r="N258" s="8" t="str">
        <f>_xlfn.XLOOKUP(tblFinancials[[#This Row],[DepartmentKey]],tblDepartments[DepartmentKey],tblDepartments[DepartmentName],"")</f>
        <v>Information Technology</v>
      </c>
      <c r="O258" s="8" t="str">
        <f>_xlfn.XLOOKUP(tblFinancials[[#This Row],[BusinessUnitKey]],tblBusinessUnits[BusinessUnitKey],tblBusinessUnits[BusinessUnitName],"")</f>
        <v xml:space="preserve">Manufacturing </v>
      </c>
      <c r="P258" s="8" t="str">
        <f>_xlfn.XLOOKUP(tblFinancials[[#This Row],[RegionKey]],tblRegions[RegionKey],tblRegions[RegionName],"")</f>
        <v>East</v>
      </c>
    </row>
    <row r="259" spans="1:16">
      <c r="A259">
        <v>20230801</v>
      </c>
      <c r="B259">
        <v>5</v>
      </c>
      <c r="C259">
        <v>4</v>
      </c>
      <c r="D259">
        <v>3</v>
      </c>
      <c r="E259">
        <v>12</v>
      </c>
      <c r="F259" t="s">
        <v>92</v>
      </c>
      <c r="G259">
        <v>30621.72</v>
      </c>
      <c r="H259">
        <f>_xlfn.XLOOKUP(tblFinancials[[#This Row],[DateKey]],tblCalendar[DateKey],tblCalendar[FullDate],"")</f>
        <v>45139</v>
      </c>
      <c r="I259">
        <f>_xlfn.XLOOKUP(tblFinancials[[#This Row],[AccountKey]],tblAccounts[AccountKey],tblAccounts[AccountNumber],"")</f>
        <v>4010</v>
      </c>
      <c r="J259" t="str">
        <f>_xlfn.XLOOKUP(tblFinancials[[#This Row],[AccountKey]],tblAccounts[AccountKey],tblAccounts[AccountName],"")</f>
        <v>Service Revenue</v>
      </c>
      <c r="K259" s="8" t="str">
        <f>_xlfn.XLOOKUP(tblFinancials[[#This Row],[AccountKey]],tblAccounts[AccountKey],tblAccounts[FinancialStatement],"")</f>
        <v>Income Statement</v>
      </c>
      <c r="L259" s="8" t="str">
        <f>_xlfn.XLOOKUP(tblFinancials[[#This Row],[AccountKey]],tblAccounts[AccountKey],tblAccounts[AccountCategory],"")</f>
        <v>Revenue</v>
      </c>
      <c r="M259" s="8" t="str">
        <f>_xlfn.XLOOKUP(tblFinancials[[#This Row],[AccountKey]],tblAccounts[AccountKey],tblAccounts[NormalBalance],"")</f>
        <v>Credit</v>
      </c>
      <c r="N259" s="8" t="str">
        <f>_xlfn.XLOOKUP(tblFinancials[[#This Row],[DepartmentKey]],tblDepartments[DepartmentKey],tblDepartments[DepartmentName],"")</f>
        <v>Marketing</v>
      </c>
      <c r="O259" s="8" t="str">
        <f>_xlfn.XLOOKUP(tblFinancials[[#This Row],[BusinessUnitKey]],tblBusinessUnits[BusinessUnitKey],tblBusinessUnits[BusinessUnitName],"")</f>
        <v>E-Commerce</v>
      </c>
      <c r="P259" s="8" t="str">
        <f>_xlfn.XLOOKUP(tblFinancials[[#This Row],[RegionKey]],tblRegions[RegionKey],tblRegions[RegionName],"")</f>
        <v>South</v>
      </c>
    </row>
    <row r="260" spans="1:16">
      <c r="A260">
        <v>20230801</v>
      </c>
      <c r="B260">
        <v>1</v>
      </c>
      <c r="C260">
        <v>4</v>
      </c>
      <c r="D260">
        <v>1</v>
      </c>
      <c r="E260">
        <v>11</v>
      </c>
      <c r="F260" t="s">
        <v>92</v>
      </c>
      <c r="G260">
        <v>30785.25</v>
      </c>
      <c r="H260">
        <f>_xlfn.XLOOKUP(tblFinancials[[#This Row],[DateKey]],tblCalendar[DateKey],tblCalendar[FullDate],"")</f>
        <v>45139</v>
      </c>
      <c r="I260">
        <f>_xlfn.XLOOKUP(tblFinancials[[#This Row],[AccountKey]],tblAccounts[AccountKey],tblAccounts[AccountNumber],"")</f>
        <v>4000</v>
      </c>
      <c r="J260" t="str">
        <f>_xlfn.XLOOKUP(tblFinancials[[#This Row],[AccountKey]],tblAccounts[AccountKey],tblAccounts[AccountName],"")</f>
        <v>Product Revenue</v>
      </c>
      <c r="K260" s="8" t="str">
        <f>_xlfn.XLOOKUP(tblFinancials[[#This Row],[AccountKey]],tblAccounts[AccountKey],tblAccounts[FinancialStatement],"")</f>
        <v>Income Statement</v>
      </c>
      <c r="L260" s="8" t="str">
        <f>_xlfn.XLOOKUP(tblFinancials[[#This Row],[AccountKey]],tblAccounts[AccountKey],tblAccounts[AccountCategory],"")</f>
        <v>Revenue</v>
      </c>
      <c r="M260" s="8" t="str">
        <f>_xlfn.XLOOKUP(tblFinancials[[#This Row],[AccountKey]],tblAccounts[AccountKey],tblAccounts[NormalBalance],"")</f>
        <v>Credit</v>
      </c>
      <c r="N260" s="8" t="str">
        <f>_xlfn.XLOOKUP(tblFinancials[[#This Row],[DepartmentKey]],tblDepartments[DepartmentKey],tblDepartments[DepartmentName],"")</f>
        <v>Executive</v>
      </c>
      <c r="O260" s="8" t="str">
        <f>_xlfn.XLOOKUP(tblFinancials[[#This Row],[BusinessUnitKey]],tblBusinessUnits[BusinessUnitKey],tblBusinessUnits[BusinessUnitName],"")</f>
        <v>E-Commerce</v>
      </c>
      <c r="P260" s="8" t="str">
        <f>_xlfn.XLOOKUP(tblFinancials[[#This Row],[RegionKey]],tblRegions[RegionKey],tblRegions[RegionName],"")</f>
        <v>West</v>
      </c>
    </row>
    <row r="261" spans="1:16">
      <c r="A261">
        <v>20230801</v>
      </c>
      <c r="B261">
        <v>4</v>
      </c>
      <c r="C261">
        <v>2</v>
      </c>
      <c r="D261">
        <v>3</v>
      </c>
      <c r="E261">
        <v>12</v>
      </c>
      <c r="F261" t="s">
        <v>92</v>
      </c>
      <c r="G261">
        <v>29944.55</v>
      </c>
      <c r="H261">
        <f>_xlfn.XLOOKUP(tblFinancials[[#This Row],[DateKey]],tblCalendar[DateKey],tblCalendar[FullDate],"")</f>
        <v>45139</v>
      </c>
      <c r="I261">
        <f>_xlfn.XLOOKUP(tblFinancials[[#This Row],[AccountKey]],tblAccounts[AccountKey],tblAccounts[AccountNumber],"")</f>
        <v>4010</v>
      </c>
      <c r="J261" t="str">
        <f>_xlfn.XLOOKUP(tblFinancials[[#This Row],[AccountKey]],tblAccounts[AccountKey],tblAccounts[AccountName],"")</f>
        <v>Service Revenue</v>
      </c>
      <c r="K261" s="8" t="str">
        <f>_xlfn.XLOOKUP(tblFinancials[[#This Row],[AccountKey]],tblAccounts[AccountKey],tblAccounts[FinancialStatement],"")</f>
        <v>Income Statement</v>
      </c>
      <c r="L261" s="8" t="str">
        <f>_xlfn.XLOOKUP(tblFinancials[[#This Row],[AccountKey]],tblAccounts[AccountKey],tblAccounts[AccountCategory],"")</f>
        <v>Revenue</v>
      </c>
      <c r="M261" s="8" t="str">
        <f>_xlfn.XLOOKUP(tblFinancials[[#This Row],[AccountKey]],tblAccounts[AccountKey],tblAccounts[NormalBalance],"")</f>
        <v>Credit</v>
      </c>
      <c r="N261" s="8" t="str">
        <f>_xlfn.XLOOKUP(tblFinancials[[#This Row],[DepartmentKey]],tblDepartments[DepartmentKey],tblDepartments[DepartmentName],"")</f>
        <v>Sales</v>
      </c>
      <c r="O261" s="8" t="str">
        <f>_xlfn.XLOOKUP(tblFinancials[[#This Row],[BusinessUnitKey]],tblBusinessUnits[BusinessUnitKey],tblBusinessUnits[BusinessUnitName],"")</f>
        <v>Wholesale</v>
      </c>
      <c r="P261" s="8" t="str">
        <f>_xlfn.XLOOKUP(tblFinancials[[#This Row],[RegionKey]],tblRegions[RegionKey],tblRegions[RegionName],"")</f>
        <v>South</v>
      </c>
    </row>
    <row r="262" spans="1:16">
      <c r="A262">
        <v>20230801</v>
      </c>
      <c r="B262">
        <v>3</v>
      </c>
      <c r="C262">
        <v>1</v>
      </c>
      <c r="D262">
        <v>2</v>
      </c>
      <c r="E262">
        <v>11</v>
      </c>
      <c r="F262" t="s">
        <v>92</v>
      </c>
      <c r="G262">
        <v>30715.279999999999</v>
      </c>
      <c r="H262">
        <f>_xlfn.XLOOKUP(tblFinancials[[#This Row],[DateKey]],tblCalendar[DateKey],tblCalendar[FullDate],"")</f>
        <v>45139</v>
      </c>
      <c r="I262">
        <f>_xlfn.XLOOKUP(tblFinancials[[#This Row],[AccountKey]],tblAccounts[AccountKey],tblAccounts[AccountNumber],"")</f>
        <v>4000</v>
      </c>
      <c r="J262" t="str">
        <f>_xlfn.XLOOKUP(tblFinancials[[#This Row],[AccountKey]],tblAccounts[AccountKey],tblAccounts[AccountName],"")</f>
        <v>Product Revenue</v>
      </c>
      <c r="K262" s="8" t="str">
        <f>_xlfn.XLOOKUP(tblFinancials[[#This Row],[AccountKey]],tblAccounts[AccountKey],tblAccounts[FinancialStatement],"")</f>
        <v>Income Statement</v>
      </c>
      <c r="L262" s="8" t="str">
        <f>_xlfn.XLOOKUP(tblFinancials[[#This Row],[AccountKey]],tblAccounts[AccountKey],tblAccounts[AccountCategory],"")</f>
        <v>Revenue</v>
      </c>
      <c r="M262" s="8" t="str">
        <f>_xlfn.XLOOKUP(tblFinancials[[#This Row],[AccountKey]],tblAccounts[AccountKey],tblAccounts[NormalBalance],"")</f>
        <v>Credit</v>
      </c>
      <c r="N262" s="8" t="str">
        <f>_xlfn.XLOOKUP(tblFinancials[[#This Row],[DepartmentKey]],tblDepartments[DepartmentKey],tblDepartments[DepartmentName],"")</f>
        <v>Human Resources</v>
      </c>
      <c r="O262" s="8" t="str">
        <f>_xlfn.XLOOKUP(tblFinancials[[#This Row],[BusinessUnitKey]],tblBusinessUnits[BusinessUnitKey],tblBusinessUnits[BusinessUnitName],"")</f>
        <v xml:space="preserve">Manufacturing </v>
      </c>
      <c r="P262" s="8" t="str">
        <f>_xlfn.XLOOKUP(tblFinancials[[#This Row],[RegionKey]],tblRegions[RegionKey],tblRegions[RegionName],"")</f>
        <v>Midwest</v>
      </c>
    </row>
    <row r="263" spans="1:16">
      <c r="A263">
        <v>20230801</v>
      </c>
      <c r="B263">
        <v>1</v>
      </c>
      <c r="C263">
        <v>4</v>
      </c>
      <c r="D263">
        <v>1</v>
      </c>
      <c r="E263">
        <v>12</v>
      </c>
      <c r="F263" t="s">
        <v>92</v>
      </c>
      <c r="G263">
        <v>30298.48</v>
      </c>
      <c r="H263">
        <f>_xlfn.XLOOKUP(tblFinancials[[#This Row],[DateKey]],tblCalendar[DateKey],tblCalendar[FullDate],"")</f>
        <v>45139</v>
      </c>
      <c r="I263">
        <f>_xlfn.XLOOKUP(tblFinancials[[#This Row],[AccountKey]],tblAccounts[AccountKey],tblAccounts[AccountNumber],"")</f>
        <v>4010</v>
      </c>
      <c r="J263" t="str">
        <f>_xlfn.XLOOKUP(tblFinancials[[#This Row],[AccountKey]],tblAccounts[AccountKey],tblAccounts[AccountName],"")</f>
        <v>Service Revenue</v>
      </c>
      <c r="K263" s="8" t="str">
        <f>_xlfn.XLOOKUP(tblFinancials[[#This Row],[AccountKey]],tblAccounts[AccountKey],tblAccounts[FinancialStatement],"")</f>
        <v>Income Statement</v>
      </c>
      <c r="L263" s="8" t="str">
        <f>_xlfn.XLOOKUP(tblFinancials[[#This Row],[AccountKey]],tblAccounts[AccountKey],tblAccounts[AccountCategory],"")</f>
        <v>Revenue</v>
      </c>
      <c r="M263" s="8" t="str">
        <f>_xlfn.XLOOKUP(tblFinancials[[#This Row],[AccountKey]],tblAccounts[AccountKey],tblAccounts[NormalBalance],"")</f>
        <v>Credit</v>
      </c>
      <c r="N263" s="8" t="str">
        <f>_xlfn.XLOOKUP(tblFinancials[[#This Row],[DepartmentKey]],tblDepartments[DepartmentKey],tblDepartments[DepartmentName],"")</f>
        <v>Executive</v>
      </c>
      <c r="O263" s="8" t="str">
        <f>_xlfn.XLOOKUP(tblFinancials[[#This Row],[BusinessUnitKey]],tblBusinessUnits[BusinessUnitKey],tblBusinessUnits[BusinessUnitName],"")</f>
        <v>E-Commerce</v>
      </c>
      <c r="P263" s="8" t="str">
        <f>_xlfn.XLOOKUP(tblFinancials[[#This Row],[RegionKey]],tblRegions[RegionKey],tblRegions[RegionName],"")</f>
        <v>West</v>
      </c>
    </row>
    <row r="264" spans="1:16">
      <c r="A264">
        <v>20230801</v>
      </c>
      <c r="B264">
        <v>8</v>
      </c>
      <c r="C264">
        <v>1</v>
      </c>
      <c r="D264">
        <v>3</v>
      </c>
      <c r="E264">
        <v>13</v>
      </c>
      <c r="F264" t="s">
        <v>92</v>
      </c>
      <c r="G264">
        <v>30422.13</v>
      </c>
      <c r="H264">
        <f>_xlfn.XLOOKUP(tblFinancials[[#This Row],[DateKey]],tblCalendar[DateKey],tblCalendar[FullDate],"")</f>
        <v>45139</v>
      </c>
      <c r="I264">
        <f>_xlfn.XLOOKUP(tblFinancials[[#This Row],[AccountKey]],tblAccounts[AccountKey],tblAccounts[AccountNumber],"")</f>
        <v>4020</v>
      </c>
      <c r="J264" t="str">
        <f>_xlfn.XLOOKUP(tblFinancials[[#This Row],[AccountKey]],tblAccounts[AccountKey],tblAccounts[AccountName],"")</f>
        <v>Online Revenue</v>
      </c>
      <c r="K264" s="8" t="str">
        <f>_xlfn.XLOOKUP(tblFinancials[[#This Row],[AccountKey]],tblAccounts[AccountKey],tblAccounts[FinancialStatement],"")</f>
        <v>Income Statement</v>
      </c>
      <c r="L264" s="8" t="str">
        <f>_xlfn.XLOOKUP(tblFinancials[[#This Row],[AccountKey]],tblAccounts[AccountKey],tblAccounts[AccountCategory],"")</f>
        <v>Revenue</v>
      </c>
      <c r="M264" s="8" t="str">
        <f>_xlfn.XLOOKUP(tblFinancials[[#This Row],[AccountKey]],tblAccounts[AccountKey],tblAccounts[NormalBalance],"")</f>
        <v>Credit</v>
      </c>
      <c r="N264" s="8" t="str">
        <f>_xlfn.XLOOKUP(tblFinancials[[#This Row],[DepartmentKey]],tblDepartments[DepartmentKey],tblDepartments[DepartmentName],"")</f>
        <v>Customer Service</v>
      </c>
      <c r="O264" s="8" t="str">
        <f>_xlfn.XLOOKUP(tblFinancials[[#This Row],[BusinessUnitKey]],tblBusinessUnits[BusinessUnitKey],tblBusinessUnits[BusinessUnitName],"")</f>
        <v xml:space="preserve">Manufacturing </v>
      </c>
      <c r="P264" s="8" t="str">
        <f>_xlfn.XLOOKUP(tblFinancials[[#This Row],[RegionKey]],tblRegions[RegionKey],tblRegions[RegionName],"")</f>
        <v>South</v>
      </c>
    </row>
    <row r="265" spans="1:16">
      <c r="A265">
        <v>20230801</v>
      </c>
      <c r="B265">
        <v>3</v>
      </c>
      <c r="C265">
        <v>3</v>
      </c>
      <c r="D265">
        <v>4</v>
      </c>
      <c r="E265">
        <v>12</v>
      </c>
      <c r="F265" t="s">
        <v>92</v>
      </c>
      <c r="G265">
        <v>32564.77</v>
      </c>
      <c r="H265">
        <f>_xlfn.XLOOKUP(tblFinancials[[#This Row],[DateKey]],tblCalendar[DateKey],tblCalendar[FullDate],"")</f>
        <v>45139</v>
      </c>
      <c r="I265">
        <f>_xlfn.XLOOKUP(tblFinancials[[#This Row],[AccountKey]],tblAccounts[AccountKey],tblAccounts[AccountNumber],"")</f>
        <v>4010</v>
      </c>
      <c r="J265" t="str">
        <f>_xlfn.XLOOKUP(tblFinancials[[#This Row],[AccountKey]],tblAccounts[AccountKey],tblAccounts[AccountName],"")</f>
        <v>Service Revenue</v>
      </c>
      <c r="K265" s="8" t="str">
        <f>_xlfn.XLOOKUP(tblFinancials[[#This Row],[AccountKey]],tblAccounts[AccountKey],tblAccounts[FinancialStatement],"")</f>
        <v>Income Statement</v>
      </c>
      <c r="L265" s="8" t="str">
        <f>_xlfn.XLOOKUP(tblFinancials[[#This Row],[AccountKey]],tblAccounts[AccountKey],tblAccounts[AccountCategory],"")</f>
        <v>Revenue</v>
      </c>
      <c r="M265" s="8" t="str">
        <f>_xlfn.XLOOKUP(tblFinancials[[#This Row],[AccountKey]],tblAccounts[AccountKey],tblAccounts[NormalBalance],"")</f>
        <v>Credit</v>
      </c>
      <c r="N265" s="8" t="str">
        <f>_xlfn.XLOOKUP(tblFinancials[[#This Row],[DepartmentKey]],tblDepartments[DepartmentKey],tblDepartments[DepartmentName],"")</f>
        <v>Human Resources</v>
      </c>
      <c r="O265" s="8" t="str">
        <f>_xlfn.XLOOKUP(tblFinancials[[#This Row],[BusinessUnitKey]],tblBusinessUnits[BusinessUnitKey],tblBusinessUnits[BusinessUnitName],"")</f>
        <v>Retail</v>
      </c>
      <c r="P265" s="8" t="str">
        <f>_xlfn.XLOOKUP(tblFinancials[[#This Row],[RegionKey]],tblRegions[RegionKey],tblRegions[RegionName],"")</f>
        <v>East</v>
      </c>
    </row>
    <row r="266" spans="1:16">
      <c r="A266">
        <v>20230801</v>
      </c>
      <c r="B266">
        <v>6</v>
      </c>
      <c r="C266">
        <v>1</v>
      </c>
      <c r="D266">
        <v>1</v>
      </c>
      <c r="E266">
        <v>14</v>
      </c>
      <c r="F266" t="s">
        <v>92</v>
      </c>
      <c r="G266">
        <v>-18582.22</v>
      </c>
      <c r="H266">
        <f>_xlfn.XLOOKUP(tblFinancials[[#This Row],[DateKey]],tblCalendar[DateKey],tblCalendar[FullDate],"")</f>
        <v>45139</v>
      </c>
      <c r="I266">
        <f>_xlfn.XLOOKUP(tblFinancials[[#This Row],[AccountKey]],tblAccounts[AccountKey],tblAccounts[AccountNumber],"")</f>
        <v>5000</v>
      </c>
      <c r="J266" t="str">
        <f>_xlfn.XLOOKUP(tblFinancials[[#This Row],[AccountKey]],tblAccounts[AccountKey],tblAccounts[AccountName],"")</f>
        <v>Cost of Goods Sold</v>
      </c>
      <c r="K266" s="8" t="str">
        <f>_xlfn.XLOOKUP(tblFinancials[[#This Row],[AccountKey]],tblAccounts[AccountKey],tblAccounts[FinancialStatement],"")</f>
        <v>Income Statement</v>
      </c>
      <c r="L266" s="8" t="str">
        <f>_xlfn.XLOOKUP(tblFinancials[[#This Row],[AccountKey]],tblAccounts[AccountKey],tblAccounts[AccountCategory],"")</f>
        <v>Cost of Sales</v>
      </c>
      <c r="M266" s="8" t="str">
        <f>_xlfn.XLOOKUP(tblFinancials[[#This Row],[AccountKey]],tblAccounts[AccountKey],tblAccounts[NormalBalance],"")</f>
        <v>Debit</v>
      </c>
      <c r="N266" s="8" t="str">
        <f>_xlfn.XLOOKUP(tblFinancials[[#This Row],[DepartmentKey]],tblDepartments[DepartmentKey],tblDepartments[DepartmentName],"")</f>
        <v>Operations</v>
      </c>
      <c r="O266" s="8" t="str">
        <f>_xlfn.XLOOKUP(tblFinancials[[#This Row],[BusinessUnitKey]],tblBusinessUnits[BusinessUnitKey],tblBusinessUnits[BusinessUnitName],"")</f>
        <v xml:space="preserve">Manufacturing </v>
      </c>
      <c r="P266" s="8" t="str">
        <f>_xlfn.XLOOKUP(tblFinancials[[#This Row],[RegionKey]],tblRegions[RegionKey],tblRegions[RegionName],"")</f>
        <v>West</v>
      </c>
    </row>
    <row r="267" spans="1:16">
      <c r="A267">
        <v>20230801</v>
      </c>
      <c r="B267">
        <v>8</v>
      </c>
      <c r="C267">
        <v>1</v>
      </c>
      <c r="D267">
        <v>1</v>
      </c>
      <c r="E267">
        <v>14</v>
      </c>
      <c r="F267" t="s">
        <v>92</v>
      </c>
      <c r="G267">
        <v>-17322.599999999999</v>
      </c>
      <c r="H267">
        <f>_xlfn.XLOOKUP(tblFinancials[[#This Row],[DateKey]],tblCalendar[DateKey],tblCalendar[FullDate],"")</f>
        <v>45139</v>
      </c>
      <c r="I267">
        <f>_xlfn.XLOOKUP(tblFinancials[[#This Row],[AccountKey]],tblAccounts[AccountKey],tblAccounts[AccountNumber],"")</f>
        <v>5000</v>
      </c>
      <c r="J267" t="str">
        <f>_xlfn.XLOOKUP(tblFinancials[[#This Row],[AccountKey]],tblAccounts[AccountKey],tblAccounts[AccountName],"")</f>
        <v>Cost of Goods Sold</v>
      </c>
      <c r="K267" s="8" t="str">
        <f>_xlfn.XLOOKUP(tblFinancials[[#This Row],[AccountKey]],tblAccounts[AccountKey],tblAccounts[FinancialStatement],"")</f>
        <v>Income Statement</v>
      </c>
      <c r="L267" s="8" t="str">
        <f>_xlfn.XLOOKUP(tblFinancials[[#This Row],[AccountKey]],tblAccounts[AccountKey],tblAccounts[AccountCategory],"")</f>
        <v>Cost of Sales</v>
      </c>
      <c r="M267" s="8" t="str">
        <f>_xlfn.XLOOKUP(tblFinancials[[#This Row],[AccountKey]],tblAccounts[AccountKey],tblAccounts[NormalBalance],"")</f>
        <v>Debit</v>
      </c>
      <c r="N267" s="8" t="str">
        <f>_xlfn.XLOOKUP(tblFinancials[[#This Row],[DepartmentKey]],tblDepartments[DepartmentKey],tblDepartments[DepartmentName],"")</f>
        <v>Customer Service</v>
      </c>
      <c r="O267" s="8" t="str">
        <f>_xlfn.XLOOKUP(tblFinancials[[#This Row],[BusinessUnitKey]],tblBusinessUnits[BusinessUnitKey],tblBusinessUnits[BusinessUnitName],"")</f>
        <v xml:space="preserve">Manufacturing </v>
      </c>
      <c r="P267" s="8" t="str">
        <f>_xlfn.XLOOKUP(tblFinancials[[#This Row],[RegionKey]],tblRegions[RegionKey],tblRegions[RegionName],"")</f>
        <v>West</v>
      </c>
    </row>
    <row r="268" spans="1:16">
      <c r="A268">
        <v>20230801</v>
      </c>
      <c r="B268">
        <v>5</v>
      </c>
      <c r="C268">
        <v>2</v>
      </c>
      <c r="D268">
        <v>3</v>
      </c>
      <c r="E268">
        <v>14</v>
      </c>
      <c r="F268" t="s">
        <v>92</v>
      </c>
      <c r="G268">
        <v>-18580.32</v>
      </c>
      <c r="H268">
        <f>_xlfn.XLOOKUP(tblFinancials[[#This Row],[DateKey]],tblCalendar[DateKey],tblCalendar[FullDate],"")</f>
        <v>45139</v>
      </c>
      <c r="I268">
        <f>_xlfn.XLOOKUP(tblFinancials[[#This Row],[AccountKey]],tblAccounts[AccountKey],tblAccounts[AccountNumber],"")</f>
        <v>5000</v>
      </c>
      <c r="J268" t="str">
        <f>_xlfn.XLOOKUP(tblFinancials[[#This Row],[AccountKey]],tblAccounts[AccountKey],tblAccounts[AccountName],"")</f>
        <v>Cost of Goods Sold</v>
      </c>
      <c r="K268" s="8" t="str">
        <f>_xlfn.XLOOKUP(tblFinancials[[#This Row],[AccountKey]],tblAccounts[AccountKey],tblAccounts[FinancialStatement],"")</f>
        <v>Income Statement</v>
      </c>
      <c r="L268" s="8" t="str">
        <f>_xlfn.XLOOKUP(tblFinancials[[#This Row],[AccountKey]],tblAccounts[AccountKey],tblAccounts[AccountCategory],"")</f>
        <v>Cost of Sales</v>
      </c>
      <c r="M268" s="8" t="str">
        <f>_xlfn.XLOOKUP(tblFinancials[[#This Row],[AccountKey]],tblAccounts[AccountKey],tblAccounts[NormalBalance],"")</f>
        <v>Debit</v>
      </c>
      <c r="N268" s="8" t="str">
        <f>_xlfn.XLOOKUP(tblFinancials[[#This Row],[DepartmentKey]],tblDepartments[DepartmentKey],tblDepartments[DepartmentName],"")</f>
        <v>Marketing</v>
      </c>
      <c r="O268" s="8" t="str">
        <f>_xlfn.XLOOKUP(tblFinancials[[#This Row],[BusinessUnitKey]],tblBusinessUnits[BusinessUnitKey],tblBusinessUnits[BusinessUnitName],"")</f>
        <v>Wholesale</v>
      </c>
      <c r="P268" s="8" t="str">
        <f>_xlfn.XLOOKUP(tblFinancials[[#This Row],[RegionKey]],tblRegions[RegionKey],tblRegions[RegionName],"")</f>
        <v>South</v>
      </c>
    </row>
    <row r="269" spans="1:16">
      <c r="A269">
        <v>20230801</v>
      </c>
      <c r="B269">
        <v>4</v>
      </c>
      <c r="C269">
        <v>3</v>
      </c>
      <c r="D269">
        <v>4</v>
      </c>
      <c r="E269">
        <v>14</v>
      </c>
      <c r="F269" t="s">
        <v>92</v>
      </c>
      <c r="G269">
        <v>-18671.349999999999</v>
      </c>
      <c r="H269">
        <f>_xlfn.XLOOKUP(tblFinancials[[#This Row],[DateKey]],tblCalendar[DateKey],tblCalendar[FullDate],"")</f>
        <v>45139</v>
      </c>
      <c r="I269">
        <f>_xlfn.XLOOKUP(tblFinancials[[#This Row],[AccountKey]],tblAccounts[AccountKey],tblAccounts[AccountNumber],"")</f>
        <v>5000</v>
      </c>
      <c r="J269" t="str">
        <f>_xlfn.XLOOKUP(tblFinancials[[#This Row],[AccountKey]],tblAccounts[AccountKey],tblAccounts[AccountName],"")</f>
        <v>Cost of Goods Sold</v>
      </c>
      <c r="K269" s="8" t="str">
        <f>_xlfn.XLOOKUP(tblFinancials[[#This Row],[AccountKey]],tblAccounts[AccountKey],tblAccounts[FinancialStatement],"")</f>
        <v>Income Statement</v>
      </c>
      <c r="L269" s="8" t="str">
        <f>_xlfn.XLOOKUP(tblFinancials[[#This Row],[AccountKey]],tblAccounts[AccountKey],tblAccounts[AccountCategory],"")</f>
        <v>Cost of Sales</v>
      </c>
      <c r="M269" s="8" t="str">
        <f>_xlfn.XLOOKUP(tblFinancials[[#This Row],[AccountKey]],tblAccounts[AccountKey],tblAccounts[NormalBalance],"")</f>
        <v>Debit</v>
      </c>
      <c r="N269" s="8" t="str">
        <f>_xlfn.XLOOKUP(tblFinancials[[#This Row],[DepartmentKey]],tblDepartments[DepartmentKey],tblDepartments[DepartmentName],"")</f>
        <v>Sales</v>
      </c>
      <c r="O269" s="8" t="str">
        <f>_xlfn.XLOOKUP(tblFinancials[[#This Row],[BusinessUnitKey]],tblBusinessUnits[BusinessUnitKey],tblBusinessUnits[BusinessUnitName],"")</f>
        <v>Retail</v>
      </c>
      <c r="P269" s="8" t="str">
        <f>_xlfn.XLOOKUP(tblFinancials[[#This Row],[RegionKey]],tblRegions[RegionKey],tblRegions[RegionName],"")</f>
        <v>East</v>
      </c>
    </row>
    <row r="270" spans="1:16">
      <c r="A270">
        <v>20230801</v>
      </c>
      <c r="B270">
        <v>7</v>
      </c>
      <c r="C270">
        <v>1</v>
      </c>
      <c r="D270">
        <v>3</v>
      </c>
      <c r="E270">
        <v>14</v>
      </c>
      <c r="F270" t="s">
        <v>92</v>
      </c>
      <c r="G270">
        <v>-16894.009999999998</v>
      </c>
      <c r="H270">
        <f>_xlfn.XLOOKUP(tblFinancials[[#This Row],[DateKey]],tblCalendar[DateKey],tblCalendar[FullDate],"")</f>
        <v>45139</v>
      </c>
      <c r="I270">
        <f>_xlfn.XLOOKUP(tblFinancials[[#This Row],[AccountKey]],tblAccounts[AccountKey],tblAccounts[AccountNumber],"")</f>
        <v>5000</v>
      </c>
      <c r="J270" t="str">
        <f>_xlfn.XLOOKUP(tblFinancials[[#This Row],[AccountKey]],tblAccounts[AccountKey],tblAccounts[AccountName],"")</f>
        <v>Cost of Goods Sold</v>
      </c>
      <c r="K270" s="8" t="str">
        <f>_xlfn.XLOOKUP(tblFinancials[[#This Row],[AccountKey]],tblAccounts[AccountKey],tblAccounts[FinancialStatement],"")</f>
        <v>Income Statement</v>
      </c>
      <c r="L270" s="8" t="str">
        <f>_xlfn.XLOOKUP(tblFinancials[[#This Row],[AccountKey]],tblAccounts[AccountKey],tblAccounts[AccountCategory],"")</f>
        <v>Cost of Sales</v>
      </c>
      <c r="M270" s="8" t="str">
        <f>_xlfn.XLOOKUP(tblFinancials[[#This Row],[AccountKey]],tblAccounts[AccountKey],tblAccounts[NormalBalance],"")</f>
        <v>Debit</v>
      </c>
      <c r="N270" s="8" t="str">
        <f>_xlfn.XLOOKUP(tblFinancials[[#This Row],[DepartmentKey]],tblDepartments[DepartmentKey],tblDepartments[DepartmentName],"")</f>
        <v>Information Technology</v>
      </c>
      <c r="O270" s="8" t="str">
        <f>_xlfn.XLOOKUP(tblFinancials[[#This Row],[BusinessUnitKey]],tblBusinessUnits[BusinessUnitKey],tblBusinessUnits[BusinessUnitName],"")</f>
        <v xml:space="preserve">Manufacturing </v>
      </c>
      <c r="P270" s="8" t="str">
        <f>_xlfn.XLOOKUP(tblFinancials[[#This Row],[RegionKey]],tblRegions[RegionKey],tblRegions[RegionName],"")</f>
        <v>South</v>
      </c>
    </row>
    <row r="271" spans="1:16">
      <c r="A271">
        <v>20230801</v>
      </c>
      <c r="B271">
        <v>2</v>
      </c>
      <c r="C271">
        <v>2</v>
      </c>
      <c r="D271">
        <v>3</v>
      </c>
      <c r="E271">
        <v>14</v>
      </c>
      <c r="F271" t="s">
        <v>92</v>
      </c>
      <c r="G271">
        <v>-18936.669999999998</v>
      </c>
      <c r="H271">
        <f>_xlfn.XLOOKUP(tblFinancials[[#This Row],[DateKey]],tblCalendar[DateKey],tblCalendar[FullDate],"")</f>
        <v>45139</v>
      </c>
      <c r="I271">
        <f>_xlfn.XLOOKUP(tblFinancials[[#This Row],[AccountKey]],tblAccounts[AccountKey],tblAccounts[AccountNumber],"")</f>
        <v>5000</v>
      </c>
      <c r="J271" t="str">
        <f>_xlfn.XLOOKUP(tblFinancials[[#This Row],[AccountKey]],tblAccounts[AccountKey],tblAccounts[AccountName],"")</f>
        <v>Cost of Goods Sold</v>
      </c>
      <c r="K271" s="8" t="str">
        <f>_xlfn.XLOOKUP(tblFinancials[[#This Row],[AccountKey]],tblAccounts[AccountKey],tblAccounts[FinancialStatement],"")</f>
        <v>Income Statement</v>
      </c>
      <c r="L271" s="8" t="str">
        <f>_xlfn.XLOOKUP(tblFinancials[[#This Row],[AccountKey]],tblAccounts[AccountKey],tblAccounts[AccountCategory],"")</f>
        <v>Cost of Sales</v>
      </c>
      <c r="M271" s="8" t="str">
        <f>_xlfn.XLOOKUP(tblFinancials[[#This Row],[AccountKey]],tblAccounts[AccountKey],tblAccounts[NormalBalance],"")</f>
        <v>Debit</v>
      </c>
      <c r="N271" s="8" t="str">
        <f>_xlfn.XLOOKUP(tblFinancials[[#This Row],[DepartmentKey]],tblDepartments[DepartmentKey],tblDepartments[DepartmentName],"")</f>
        <v>Finance</v>
      </c>
      <c r="O271" s="8" t="str">
        <f>_xlfn.XLOOKUP(tblFinancials[[#This Row],[BusinessUnitKey]],tblBusinessUnits[BusinessUnitKey],tblBusinessUnits[BusinessUnitName],"")</f>
        <v>Wholesale</v>
      </c>
      <c r="P271" s="8" t="str">
        <f>_xlfn.XLOOKUP(tblFinancials[[#This Row],[RegionKey]],tblRegions[RegionKey],tblRegions[RegionName],"")</f>
        <v>South</v>
      </c>
    </row>
    <row r="272" spans="1:16">
      <c r="A272">
        <v>20230801</v>
      </c>
      <c r="B272">
        <v>2</v>
      </c>
      <c r="C272">
        <v>3</v>
      </c>
      <c r="D272">
        <v>4</v>
      </c>
      <c r="E272">
        <v>14</v>
      </c>
      <c r="F272" t="s">
        <v>92</v>
      </c>
      <c r="G272">
        <v>-18942.34</v>
      </c>
      <c r="H272">
        <f>_xlfn.XLOOKUP(tblFinancials[[#This Row],[DateKey]],tblCalendar[DateKey],tblCalendar[FullDate],"")</f>
        <v>45139</v>
      </c>
      <c r="I272">
        <f>_xlfn.XLOOKUP(tblFinancials[[#This Row],[AccountKey]],tblAccounts[AccountKey],tblAccounts[AccountNumber],"")</f>
        <v>5000</v>
      </c>
      <c r="J272" t="str">
        <f>_xlfn.XLOOKUP(tblFinancials[[#This Row],[AccountKey]],tblAccounts[AccountKey],tblAccounts[AccountName],"")</f>
        <v>Cost of Goods Sold</v>
      </c>
      <c r="K272" s="8" t="str">
        <f>_xlfn.XLOOKUP(tblFinancials[[#This Row],[AccountKey]],tblAccounts[AccountKey],tblAccounts[FinancialStatement],"")</f>
        <v>Income Statement</v>
      </c>
      <c r="L272" s="8" t="str">
        <f>_xlfn.XLOOKUP(tblFinancials[[#This Row],[AccountKey]],tblAccounts[AccountKey],tblAccounts[AccountCategory],"")</f>
        <v>Cost of Sales</v>
      </c>
      <c r="M272" s="8" t="str">
        <f>_xlfn.XLOOKUP(tblFinancials[[#This Row],[AccountKey]],tblAccounts[AccountKey],tblAccounts[NormalBalance],"")</f>
        <v>Debit</v>
      </c>
      <c r="N272" s="8" t="str">
        <f>_xlfn.XLOOKUP(tblFinancials[[#This Row],[DepartmentKey]],tblDepartments[DepartmentKey],tblDepartments[DepartmentName],"")</f>
        <v>Finance</v>
      </c>
      <c r="O272" s="8" t="str">
        <f>_xlfn.XLOOKUP(tblFinancials[[#This Row],[BusinessUnitKey]],tblBusinessUnits[BusinessUnitKey],tblBusinessUnits[BusinessUnitName],"")</f>
        <v>Retail</v>
      </c>
      <c r="P272" s="8" t="str">
        <f>_xlfn.XLOOKUP(tblFinancials[[#This Row],[RegionKey]],tblRegions[RegionKey],tblRegions[RegionName],"")</f>
        <v>East</v>
      </c>
    </row>
    <row r="273" spans="1:16">
      <c r="A273">
        <v>20230801</v>
      </c>
      <c r="B273">
        <v>8</v>
      </c>
      <c r="C273">
        <v>2</v>
      </c>
      <c r="D273">
        <v>4</v>
      </c>
      <c r="E273">
        <v>14</v>
      </c>
      <c r="F273" t="s">
        <v>92</v>
      </c>
      <c r="G273">
        <v>-18959.11</v>
      </c>
      <c r="H273">
        <f>_xlfn.XLOOKUP(tblFinancials[[#This Row],[DateKey]],tblCalendar[DateKey],tblCalendar[FullDate],"")</f>
        <v>45139</v>
      </c>
      <c r="I273">
        <f>_xlfn.XLOOKUP(tblFinancials[[#This Row],[AccountKey]],tblAccounts[AccountKey],tblAccounts[AccountNumber],"")</f>
        <v>5000</v>
      </c>
      <c r="J273" t="str">
        <f>_xlfn.XLOOKUP(tblFinancials[[#This Row],[AccountKey]],tblAccounts[AccountKey],tblAccounts[AccountName],"")</f>
        <v>Cost of Goods Sold</v>
      </c>
      <c r="K273" s="8" t="str">
        <f>_xlfn.XLOOKUP(tblFinancials[[#This Row],[AccountKey]],tblAccounts[AccountKey],tblAccounts[FinancialStatement],"")</f>
        <v>Income Statement</v>
      </c>
      <c r="L273" s="8" t="str">
        <f>_xlfn.XLOOKUP(tblFinancials[[#This Row],[AccountKey]],tblAccounts[AccountKey],tblAccounts[AccountCategory],"")</f>
        <v>Cost of Sales</v>
      </c>
      <c r="M273" s="8" t="str">
        <f>_xlfn.XLOOKUP(tblFinancials[[#This Row],[AccountKey]],tblAccounts[AccountKey],tblAccounts[NormalBalance],"")</f>
        <v>Debit</v>
      </c>
      <c r="N273" s="8" t="str">
        <f>_xlfn.XLOOKUP(tblFinancials[[#This Row],[DepartmentKey]],tblDepartments[DepartmentKey],tblDepartments[DepartmentName],"")</f>
        <v>Customer Service</v>
      </c>
      <c r="O273" s="8" t="str">
        <f>_xlfn.XLOOKUP(tblFinancials[[#This Row],[BusinessUnitKey]],tblBusinessUnits[BusinessUnitKey],tblBusinessUnits[BusinessUnitName],"")</f>
        <v>Wholesale</v>
      </c>
      <c r="P273" s="8" t="str">
        <f>_xlfn.XLOOKUP(tblFinancials[[#This Row],[RegionKey]],tblRegions[RegionKey],tblRegions[RegionName],"")</f>
        <v>East</v>
      </c>
    </row>
    <row r="274" spans="1:16">
      <c r="A274">
        <v>20230801</v>
      </c>
      <c r="B274">
        <v>4</v>
      </c>
      <c r="C274">
        <v>4</v>
      </c>
      <c r="D274">
        <v>2</v>
      </c>
      <c r="E274">
        <v>14</v>
      </c>
      <c r="F274" t="s">
        <v>92</v>
      </c>
      <c r="G274">
        <v>-16818.05</v>
      </c>
      <c r="H274">
        <f>_xlfn.XLOOKUP(tblFinancials[[#This Row],[DateKey]],tblCalendar[DateKey],tblCalendar[FullDate],"")</f>
        <v>45139</v>
      </c>
      <c r="I274">
        <f>_xlfn.XLOOKUP(tblFinancials[[#This Row],[AccountKey]],tblAccounts[AccountKey],tblAccounts[AccountNumber],"")</f>
        <v>5000</v>
      </c>
      <c r="J274" t="str">
        <f>_xlfn.XLOOKUP(tblFinancials[[#This Row],[AccountKey]],tblAccounts[AccountKey],tblAccounts[AccountName],"")</f>
        <v>Cost of Goods Sold</v>
      </c>
      <c r="K274" s="8" t="str">
        <f>_xlfn.XLOOKUP(tblFinancials[[#This Row],[AccountKey]],tblAccounts[AccountKey],tblAccounts[FinancialStatement],"")</f>
        <v>Income Statement</v>
      </c>
      <c r="L274" s="8" t="str">
        <f>_xlfn.XLOOKUP(tblFinancials[[#This Row],[AccountKey]],tblAccounts[AccountKey],tblAccounts[AccountCategory],"")</f>
        <v>Cost of Sales</v>
      </c>
      <c r="M274" s="8" t="str">
        <f>_xlfn.XLOOKUP(tblFinancials[[#This Row],[AccountKey]],tblAccounts[AccountKey],tblAccounts[NormalBalance],"")</f>
        <v>Debit</v>
      </c>
      <c r="N274" s="8" t="str">
        <f>_xlfn.XLOOKUP(tblFinancials[[#This Row],[DepartmentKey]],tblDepartments[DepartmentKey],tblDepartments[DepartmentName],"")</f>
        <v>Sales</v>
      </c>
      <c r="O274" s="8" t="str">
        <f>_xlfn.XLOOKUP(tblFinancials[[#This Row],[BusinessUnitKey]],tblBusinessUnits[BusinessUnitKey],tblBusinessUnits[BusinessUnitName],"")</f>
        <v>E-Commerce</v>
      </c>
      <c r="P274" s="8" t="str">
        <f>_xlfn.XLOOKUP(tblFinancials[[#This Row],[RegionKey]],tblRegions[RegionKey],tblRegions[RegionName],"")</f>
        <v>Midwest</v>
      </c>
    </row>
    <row r="275" spans="1:16">
      <c r="A275">
        <v>20230801</v>
      </c>
      <c r="B275">
        <v>7</v>
      </c>
      <c r="C275">
        <v>1</v>
      </c>
      <c r="D275">
        <v>2</v>
      </c>
      <c r="E275">
        <v>14</v>
      </c>
      <c r="F275" t="s">
        <v>92</v>
      </c>
      <c r="G275">
        <v>-17099.919999999998</v>
      </c>
      <c r="H275">
        <f>_xlfn.XLOOKUP(tblFinancials[[#This Row],[DateKey]],tblCalendar[DateKey],tblCalendar[FullDate],"")</f>
        <v>45139</v>
      </c>
      <c r="I275">
        <f>_xlfn.XLOOKUP(tblFinancials[[#This Row],[AccountKey]],tblAccounts[AccountKey],tblAccounts[AccountNumber],"")</f>
        <v>5000</v>
      </c>
      <c r="J275" t="str">
        <f>_xlfn.XLOOKUP(tblFinancials[[#This Row],[AccountKey]],tblAccounts[AccountKey],tblAccounts[AccountName],"")</f>
        <v>Cost of Goods Sold</v>
      </c>
      <c r="K275" s="8" t="str">
        <f>_xlfn.XLOOKUP(tblFinancials[[#This Row],[AccountKey]],tblAccounts[AccountKey],tblAccounts[FinancialStatement],"")</f>
        <v>Income Statement</v>
      </c>
      <c r="L275" s="8" t="str">
        <f>_xlfn.XLOOKUP(tblFinancials[[#This Row],[AccountKey]],tblAccounts[AccountKey],tblAccounts[AccountCategory],"")</f>
        <v>Cost of Sales</v>
      </c>
      <c r="M275" s="8" t="str">
        <f>_xlfn.XLOOKUP(tblFinancials[[#This Row],[AccountKey]],tblAccounts[AccountKey],tblAccounts[NormalBalance],"")</f>
        <v>Debit</v>
      </c>
      <c r="N275" s="8" t="str">
        <f>_xlfn.XLOOKUP(tblFinancials[[#This Row],[DepartmentKey]],tblDepartments[DepartmentKey],tblDepartments[DepartmentName],"")</f>
        <v>Information Technology</v>
      </c>
      <c r="O275" s="8" t="str">
        <f>_xlfn.XLOOKUP(tblFinancials[[#This Row],[BusinessUnitKey]],tblBusinessUnits[BusinessUnitKey],tblBusinessUnits[BusinessUnitName],"")</f>
        <v xml:space="preserve">Manufacturing </v>
      </c>
      <c r="P275" s="8" t="str">
        <f>_xlfn.XLOOKUP(tblFinancials[[#This Row],[RegionKey]],tblRegions[RegionKey],tblRegions[RegionName],"")</f>
        <v>Midwest</v>
      </c>
    </row>
    <row r="276" spans="1:16">
      <c r="A276">
        <v>20230801</v>
      </c>
      <c r="B276">
        <v>8</v>
      </c>
      <c r="C276">
        <v>3</v>
      </c>
      <c r="D276">
        <v>2</v>
      </c>
      <c r="E276">
        <v>14</v>
      </c>
      <c r="F276" t="s">
        <v>92</v>
      </c>
      <c r="G276">
        <v>-18847.8</v>
      </c>
      <c r="H276">
        <f>_xlfn.XLOOKUP(tblFinancials[[#This Row],[DateKey]],tblCalendar[DateKey],tblCalendar[FullDate],"")</f>
        <v>45139</v>
      </c>
      <c r="I276">
        <f>_xlfn.XLOOKUP(tblFinancials[[#This Row],[AccountKey]],tblAccounts[AccountKey],tblAccounts[AccountNumber],"")</f>
        <v>5000</v>
      </c>
      <c r="J276" t="str">
        <f>_xlfn.XLOOKUP(tblFinancials[[#This Row],[AccountKey]],tblAccounts[AccountKey],tblAccounts[AccountName],"")</f>
        <v>Cost of Goods Sold</v>
      </c>
      <c r="K276" s="8" t="str">
        <f>_xlfn.XLOOKUP(tblFinancials[[#This Row],[AccountKey]],tblAccounts[AccountKey],tblAccounts[FinancialStatement],"")</f>
        <v>Income Statement</v>
      </c>
      <c r="L276" s="8" t="str">
        <f>_xlfn.XLOOKUP(tblFinancials[[#This Row],[AccountKey]],tblAccounts[AccountKey],tblAccounts[AccountCategory],"")</f>
        <v>Cost of Sales</v>
      </c>
      <c r="M276" s="8" t="str">
        <f>_xlfn.XLOOKUP(tblFinancials[[#This Row],[AccountKey]],tblAccounts[AccountKey],tblAccounts[NormalBalance],"")</f>
        <v>Debit</v>
      </c>
      <c r="N276" s="8" t="str">
        <f>_xlfn.XLOOKUP(tblFinancials[[#This Row],[DepartmentKey]],tblDepartments[DepartmentKey],tblDepartments[DepartmentName],"")</f>
        <v>Customer Service</v>
      </c>
      <c r="O276" s="8" t="str">
        <f>_xlfn.XLOOKUP(tblFinancials[[#This Row],[BusinessUnitKey]],tblBusinessUnits[BusinessUnitKey],tblBusinessUnits[BusinessUnitName],"")</f>
        <v>Retail</v>
      </c>
      <c r="P276" s="8" t="str">
        <f>_xlfn.XLOOKUP(tblFinancials[[#This Row],[RegionKey]],tblRegions[RegionKey],tblRegions[RegionName],"")</f>
        <v>Midwest</v>
      </c>
    </row>
    <row r="277" spans="1:16">
      <c r="A277">
        <v>20230801</v>
      </c>
      <c r="B277">
        <v>6</v>
      </c>
      <c r="C277">
        <v>1</v>
      </c>
      <c r="D277">
        <v>1</v>
      </c>
      <c r="E277">
        <v>14</v>
      </c>
      <c r="F277" t="s">
        <v>92</v>
      </c>
      <c r="G277">
        <v>-15306.46</v>
      </c>
      <c r="H277">
        <f>_xlfn.XLOOKUP(tblFinancials[[#This Row],[DateKey]],tblCalendar[DateKey],tblCalendar[FullDate],"")</f>
        <v>45139</v>
      </c>
      <c r="I277">
        <f>_xlfn.XLOOKUP(tblFinancials[[#This Row],[AccountKey]],tblAccounts[AccountKey],tblAccounts[AccountNumber],"")</f>
        <v>5000</v>
      </c>
      <c r="J277" t="str">
        <f>_xlfn.XLOOKUP(tblFinancials[[#This Row],[AccountKey]],tblAccounts[AccountKey],tblAccounts[AccountName],"")</f>
        <v>Cost of Goods Sold</v>
      </c>
      <c r="K277" s="8" t="str">
        <f>_xlfn.XLOOKUP(tblFinancials[[#This Row],[AccountKey]],tblAccounts[AccountKey],tblAccounts[FinancialStatement],"")</f>
        <v>Income Statement</v>
      </c>
      <c r="L277" s="8" t="str">
        <f>_xlfn.XLOOKUP(tblFinancials[[#This Row],[AccountKey]],tblAccounts[AccountKey],tblAccounts[AccountCategory],"")</f>
        <v>Cost of Sales</v>
      </c>
      <c r="M277" s="8" t="str">
        <f>_xlfn.XLOOKUP(tblFinancials[[#This Row],[AccountKey]],tblAccounts[AccountKey],tblAccounts[NormalBalance],"")</f>
        <v>Debit</v>
      </c>
      <c r="N277" s="8" t="str">
        <f>_xlfn.XLOOKUP(tblFinancials[[#This Row],[DepartmentKey]],tblDepartments[DepartmentKey],tblDepartments[DepartmentName],"")</f>
        <v>Operations</v>
      </c>
      <c r="O277" s="8" t="str">
        <f>_xlfn.XLOOKUP(tblFinancials[[#This Row],[BusinessUnitKey]],tblBusinessUnits[BusinessUnitKey],tblBusinessUnits[BusinessUnitName],"")</f>
        <v xml:space="preserve">Manufacturing </v>
      </c>
      <c r="P277" s="8" t="str">
        <f>_xlfn.XLOOKUP(tblFinancials[[#This Row],[RegionKey]],tblRegions[RegionKey],tblRegions[RegionName],"")</f>
        <v>West</v>
      </c>
    </row>
    <row r="278" spans="1:16">
      <c r="A278">
        <v>20230801</v>
      </c>
      <c r="B278">
        <v>2</v>
      </c>
      <c r="C278">
        <v>2</v>
      </c>
      <c r="D278">
        <v>2</v>
      </c>
      <c r="E278">
        <v>22</v>
      </c>
      <c r="F278" t="s">
        <v>92</v>
      </c>
      <c r="G278">
        <v>-6648.86</v>
      </c>
      <c r="H278">
        <f>_xlfn.XLOOKUP(tblFinancials[[#This Row],[DateKey]],tblCalendar[DateKey],tblCalendar[FullDate],"")</f>
        <v>45139</v>
      </c>
      <c r="I278">
        <f>_xlfn.XLOOKUP(tblFinancials[[#This Row],[AccountKey]],tblAccounts[AccountKey],tblAccounts[AccountNumber],"")</f>
        <v>6700</v>
      </c>
      <c r="J278" t="str">
        <f>_xlfn.XLOOKUP(tblFinancials[[#This Row],[AccountKey]],tblAccounts[AccountKey],tblAccounts[AccountName],"")</f>
        <v>Insurance Expense</v>
      </c>
      <c r="K278" s="8" t="str">
        <f>_xlfn.XLOOKUP(tblFinancials[[#This Row],[AccountKey]],tblAccounts[AccountKey],tblAccounts[FinancialStatement],"")</f>
        <v>Income Statement</v>
      </c>
      <c r="L278" s="8" t="str">
        <f>_xlfn.XLOOKUP(tblFinancials[[#This Row],[AccountKey]],tblAccounts[AccountKey],tblAccounts[AccountCategory],"")</f>
        <v>Operating Expense</v>
      </c>
      <c r="M278" s="8" t="str">
        <f>_xlfn.XLOOKUP(tblFinancials[[#This Row],[AccountKey]],tblAccounts[AccountKey],tblAccounts[NormalBalance],"")</f>
        <v>Debit</v>
      </c>
      <c r="N278" s="8" t="str">
        <f>_xlfn.XLOOKUP(tblFinancials[[#This Row],[DepartmentKey]],tblDepartments[DepartmentKey],tblDepartments[DepartmentName],"")</f>
        <v>Finance</v>
      </c>
      <c r="O278" s="8" t="str">
        <f>_xlfn.XLOOKUP(tblFinancials[[#This Row],[BusinessUnitKey]],tblBusinessUnits[BusinessUnitKey],tblBusinessUnits[BusinessUnitName],"")</f>
        <v>Wholesale</v>
      </c>
      <c r="P278" s="8" t="str">
        <f>_xlfn.XLOOKUP(tblFinancials[[#This Row],[RegionKey]],tblRegions[RegionKey],tblRegions[RegionName],"")</f>
        <v>Midwest</v>
      </c>
    </row>
    <row r="279" spans="1:16">
      <c r="A279">
        <v>20230801</v>
      </c>
      <c r="B279">
        <v>3</v>
      </c>
      <c r="C279">
        <v>3</v>
      </c>
      <c r="D279">
        <v>2</v>
      </c>
      <c r="E279">
        <v>23</v>
      </c>
      <c r="F279" t="s">
        <v>92</v>
      </c>
      <c r="G279">
        <v>-6314.41</v>
      </c>
      <c r="H279">
        <f>_xlfn.XLOOKUP(tblFinancials[[#This Row],[DateKey]],tblCalendar[DateKey],tblCalendar[FullDate],"")</f>
        <v>45139</v>
      </c>
      <c r="I279">
        <f>_xlfn.XLOOKUP(tblFinancials[[#This Row],[AccountKey]],tblAccounts[AccountKey],tblAccounts[AccountNumber],"")</f>
        <v>6800</v>
      </c>
      <c r="J279" t="str">
        <f>_xlfn.XLOOKUP(tblFinancials[[#This Row],[AccountKey]],tblAccounts[AccountKey],tblAccounts[AccountName],"")</f>
        <v>Travel Expense</v>
      </c>
      <c r="K279" s="8" t="str">
        <f>_xlfn.XLOOKUP(tblFinancials[[#This Row],[AccountKey]],tblAccounts[AccountKey],tblAccounts[FinancialStatement],"")</f>
        <v>Income Statement</v>
      </c>
      <c r="L279" s="8" t="str">
        <f>_xlfn.XLOOKUP(tblFinancials[[#This Row],[AccountKey]],tblAccounts[AccountKey],tblAccounts[AccountCategory],"")</f>
        <v>Operating Expense</v>
      </c>
      <c r="M279" s="8" t="str">
        <f>_xlfn.XLOOKUP(tblFinancials[[#This Row],[AccountKey]],tblAccounts[AccountKey],tblAccounts[NormalBalance],"")</f>
        <v>Debit</v>
      </c>
      <c r="N279" s="8" t="str">
        <f>_xlfn.XLOOKUP(tblFinancials[[#This Row],[DepartmentKey]],tblDepartments[DepartmentKey],tblDepartments[DepartmentName],"")</f>
        <v>Human Resources</v>
      </c>
      <c r="O279" s="8" t="str">
        <f>_xlfn.XLOOKUP(tblFinancials[[#This Row],[BusinessUnitKey]],tblBusinessUnits[BusinessUnitKey],tblBusinessUnits[BusinessUnitName],"")</f>
        <v>Retail</v>
      </c>
      <c r="P279" s="8" t="str">
        <f>_xlfn.XLOOKUP(tblFinancials[[#This Row],[RegionKey]],tblRegions[RegionKey],tblRegions[RegionName],"")</f>
        <v>Midwest</v>
      </c>
    </row>
    <row r="280" spans="1:16">
      <c r="A280">
        <v>20230801</v>
      </c>
      <c r="B280">
        <v>2</v>
      </c>
      <c r="C280">
        <v>3</v>
      </c>
      <c r="D280">
        <v>1</v>
      </c>
      <c r="E280">
        <v>25</v>
      </c>
      <c r="F280" t="s">
        <v>92</v>
      </c>
      <c r="G280">
        <v>-7896.71</v>
      </c>
      <c r="H280">
        <f>_xlfn.XLOOKUP(tblFinancials[[#This Row],[DateKey]],tblCalendar[DateKey],tblCalendar[FullDate],"")</f>
        <v>45139</v>
      </c>
      <c r="I280">
        <f>_xlfn.XLOOKUP(tblFinancials[[#This Row],[AccountKey]],tblAccounts[AccountKey],tblAccounts[AccountNumber],"")</f>
        <v>8200</v>
      </c>
      <c r="J280" t="str">
        <f>_xlfn.XLOOKUP(tblFinancials[[#This Row],[AccountKey]],tblAccounts[AccountKey],tblAccounts[AccountName],"")</f>
        <v>Income Tax Expense</v>
      </c>
      <c r="K280" s="8" t="str">
        <f>_xlfn.XLOOKUP(tblFinancials[[#This Row],[AccountKey]],tblAccounts[AccountKey],tblAccounts[FinancialStatement],"")</f>
        <v>Income Statement</v>
      </c>
      <c r="L280" s="8" t="str">
        <f>_xlfn.XLOOKUP(tblFinancials[[#This Row],[AccountKey]],tblAccounts[AccountKey],tblAccounts[AccountCategory],"")</f>
        <v>Tax Expense</v>
      </c>
      <c r="M280" s="8" t="str">
        <f>_xlfn.XLOOKUP(tblFinancials[[#This Row],[AccountKey]],tblAccounts[AccountKey],tblAccounts[NormalBalance],"")</f>
        <v>Debit</v>
      </c>
      <c r="N280" s="8" t="str">
        <f>_xlfn.XLOOKUP(tblFinancials[[#This Row],[DepartmentKey]],tblDepartments[DepartmentKey],tblDepartments[DepartmentName],"")</f>
        <v>Finance</v>
      </c>
      <c r="O280" s="8" t="str">
        <f>_xlfn.XLOOKUP(tblFinancials[[#This Row],[BusinessUnitKey]],tblBusinessUnits[BusinessUnitKey],tblBusinessUnits[BusinessUnitName],"")</f>
        <v>Retail</v>
      </c>
      <c r="P280" s="8" t="str">
        <f>_xlfn.XLOOKUP(tblFinancials[[#This Row],[RegionKey]],tblRegions[RegionKey],tblRegions[RegionName],"")</f>
        <v>West</v>
      </c>
    </row>
    <row r="281" spans="1:16">
      <c r="A281">
        <v>20230801</v>
      </c>
      <c r="B281">
        <v>5</v>
      </c>
      <c r="C281">
        <v>3</v>
      </c>
      <c r="D281">
        <v>1</v>
      </c>
      <c r="E281">
        <v>24</v>
      </c>
      <c r="F281" t="s">
        <v>92</v>
      </c>
      <c r="G281">
        <v>-6330.84</v>
      </c>
      <c r="H281">
        <f>_xlfn.XLOOKUP(tblFinancials[[#This Row],[DateKey]],tblCalendar[DateKey],tblCalendar[FullDate],"")</f>
        <v>45139</v>
      </c>
      <c r="I281">
        <f>_xlfn.XLOOKUP(tblFinancials[[#This Row],[AccountKey]],tblAccounts[AccountKey],tblAccounts[AccountNumber],"")</f>
        <v>6900</v>
      </c>
      <c r="J281" t="str">
        <f>_xlfn.XLOOKUP(tblFinancials[[#This Row],[AccountKey]],tblAccounts[AccountKey],tblAccounts[AccountName],"")</f>
        <v>Professional Services</v>
      </c>
      <c r="K281" s="8" t="str">
        <f>_xlfn.XLOOKUP(tblFinancials[[#This Row],[AccountKey]],tblAccounts[AccountKey],tblAccounts[FinancialStatement],"")</f>
        <v>Income Statement</v>
      </c>
      <c r="L281" s="8" t="str">
        <f>_xlfn.XLOOKUP(tblFinancials[[#This Row],[AccountKey]],tblAccounts[AccountKey],tblAccounts[AccountCategory],"")</f>
        <v>Operating Expense</v>
      </c>
      <c r="M281" s="8" t="str">
        <f>_xlfn.XLOOKUP(tblFinancials[[#This Row],[AccountKey]],tblAccounts[AccountKey],tblAccounts[NormalBalance],"")</f>
        <v>Debit</v>
      </c>
      <c r="N281" s="8" t="str">
        <f>_xlfn.XLOOKUP(tblFinancials[[#This Row],[DepartmentKey]],tblDepartments[DepartmentKey],tblDepartments[DepartmentName],"")</f>
        <v>Marketing</v>
      </c>
      <c r="O281" s="8" t="str">
        <f>_xlfn.XLOOKUP(tblFinancials[[#This Row],[BusinessUnitKey]],tblBusinessUnits[BusinessUnitKey],tblBusinessUnits[BusinessUnitName],"")</f>
        <v>Retail</v>
      </c>
      <c r="P281" s="8" t="str">
        <f>_xlfn.XLOOKUP(tblFinancials[[#This Row],[RegionKey]],tblRegions[RegionKey],tblRegions[RegionName],"")</f>
        <v>West</v>
      </c>
    </row>
    <row r="282" spans="1:16">
      <c r="A282">
        <v>20230801</v>
      </c>
      <c r="B282">
        <v>8</v>
      </c>
      <c r="C282">
        <v>4</v>
      </c>
      <c r="D282">
        <v>2</v>
      </c>
      <c r="E282">
        <v>21</v>
      </c>
      <c r="F282" t="s">
        <v>92</v>
      </c>
      <c r="G282">
        <v>-6634.53</v>
      </c>
      <c r="H282">
        <f>_xlfn.XLOOKUP(tblFinancials[[#This Row],[DateKey]],tblCalendar[DateKey],tblCalendar[FullDate],"")</f>
        <v>45139</v>
      </c>
      <c r="I282">
        <f>_xlfn.XLOOKUP(tblFinancials[[#This Row],[AccountKey]],tblAccounts[AccountKey],tblAccounts[AccountNumber],"")</f>
        <v>6600</v>
      </c>
      <c r="J282" t="str">
        <f>_xlfn.XLOOKUP(tblFinancials[[#This Row],[AccountKey]],tblAccounts[AccountKey],tblAccounts[AccountName],"")</f>
        <v>Utilities Expense</v>
      </c>
      <c r="K282" s="8" t="str">
        <f>_xlfn.XLOOKUP(tblFinancials[[#This Row],[AccountKey]],tblAccounts[AccountKey],tblAccounts[FinancialStatement],"")</f>
        <v>Income Statement</v>
      </c>
      <c r="L282" s="8" t="str">
        <f>_xlfn.XLOOKUP(tblFinancials[[#This Row],[AccountKey]],tblAccounts[AccountKey],tblAccounts[AccountCategory],"")</f>
        <v>Operating Expense</v>
      </c>
      <c r="M282" s="8" t="str">
        <f>_xlfn.XLOOKUP(tblFinancials[[#This Row],[AccountKey]],tblAccounts[AccountKey],tblAccounts[NormalBalance],"")</f>
        <v>Debit</v>
      </c>
      <c r="N282" s="8" t="str">
        <f>_xlfn.XLOOKUP(tblFinancials[[#This Row],[DepartmentKey]],tblDepartments[DepartmentKey],tblDepartments[DepartmentName],"")</f>
        <v>Customer Service</v>
      </c>
      <c r="O282" s="8" t="str">
        <f>_xlfn.XLOOKUP(tblFinancials[[#This Row],[BusinessUnitKey]],tblBusinessUnits[BusinessUnitKey],tblBusinessUnits[BusinessUnitName],"")</f>
        <v>E-Commerce</v>
      </c>
      <c r="P282" s="8" t="str">
        <f>_xlfn.XLOOKUP(tblFinancials[[#This Row],[RegionKey]],tblRegions[RegionKey],tblRegions[RegionName],"")</f>
        <v>Midwest</v>
      </c>
    </row>
    <row r="283" spans="1:16">
      <c r="A283">
        <v>20230801</v>
      </c>
      <c r="B283">
        <v>6</v>
      </c>
      <c r="C283">
        <v>4</v>
      </c>
      <c r="D283">
        <v>1</v>
      </c>
      <c r="E283">
        <v>24</v>
      </c>
      <c r="F283" t="s">
        <v>92</v>
      </c>
      <c r="G283">
        <v>-7706.76</v>
      </c>
      <c r="H283">
        <f>_xlfn.XLOOKUP(tblFinancials[[#This Row],[DateKey]],tblCalendar[DateKey],tblCalendar[FullDate],"")</f>
        <v>45139</v>
      </c>
      <c r="I283">
        <f>_xlfn.XLOOKUP(tblFinancials[[#This Row],[AccountKey]],tblAccounts[AccountKey],tblAccounts[AccountNumber],"")</f>
        <v>6900</v>
      </c>
      <c r="J283" t="str">
        <f>_xlfn.XLOOKUP(tblFinancials[[#This Row],[AccountKey]],tblAccounts[AccountKey],tblAccounts[AccountName],"")</f>
        <v>Professional Services</v>
      </c>
      <c r="K283" s="8" t="str">
        <f>_xlfn.XLOOKUP(tblFinancials[[#This Row],[AccountKey]],tblAccounts[AccountKey],tblAccounts[FinancialStatement],"")</f>
        <v>Income Statement</v>
      </c>
      <c r="L283" s="8" t="str">
        <f>_xlfn.XLOOKUP(tblFinancials[[#This Row],[AccountKey]],tblAccounts[AccountKey],tblAccounts[AccountCategory],"")</f>
        <v>Operating Expense</v>
      </c>
      <c r="M283" s="8" t="str">
        <f>_xlfn.XLOOKUP(tblFinancials[[#This Row],[AccountKey]],tblAccounts[AccountKey],tblAccounts[NormalBalance],"")</f>
        <v>Debit</v>
      </c>
      <c r="N283" s="8" t="str">
        <f>_xlfn.XLOOKUP(tblFinancials[[#This Row],[DepartmentKey]],tblDepartments[DepartmentKey],tblDepartments[DepartmentName],"")</f>
        <v>Operations</v>
      </c>
      <c r="O283" s="8" t="str">
        <f>_xlfn.XLOOKUP(tblFinancials[[#This Row],[BusinessUnitKey]],tblBusinessUnits[BusinessUnitKey],tblBusinessUnits[BusinessUnitName],"")</f>
        <v>E-Commerce</v>
      </c>
      <c r="P283" s="8" t="str">
        <f>_xlfn.XLOOKUP(tblFinancials[[#This Row],[RegionKey]],tblRegions[RegionKey],tblRegions[RegionName],"")</f>
        <v>West</v>
      </c>
    </row>
    <row r="284" spans="1:16">
      <c r="A284">
        <v>20230801</v>
      </c>
      <c r="B284">
        <v>1</v>
      </c>
      <c r="C284">
        <v>3</v>
      </c>
      <c r="D284">
        <v>4</v>
      </c>
      <c r="E284">
        <v>17</v>
      </c>
      <c r="F284" t="s">
        <v>92</v>
      </c>
      <c r="G284">
        <v>-6774.12</v>
      </c>
      <c r="H284">
        <f>_xlfn.XLOOKUP(tblFinancials[[#This Row],[DateKey]],tblCalendar[DateKey],tblCalendar[FullDate],"")</f>
        <v>45139</v>
      </c>
      <c r="I284">
        <f>_xlfn.XLOOKUP(tblFinancials[[#This Row],[AccountKey]],tblAccounts[AccountKey],tblAccounts[AccountNumber],"")</f>
        <v>6120</v>
      </c>
      <c r="J284" t="str">
        <f>_xlfn.XLOOKUP(tblFinancials[[#This Row],[AccountKey]],tblAccounts[AccountKey],tblAccounts[AccountName],"")</f>
        <v>Employee Benefits</v>
      </c>
      <c r="K284" s="8" t="str">
        <f>_xlfn.XLOOKUP(tblFinancials[[#This Row],[AccountKey]],tblAccounts[AccountKey],tblAccounts[FinancialStatement],"")</f>
        <v>Income Statement</v>
      </c>
      <c r="L284" s="8" t="str">
        <f>_xlfn.XLOOKUP(tblFinancials[[#This Row],[AccountKey]],tblAccounts[AccountKey],tblAccounts[AccountCategory],"")</f>
        <v>Operating Expense</v>
      </c>
      <c r="M284" s="8" t="str">
        <f>_xlfn.XLOOKUP(tblFinancials[[#This Row],[AccountKey]],tblAccounts[AccountKey],tblAccounts[NormalBalance],"")</f>
        <v>Debit</v>
      </c>
      <c r="N284" s="8" t="str">
        <f>_xlfn.XLOOKUP(tblFinancials[[#This Row],[DepartmentKey]],tblDepartments[DepartmentKey],tblDepartments[DepartmentName],"")</f>
        <v>Executive</v>
      </c>
      <c r="O284" s="8" t="str">
        <f>_xlfn.XLOOKUP(tblFinancials[[#This Row],[BusinessUnitKey]],tblBusinessUnits[BusinessUnitKey],tblBusinessUnits[BusinessUnitName],"")</f>
        <v>Retail</v>
      </c>
      <c r="P284" s="8" t="str">
        <f>_xlfn.XLOOKUP(tblFinancials[[#This Row],[RegionKey]],tblRegions[RegionKey],tblRegions[RegionName],"")</f>
        <v>East</v>
      </c>
    </row>
    <row r="285" spans="1:16">
      <c r="A285">
        <v>20230801</v>
      </c>
      <c r="B285">
        <v>1</v>
      </c>
      <c r="C285">
        <v>3</v>
      </c>
      <c r="D285">
        <v>2</v>
      </c>
      <c r="E285">
        <v>16</v>
      </c>
      <c r="F285" t="s">
        <v>92</v>
      </c>
      <c r="G285">
        <v>-6474.95</v>
      </c>
      <c r="H285">
        <f>_xlfn.XLOOKUP(tblFinancials[[#This Row],[DateKey]],tblCalendar[DateKey],tblCalendar[FullDate],"")</f>
        <v>45139</v>
      </c>
      <c r="I285">
        <f>_xlfn.XLOOKUP(tblFinancials[[#This Row],[AccountKey]],tblAccounts[AccountKey],tblAccounts[AccountNumber],"")</f>
        <v>6110</v>
      </c>
      <c r="J285" t="str">
        <f>_xlfn.XLOOKUP(tblFinancials[[#This Row],[AccountKey]],tblAccounts[AccountKey],tblAccounts[AccountName],"")</f>
        <v>Payroll Taxes</v>
      </c>
      <c r="K285" s="8" t="str">
        <f>_xlfn.XLOOKUP(tblFinancials[[#This Row],[AccountKey]],tblAccounts[AccountKey],tblAccounts[FinancialStatement],"")</f>
        <v>Income Statement</v>
      </c>
      <c r="L285" s="8" t="str">
        <f>_xlfn.XLOOKUP(tblFinancials[[#This Row],[AccountKey]],tblAccounts[AccountKey],tblAccounts[AccountCategory],"")</f>
        <v>Operating Expense</v>
      </c>
      <c r="M285" s="8" t="str">
        <f>_xlfn.XLOOKUP(tblFinancials[[#This Row],[AccountKey]],tblAccounts[AccountKey],tblAccounts[NormalBalance],"")</f>
        <v>Debit</v>
      </c>
      <c r="N285" s="8" t="str">
        <f>_xlfn.XLOOKUP(tblFinancials[[#This Row],[DepartmentKey]],tblDepartments[DepartmentKey],tblDepartments[DepartmentName],"")</f>
        <v>Executive</v>
      </c>
      <c r="O285" s="8" t="str">
        <f>_xlfn.XLOOKUP(tblFinancials[[#This Row],[BusinessUnitKey]],tblBusinessUnits[BusinessUnitKey],tblBusinessUnits[BusinessUnitName],"")</f>
        <v>Retail</v>
      </c>
      <c r="P285" s="8" t="str">
        <f>_xlfn.XLOOKUP(tblFinancials[[#This Row],[RegionKey]],tblRegions[RegionKey],tblRegions[RegionName],"")</f>
        <v>Midwest</v>
      </c>
    </row>
    <row r="286" spans="1:16">
      <c r="A286">
        <v>20230801</v>
      </c>
      <c r="B286">
        <v>7</v>
      </c>
      <c r="C286">
        <v>4</v>
      </c>
      <c r="D286">
        <v>1</v>
      </c>
      <c r="E286">
        <v>23</v>
      </c>
      <c r="F286" t="s">
        <v>92</v>
      </c>
      <c r="G286">
        <v>-7920.66</v>
      </c>
      <c r="H286">
        <f>_xlfn.XLOOKUP(tblFinancials[[#This Row],[DateKey]],tblCalendar[DateKey],tblCalendar[FullDate],"")</f>
        <v>45139</v>
      </c>
      <c r="I286">
        <f>_xlfn.XLOOKUP(tblFinancials[[#This Row],[AccountKey]],tblAccounts[AccountKey],tblAccounts[AccountNumber],"")</f>
        <v>6800</v>
      </c>
      <c r="J286" t="str">
        <f>_xlfn.XLOOKUP(tblFinancials[[#This Row],[AccountKey]],tblAccounts[AccountKey],tblAccounts[AccountName],"")</f>
        <v>Travel Expense</v>
      </c>
      <c r="K286" s="8" t="str">
        <f>_xlfn.XLOOKUP(tblFinancials[[#This Row],[AccountKey]],tblAccounts[AccountKey],tblAccounts[FinancialStatement],"")</f>
        <v>Income Statement</v>
      </c>
      <c r="L286" s="8" t="str">
        <f>_xlfn.XLOOKUP(tblFinancials[[#This Row],[AccountKey]],tblAccounts[AccountKey],tblAccounts[AccountCategory],"")</f>
        <v>Operating Expense</v>
      </c>
      <c r="M286" s="8" t="str">
        <f>_xlfn.XLOOKUP(tblFinancials[[#This Row],[AccountKey]],tblAccounts[AccountKey],tblAccounts[NormalBalance],"")</f>
        <v>Debit</v>
      </c>
      <c r="N286" s="8" t="str">
        <f>_xlfn.XLOOKUP(tblFinancials[[#This Row],[DepartmentKey]],tblDepartments[DepartmentKey],tblDepartments[DepartmentName],"")</f>
        <v>Information Technology</v>
      </c>
      <c r="O286" s="8" t="str">
        <f>_xlfn.XLOOKUP(tblFinancials[[#This Row],[BusinessUnitKey]],tblBusinessUnits[BusinessUnitKey],tblBusinessUnits[BusinessUnitName],"")</f>
        <v>E-Commerce</v>
      </c>
      <c r="P286" s="8" t="str">
        <f>_xlfn.XLOOKUP(tblFinancials[[#This Row],[RegionKey]],tblRegions[RegionKey],tblRegions[RegionName],"")</f>
        <v>West</v>
      </c>
    </row>
    <row r="287" spans="1:16">
      <c r="A287">
        <v>20230801</v>
      </c>
      <c r="B287">
        <v>7</v>
      </c>
      <c r="C287">
        <v>2</v>
      </c>
      <c r="D287">
        <v>3</v>
      </c>
      <c r="E287">
        <v>15</v>
      </c>
      <c r="F287" t="s">
        <v>92</v>
      </c>
      <c r="G287">
        <v>-6000.05</v>
      </c>
      <c r="H287">
        <f>_xlfn.XLOOKUP(tblFinancials[[#This Row],[DateKey]],tblCalendar[DateKey],tblCalendar[FullDate],"")</f>
        <v>45139</v>
      </c>
      <c r="I287">
        <f>_xlfn.XLOOKUP(tblFinancials[[#This Row],[AccountKey]],tblAccounts[AccountKey],tblAccounts[AccountNumber],"")</f>
        <v>6100</v>
      </c>
      <c r="J287" t="str">
        <f>_xlfn.XLOOKUP(tblFinancials[[#This Row],[AccountKey]],tblAccounts[AccountKey],tblAccounts[AccountName],"")</f>
        <v>Salaries Expense</v>
      </c>
      <c r="K287" s="8" t="str">
        <f>_xlfn.XLOOKUP(tblFinancials[[#This Row],[AccountKey]],tblAccounts[AccountKey],tblAccounts[FinancialStatement],"")</f>
        <v>Income Statement</v>
      </c>
      <c r="L287" s="8" t="str">
        <f>_xlfn.XLOOKUP(tblFinancials[[#This Row],[AccountKey]],tblAccounts[AccountKey],tblAccounts[AccountCategory],"")</f>
        <v>Operating Expense</v>
      </c>
      <c r="M287" s="8" t="str">
        <f>_xlfn.XLOOKUP(tblFinancials[[#This Row],[AccountKey]],tblAccounts[AccountKey],tblAccounts[NormalBalance],"")</f>
        <v>Debit</v>
      </c>
      <c r="N287" s="8" t="str">
        <f>_xlfn.XLOOKUP(tblFinancials[[#This Row],[DepartmentKey]],tblDepartments[DepartmentKey],tblDepartments[DepartmentName],"")</f>
        <v>Information Technology</v>
      </c>
      <c r="O287" s="8" t="str">
        <f>_xlfn.XLOOKUP(tblFinancials[[#This Row],[BusinessUnitKey]],tblBusinessUnits[BusinessUnitKey],tblBusinessUnits[BusinessUnitName],"")</f>
        <v>Wholesale</v>
      </c>
      <c r="P287" s="8" t="str">
        <f>_xlfn.XLOOKUP(tblFinancials[[#This Row],[RegionKey]],tblRegions[RegionKey],tblRegions[RegionName],"")</f>
        <v>South</v>
      </c>
    </row>
    <row r="288" spans="1:16">
      <c r="A288">
        <v>20230801</v>
      </c>
      <c r="B288">
        <v>5</v>
      </c>
      <c r="C288">
        <v>3</v>
      </c>
      <c r="D288">
        <v>1</v>
      </c>
      <c r="E288">
        <v>21</v>
      </c>
      <c r="F288" t="s">
        <v>92</v>
      </c>
      <c r="G288">
        <v>-6766.06</v>
      </c>
      <c r="H288">
        <f>_xlfn.XLOOKUP(tblFinancials[[#This Row],[DateKey]],tblCalendar[DateKey],tblCalendar[FullDate],"")</f>
        <v>45139</v>
      </c>
      <c r="I288">
        <f>_xlfn.XLOOKUP(tblFinancials[[#This Row],[AccountKey]],tblAccounts[AccountKey],tblAccounts[AccountNumber],"")</f>
        <v>6600</v>
      </c>
      <c r="J288" t="str">
        <f>_xlfn.XLOOKUP(tblFinancials[[#This Row],[AccountKey]],tblAccounts[AccountKey],tblAccounts[AccountName],"")</f>
        <v>Utilities Expense</v>
      </c>
      <c r="K288" s="8" t="str">
        <f>_xlfn.XLOOKUP(tblFinancials[[#This Row],[AccountKey]],tblAccounts[AccountKey],tblAccounts[FinancialStatement],"")</f>
        <v>Income Statement</v>
      </c>
      <c r="L288" s="8" t="str">
        <f>_xlfn.XLOOKUP(tblFinancials[[#This Row],[AccountKey]],tblAccounts[AccountKey],tblAccounts[AccountCategory],"")</f>
        <v>Operating Expense</v>
      </c>
      <c r="M288" s="8" t="str">
        <f>_xlfn.XLOOKUP(tblFinancials[[#This Row],[AccountKey]],tblAccounts[AccountKey],tblAccounts[NormalBalance],"")</f>
        <v>Debit</v>
      </c>
      <c r="N288" s="8" t="str">
        <f>_xlfn.XLOOKUP(tblFinancials[[#This Row],[DepartmentKey]],tblDepartments[DepartmentKey],tblDepartments[DepartmentName],"")</f>
        <v>Marketing</v>
      </c>
      <c r="O288" s="8" t="str">
        <f>_xlfn.XLOOKUP(tblFinancials[[#This Row],[BusinessUnitKey]],tblBusinessUnits[BusinessUnitKey],tblBusinessUnits[BusinessUnitName],"")</f>
        <v>Retail</v>
      </c>
      <c r="P288" s="8" t="str">
        <f>_xlfn.XLOOKUP(tblFinancials[[#This Row],[RegionKey]],tblRegions[RegionKey],tblRegions[RegionName],"")</f>
        <v>West</v>
      </c>
    </row>
    <row r="289" spans="1:16">
      <c r="A289">
        <v>20230801</v>
      </c>
      <c r="B289">
        <v>7</v>
      </c>
      <c r="C289">
        <v>2</v>
      </c>
      <c r="D289">
        <v>1</v>
      </c>
      <c r="E289">
        <v>24</v>
      </c>
      <c r="F289" t="s">
        <v>92</v>
      </c>
      <c r="G289">
        <v>-10883.85</v>
      </c>
      <c r="H289">
        <f>_xlfn.XLOOKUP(tblFinancials[[#This Row],[DateKey]],tblCalendar[DateKey],tblCalendar[FullDate],"")</f>
        <v>45139</v>
      </c>
      <c r="I289">
        <f>_xlfn.XLOOKUP(tblFinancials[[#This Row],[AccountKey]],tblAccounts[AccountKey],tblAccounts[AccountNumber],"")</f>
        <v>6900</v>
      </c>
      <c r="J289" t="str">
        <f>_xlfn.XLOOKUP(tblFinancials[[#This Row],[AccountKey]],tblAccounts[AccountKey],tblAccounts[AccountName],"")</f>
        <v>Professional Services</v>
      </c>
      <c r="K289" s="8" t="str">
        <f>_xlfn.XLOOKUP(tblFinancials[[#This Row],[AccountKey]],tblAccounts[AccountKey],tblAccounts[FinancialStatement],"")</f>
        <v>Income Statement</v>
      </c>
      <c r="L289" s="8" t="str">
        <f>_xlfn.XLOOKUP(tblFinancials[[#This Row],[AccountKey]],tblAccounts[AccountKey],tblAccounts[AccountCategory],"")</f>
        <v>Operating Expense</v>
      </c>
      <c r="M289" s="8" t="str">
        <f>_xlfn.XLOOKUP(tblFinancials[[#This Row],[AccountKey]],tblAccounts[AccountKey],tblAccounts[NormalBalance],"")</f>
        <v>Debit</v>
      </c>
      <c r="N289" s="8" t="str">
        <f>_xlfn.XLOOKUP(tblFinancials[[#This Row],[DepartmentKey]],tblDepartments[DepartmentKey],tblDepartments[DepartmentName],"")</f>
        <v>Information Technology</v>
      </c>
      <c r="O289" s="8" t="str">
        <f>_xlfn.XLOOKUP(tblFinancials[[#This Row],[BusinessUnitKey]],tblBusinessUnits[BusinessUnitKey],tblBusinessUnits[BusinessUnitName],"")</f>
        <v>Wholesale</v>
      </c>
      <c r="P289" s="8" t="str">
        <f>_xlfn.XLOOKUP(tblFinancials[[#This Row],[RegionKey]],tblRegions[RegionKey],tblRegions[RegionName],"")</f>
        <v>West</v>
      </c>
    </row>
    <row r="290" spans="1:16">
      <c r="A290">
        <v>20230901</v>
      </c>
      <c r="B290">
        <v>5</v>
      </c>
      <c r="C290">
        <v>4</v>
      </c>
      <c r="D290">
        <v>3</v>
      </c>
      <c r="E290">
        <v>11</v>
      </c>
      <c r="F290" t="s">
        <v>92</v>
      </c>
      <c r="G290">
        <v>29132.57</v>
      </c>
      <c r="H290">
        <f>_xlfn.XLOOKUP(tblFinancials[[#This Row],[DateKey]],tblCalendar[DateKey],tblCalendar[FullDate],"")</f>
        <v>45170</v>
      </c>
      <c r="I290">
        <f>_xlfn.XLOOKUP(tblFinancials[[#This Row],[AccountKey]],tblAccounts[AccountKey],tblAccounts[AccountNumber],"")</f>
        <v>4000</v>
      </c>
      <c r="J290" t="str">
        <f>_xlfn.XLOOKUP(tblFinancials[[#This Row],[AccountKey]],tblAccounts[AccountKey],tblAccounts[AccountName],"")</f>
        <v>Product Revenue</v>
      </c>
      <c r="K290" s="8" t="str">
        <f>_xlfn.XLOOKUP(tblFinancials[[#This Row],[AccountKey]],tblAccounts[AccountKey],tblAccounts[FinancialStatement],"")</f>
        <v>Income Statement</v>
      </c>
      <c r="L290" s="8" t="str">
        <f>_xlfn.XLOOKUP(tblFinancials[[#This Row],[AccountKey]],tblAccounts[AccountKey],tblAccounts[AccountCategory],"")</f>
        <v>Revenue</v>
      </c>
      <c r="M290" s="8" t="str">
        <f>_xlfn.XLOOKUP(tblFinancials[[#This Row],[AccountKey]],tblAccounts[AccountKey],tblAccounts[NormalBalance],"")</f>
        <v>Credit</v>
      </c>
      <c r="N290" s="8" t="str">
        <f>_xlfn.XLOOKUP(tblFinancials[[#This Row],[DepartmentKey]],tblDepartments[DepartmentKey],tblDepartments[DepartmentName],"")</f>
        <v>Marketing</v>
      </c>
      <c r="O290" s="8" t="str">
        <f>_xlfn.XLOOKUP(tblFinancials[[#This Row],[BusinessUnitKey]],tblBusinessUnits[BusinessUnitKey],tblBusinessUnits[BusinessUnitName],"")</f>
        <v>E-Commerce</v>
      </c>
      <c r="P290" s="8" t="str">
        <f>_xlfn.XLOOKUP(tblFinancials[[#This Row],[RegionKey]],tblRegions[RegionKey],tblRegions[RegionName],"")</f>
        <v>South</v>
      </c>
    </row>
    <row r="291" spans="1:16">
      <c r="A291">
        <v>20230901</v>
      </c>
      <c r="B291">
        <v>1</v>
      </c>
      <c r="C291">
        <v>3</v>
      </c>
      <c r="D291">
        <v>1</v>
      </c>
      <c r="E291">
        <v>11</v>
      </c>
      <c r="F291" t="s">
        <v>92</v>
      </c>
      <c r="G291">
        <v>29021.61</v>
      </c>
      <c r="H291">
        <f>_xlfn.XLOOKUP(tblFinancials[[#This Row],[DateKey]],tblCalendar[DateKey],tblCalendar[FullDate],"")</f>
        <v>45170</v>
      </c>
      <c r="I291">
        <f>_xlfn.XLOOKUP(tblFinancials[[#This Row],[AccountKey]],tblAccounts[AccountKey],tblAccounts[AccountNumber],"")</f>
        <v>4000</v>
      </c>
      <c r="J291" t="str">
        <f>_xlfn.XLOOKUP(tblFinancials[[#This Row],[AccountKey]],tblAccounts[AccountKey],tblAccounts[AccountName],"")</f>
        <v>Product Revenue</v>
      </c>
      <c r="K291" s="8" t="str">
        <f>_xlfn.XLOOKUP(tblFinancials[[#This Row],[AccountKey]],tblAccounts[AccountKey],tblAccounts[FinancialStatement],"")</f>
        <v>Income Statement</v>
      </c>
      <c r="L291" s="8" t="str">
        <f>_xlfn.XLOOKUP(tblFinancials[[#This Row],[AccountKey]],tblAccounts[AccountKey],tblAccounts[AccountCategory],"")</f>
        <v>Revenue</v>
      </c>
      <c r="M291" s="8" t="str">
        <f>_xlfn.XLOOKUP(tblFinancials[[#This Row],[AccountKey]],tblAccounts[AccountKey],tblAccounts[NormalBalance],"")</f>
        <v>Credit</v>
      </c>
      <c r="N291" s="8" t="str">
        <f>_xlfn.XLOOKUP(tblFinancials[[#This Row],[DepartmentKey]],tblDepartments[DepartmentKey],tblDepartments[DepartmentName],"")</f>
        <v>Executive</v>
      </c>
      <c r="O291" s="8" t="str">
        <f>_xlfn.XLOOKUP(tblFinancials[[#This Row],[BusinessUnitKey]],tblBusinessUnits[BusinessUnitKey],tblBusinessUnits[BusinessUnitName],"")</f>
        <v>Retail</v>
      </c>
      <c r="P291" s="8" t="str">
        <f>_xlfn.XLOOKUP(tblFinancials[[#This Row],[RegionKey]],tblRegions[RegionKey],tblRegions[RegionName],"")</f>
        <v>West</v>
      </c>
    </row>
    <row r="292" spans="1:16">
      <c r="A292">
        <v>20230901</v>
      </c>
      <c r="B292">
        <v>4</v>
      </c>
      <c r="C292">
        <v>2</v>
      </c>
      <c r="D292">
        <v>2</v>
      </c>
      <c r="E292">
        <v>12</v>
      </c>
      <c r="F292" t="s">
        <v>92</v>
      </c>
      <c r="G292">
        <v>28488.959999999999</v>
      </c>
      <c r="H292">
        <f>_xlfn.XLOOKUP(tblFinancials[[#This Row],[DateKey]],tblCalendar[DateKey],tblCalendar[FullDate],"")</f>
        <v>45170</v>
      </c>
      <c r="I292">
        <f>_xlfn.XLOOKUP(tblFinancials[[#This Row],[AccountKey]],tblAccounts[AccountKey],tblAccounts[AccountNumber],"")</f>
        <v>4010</v>
      </c>
      <c r="J292" t="str">
        <f>_xlfn.XLOOKUP(tblFinancials[[#This Row],[AccountKey]],tblAccounts[AccountKey],tblAccounts[AccountName],"")</f>
        <v>Service Revenue</v>
      </c>
      <c r="K292" s="8" t="str">
        <f>_xlfn.XLOOKUP(tblFinancials[[#This Row],[AccountKey]],tblAccounts[AccountKey],tblAccounts[FinancialStatement],"")</f>
        <v>Income Statement</v>
      </c>
      <c r="L292" s="8" t="str">
        <f>_xlfn.XLOOKUP(tblFinancials[[#This Row],[AccountKey]],tblAccounts[AccountKey],tblAccounts[AccountCategory],"")</f>
        <v>Revenue</v>
      </c>
      <c r="M292" s="8" t="str">
        <f>_xlfn.XLOOKUP(tblFinancials[[#This Row],[AccountKey]],tblAccounts[AccountKey],tblAccounts[NormalBalance],"")</f>
        <v>Credit</v>
      </c>
      <c r="N292" s="8" t="str">
        <f>_xlfn.XLOOKUP(tblFinancials[[#This Row],[DepartmentKey]],tblDepartments[DepartmentKey],tblDepartments[DepartmentName],"")</f>
        <v>Sales</v>
      </c>
      <c r="O292" s="8" t="str">
        <f>_xlfn.XLOOKUP(tblFinancials[[#This Row],[BusinessUnitKey]],tblBusinessUnits[BusinessUnitKey],tblBusinessUnits[BusinessUnitName],"")</f>
        <v>Wholesale</v>
      </c>
      <c r="P292" s="8" t="str">
        <f>_xlfn.XLOOKUP(tblFinancials[[#This Row],[RegionKey]],tblRegions[RegionKey],tblRegions[RegionName],"")</f>
        <v>Midwest</v>
      </c>
    </row>
    <row r="293" spans="1:16">
      <c r="A293">
        <v>20230901</v>
      </c>
      <c r="B293">
        <v>8</v>
      </c>
      <c r="C293">
        <v>4</v>
      </c>
      <c r="D293">
        <v>4</v>
      </c>
      <c r="E293">
        <v>11</v>
      </c>
      <c r="F293" t="s">
        <v>92</v>
      </c>
      <c r="G293">
        <v>27300.49</v>
      </c>
      <c r="H293">
        <f>_xlfn.XLOOKUP(tblFinancials[[#This Row],[DateKey]],tblCalendar[DateKey],tblCalendar[FullDate],"")</f>
        <v>45170</v>
      </c>
      <c r="I293">
        <f>_xlfn.XLOOKUP(tblFinancials[[#This Row],[AccountKey]],tblAccounts[AccountKey],tblAccounts[AccountNumber],"")</f>
        <v>4000</v>
      </c>
      <c r="J293" t="str">
        <f>_xlfn.XLOOKUP(tblFinancials[[#This Row],[AccountKey]],tblAccounts[AccountKey],tblAccounts[AccountName],"")</f>
        <v>Product Revenue</v>
      </c>
      <c r="K293" s="8" t="str">
        <f>_xlfn.XLOOKUP(tblFinancials[[#This Row],[AccountKey]],tblAccounts[AccountKey],tblAccounts[FinancialStatement],"")</f>
        <v>Income Statement</v>
      </c>
      <c r="L293" s="8" t="str">
        <f>_xlfn.XLOOKUP(tblFinancials[[#This Row],[AccountKey]],tblAccounts[AccountKey],tblAccounts[AccountCategory],"")</f>
        <v>Revenue</v>
      </c>
      <c r="M293" s="8" t="str">
        <f>_xlfn.XLOOKUP(tblFinancials[[#This Row],[AccountKey]],tblAccounts[AccountKey],tblAccounts[NormalBalance],"")</f>
        <v>Credit</v>
      </c>
      <c r="N293" s="8" t="str">
        <f>_xlfn.XLOOKUP(tblFinancials[[#This Row],[DepartmentKey]],tblDepartments[DepartmentKey],tblDepartments[DepartmentName],"")</f>
        <v>Customer Service</v>
      </c>
      <c r="O293" s="8" t="str">
        <f>_xlfn.XLOOKUP(tblFinancials[[#This Row],[BusinessUnitKey]],tblBusinessUnits[BusinessUnitKey],tblBusinessUnits[BusinessUnitName],"")</f>
        <v>E-Commerce</v>
      </c>
      <c r="P293" s="8" t="str">
        <f>_xlfn.XLOOKUP(tblFinancials[[#This Row],[RegionKey]],tblRegions[RegionKey],tblRegions[RegionName],"")</f>
        <v>East</v>
      </c>
    </row>
    <row r="294" spans="1:16">
      <c r="A294">
        <v>20230901</v>
      </c>
      <c r="B294">
        <v>8</v>
      </c>
      <c r="C294">
        <v>3</v>
      </c>
      <c r="D294">
        <v>3</v>
      </c>
      <c r="E294">
        <v>13</v>
      </c>
      <c r="F294" t="s">
        <v>92</v>
      </c>
      <c r="G294">
        <v>28917.47</v>
      </c>
      <c r="H294">
        <f>_xlfn.XLOOKUP(tblFinancials[[#This Row],[DateKey]],tblCalendar[DateKey],tblCalendar[FullDate],"")</f>
        <v>45170</v>
      </c>
      <c r="I294">
        <f>_xlfn.XLOOKUP(tblFinancials[[#This Row],[AccountKey]],tblAccounts[AccountKey],tblAccounts[AccountNumber],"")</f>
        <v>4020</v>
      </c>
      <c r="J294" t="str">
        <f>_xlfn.XLOOKUP(tblFinancials[[#This Row],[AccountKey]],tblAccounts[AccountKey],tblAccounts[AccountName],"")</f>
        <v>Online Revenue</v>
      </c>
      <c r="K294" s="8" t="str">
        <f>_xlfn.XLOOKUP(tblFinancials[[#This Row],[AccountKey]],tblAccounts[AccountKey],tblAccounts[FinancialStatement],"")</f>
        <v>Income Statement</v>
      </c>
      <c r="L294" s="8" t="str">
        <f>_xlfn.XLOOKUP(tblFinancials[[#This Row],[AccountKey]],tblAccounts[AccountKey],tblAccounts[AccountCategory],"")</f>
        <v>Revenue</v>
      </c>
      <c r="M294" s="8" t="str">
        <f>_xlfn.XLOOKUP(tblFinancials[[#This Row],[AccountKey]],tblAccounts[AccountKey],tblAccounts[NormalBalance],"")</f>
        <v>Credit</v>
      </c>
      <c r="N294" s="8" t="str">
        <f>_xlfn.XLOOKUP(tblFinancials[[#This Row],[DepartmentKey]],tblDepartments[DepartmentKey],tblDepartments[DepartmentName],"")</f>
        <v>Customer Service</v>
      </c>
      <c r="O294" s="8" t="str">
        <f>_xlfn.XLOOKUP(tblFinancials[[#This Row],[BusinessUnitKey]],tblBusinessUnits[BusinessUnitKey],tblBusinessUnits[BusinessUnitName],"")</f>
        <v>Retail</v>
      </c>
      <c r="P294" s="8" t="str">
        <f>_xlfn.XLOOKUP(tblFinancials[[#This Row],[RegionKey]],tblRegions[RegionKey],tblRegions[RegionName],"")</f>
        <v>South</v>
      </c>
    </row>
    <row r="295" spans="1:16">
      <c r="A295">
        <v>20230901</v>
      </c>
      <c r="B295">
        <v>4</v>
      </c>
      <c r="C295">
        <v>3</v>
      </c>
      <c r="D295">
        <v>1</v>
      </c>
      <c r="E295">
        <v>13</v>
      </c>
      <c r="F295" t="s">
        <v>92</v>
      </c>
      <c r="G295">
        <v>28447.3</v>
      </c>
      <c r="H295">
        <f>_xlfn.XLOOKUP(tblFinancials[[#This Row],[DateKey]],tblCalendar[DateKey],tblCalendar[FullDate],"")</f>
        <v>45170</v>
      </c>
      <c r="I295">
        <f>_xlfn.XLOOKUP(tblFinancials[[#This Row],[AccountKey]],tblAccounts[AccountKey],tblAccounts[AccountNumber],"")</f>
        <v>4020</v>
      </c>
      <c r="J295" t="str">
        <f>_xlfn.XLOOKUP(tblFinancials[[#This Row],[AccountKey]],tblAccounts[AccountKey],tblAccounts[AccountName],"")</f>
        <v>Online Revenue</v>
      </c>
      <c r="K295" s="8" t="str">
        <f>_xlfn.XLOOKUP(tblFinancials[[#This Row],[AccountKey]],tblAccounts[AccountKey],tblAccounts[FinancialStatement],"")</f>
        <v>Income Statement</v>
      </c>
      <c r="L295" s="8" t="str">
        <f>_xlfn.XLOOKUP(tblFinancials[[#This Row],[AccountKey]],tblAccounts[AccountKey],tblAccounts[AccountCategory],"")</f>
        <v>Revenue</v>
      </c>
      <c r="M295" s="8" t="str">
        <f>_xlfn.XLOOKUP(tblFinancials[[#This Row],[AccountKey]],tblAccounts[AccountKey],tblAccounts[NormalBalance],"")</f>
        <v>Credit</v>
      </c>
      <c r="N295" s="8" t="str">
        <f>_xlfn.XLOOKUP(tblFinancials[[#This Row],[DepartmentKey]],tblDepartments[DepartmentKey],tblDepartments[DepartmentName],"")</f>
        <v>Sales</v>
      </c>
      <c r="O295" s="8" t="str">
        <f>_xlfn.XLOOKUP(tblFinancials[[#This Row],[BusinessUnitKey]],tblBusinessUnits[BusinessUnitKey],tblBusinessUnits[BusinessUnitName],"")</f>
        <v>Retail</v>
      </c>
      <c r="P295" s="8" t="str">
        <f>_xlfn.XLOOKUP(tblFinancials[[#This Row],[RegionKey]],tblRegions[RegionKey],tblRegions[RegionName],"")</f>
        <v>West</v>
      </c>
    </row>
    <row r="296" spans="1:16">
      <c r="A296">
        <v>20230901</v>
      </c>
      <c r="B296">
        <v>5</v>
      </c>
      <c r="C296">
        <v>4</v>
      </c>
      <c r="D296">
        <v>2</v>
      </c>
      <c r="E296">
        <v>13</v>
      </c>
      <c r="F296" t="s">
        <v>92</v>
      </c>
      <c r="G296">
        <v>28162.47</v>
      </c>
      <c r="H296">
        <f>_xlfn.XLOOKUP(tblFinancials[[#This Row],[DateKey]],tblCalendar[DateKey],tblCalendar[FullDate],"")</f>
        <v>45170</v>
      </c>
      <c r="I296">
        <f>_xlfn.XLOOKUP(tblFinancials[[#This Row],[AccountKey]],tblAccounts[AccountKey],tblAccounts[AccountNumber],"")</f>
        <v>4020</v>
      </c>
      <c r="J296" t="str">
        <f>_xlfn.XLOOKUP(tblFinancials[[#This Row],[AccountKey]],tblAccounts[AccountKey],tblAccounts[AccountName],"")</f>
        <v>Online Revenue</v>
      </c>
      <c r="K296" s="8" t="str">
        <f>_xlfn.XLOOKUP(tblFinancials[[#This Row],[AccountKey]],tblAccounts[AccountKey],tblAccounts[FinancialStatement],"")</f>
        <v>Income Statement</v>
      </c>
      <c r="L296" s="8" t="str">
        <f>_xlfn.XLOOKUP(tblFinancials[[#This Row],[AccountKey]],tblAccounts[AccountKey],tblAccounts[AccountCategory],"")</f>
        <v>Revenue</v>
      </c>
      <c r="M296" s="8" t="str">
        <f>_xlfn.XLOOKUP(tblFinancials[[#This Row],[AccountKey]],tblAccounts[AccountKey],tblAccounts[NormalBalance],"")</f>
        <v>Credit</v>
      </c>
      <c r="N296" s="8" t="str">
        <f>_xlfn.XLOOKUP(tblFinancials[[#This Row],[DepartmentKey]],tblDepartments[DepartmentKey],tblDepartments[DepartmentName],"")</f>
        <v>Marketing</v>
      </c>
      <c r="O296" s="8" t="str">
        <f>_xlfn.XLOOKUP(tblFinancials[[#This Row],[BusinessUnitKey]],tblBusinessUnits[BusinessUnitKey],tblBusinessUnits[BusinessUnitName],"")</f>
        <v>E-Commerce</v>
      </c>
      <c r="P296" s="8" t="str">
        <f>_xlfn.XLOOKUP(tblFinancials[[#This Row],[RegionKey]],tblRegions[RegionKey],tblRegions[RegionName],"")</f>
        <v>Midwest</v>
      </c>
    </row>
    <row r="297" spans="1:16">
      <c r="A297">
        <v>20230901</v>
      </c>
      <c r="B297">
        <v>5</v>
      </c>
      <c r="C297">
        <v>4</v>
      </c>
      <c r="D297">
        <v>3</v>
      </c>
      <c r="E297">
        <v>13</v>
      </c>
      <c r="F297" t="s">
        <v>92</v>
      </c>
      <c r="G297">
        <v>27580.73</v>
      </c>
      <c r="H297">
        <f>_xlfn.XLOOKUP(tblFinancials[[#This Row],[DateKey]],tblCalendar[DateKey],tblCalendar[FullDate],"")</f>
        <v>45170</v>
      </c>
      <c r="I297">
        <f>_xlfn.XLOOKUP(tblFinancials[[#This Row],[AccountKey]],tblAccounts[AccountKey],tblAccounts[AccountNumber],"")</f>
        <v>4020</v>
      </c>
      <c r="J297" t="str">
        <f>_xlfn.XLOOKUP(tblFinancials[[#This Row],[AccountKey]],tblAccounts[AccountKey],tblAccounts[AccountName],"")</f>
        <v>Online Revenue</v>
      </c>
      <c r="K297" s="8" t="str">
        <f>_xlfn.XLOOKUP(tblFinancials[[#This Row],[AccountKey]],tblAccounts[AccountKey],tblAccounts[FinancialStatement],"")</f>
        <v>Income Statement</v>
      </c>
      <c r="L297" s="8" t="str">
        <f>_xlfn.XLOOKUP(tblFinancials[[#This Row],[AccountKey]],tblAccounts[AccountKey],tblAccounts[AccountCategory],"")</f>
        <v>Revenue</v>
      </c>
      <c r="M297" s="8" t="str">
        <f>_xlfn.XLOOKUP(tblFinancials[[#This Row],[AccountKey]],tblAccounts[AccountKey],tblAccounts[NormalBalance],"")</f>
        <v>Credit</v>
      </c>
      <c r="N297" s="8" t="str">
        <f>_xlfn.XLOOKUP(tblFinancials[[#This Row],[DepartmentKey]],tblDepartments[DepartmentKey],tblDepartments[DepartmentName],"")</f>
        <v>Marketing</v>
      </c>
      <c r="O297" s="8" t="str">
        <f>_xlfn.XLOOKUP(tblFinancials[[#This Row],[BusinessUnitKey]],tblBusinessUnits[BusinessUnitKey],tblBusinessUnits[BusinessUnitName],"")</f>
        <v>E-Commerce</v>
      </c>
      <c r="P297" s="8" t="str">
        <f>_xlfn.XLOOKUP(tblFinancials[[#This Row],[RegionKey]],tblRegions[RegionKey],tblRegions[RegionName],"")</f>
        <v>South</v>
      </c>
    </row>
    <row r="298" spans="1:16">
      <c r="A298">
        <v>20230901</v>
      </c>
      <c r="B298">
        <v>5</v>
      </c>
      <c r="C298">
        <v>2</v>
      </c>
      <c r="D298">
        <v>2</v>
      </c>
      <c r="E298">
        <v>12</v>
      </c>
      <c r="F298" t="s">
        <v>92</v>
      </c>
      <c r="G298">
        <v>28760.31</v>
      </c>
      <c r="H298">
        <f>_xlfn.XLOOKUP(tblFinancials[[#This Row],[DateKey]],tblCalendar[DateKey],tblCalendar[FullDate],"")</f>
        <v>45170</v>
      </c>
      <c r="I298">
        <f>_xlfn.XLOOKUP(tblFinancials[[#This Row],[AccountKey]],tblAccounts[AccountKey],tblAccounts[AccountNumber],"")</f>
        <v>4010</v>
      </c>
      <c r="J298" t="str">
        <f>_xlfn.XLOOKUP(tblFinancials[[#This Row],[AccountKey]],tblAccounts[AccountKey],tblAccounts[AccountName],"")</f>
        <v>Service Revenue</v>
      </c>
      <c r="K298" s="8" t="str">
        <f>_xlfn.XLOOKUP(tblFinancials[[#This Row],[AccountKey]],tblAccounts[AccountKey],tblAccounts[FinancialStatement],"")</f>
        <v>Income Statement</v>
      </c>
      <c r="L298" s="8" t="str">
        <f>_xlfn.XLOOKUP(tblFinancials[[#This Row],[AccountKey]],tblAccounts[AccountKey],tblAccounts[AccountCategory],"")</f>
        <v>Revenue</v>
      </c>
      <c r="M298" s="8" t="str">
        <f>_xlfn.XLOOKUP(tblFinancials[[#This Row],[AccountKey]],tblAccounts[AccountKey],tblAccounts[NormalBalance],"")</f>
        <v>Credit</v>
      </c>
      <c r="N298" s="8" t="str">
        <f>_xlfn.XLOOKUP(tblFinancials[[#This Row],[DepartmentKey]],tblDepartments[DepartmentKey],tblDepartments[DepartmentName],"")</f>
        <v>Marketing</v>
      </c>
      <c r="O298" s="8" t="str">
        <f>_xlfn.XLOOKUP(tblFinancials[[#This Row],[BusinessUnitKey]],tblBusinessUnits[BusinessUnitKey],tblBusinessUnits[BusinessUnitName],"")</f>
        <v>Wholesale</v>
      </c>
      <c r="P298" s="8" t="str">
        <f>_xlfn.XLOOKUP(tblFinancials[[#This Row],[RegionKey]],tblRegions[RegionKey],tblRegions[RegionName],"")</f>
        <v>Midwest</v>
      </c>
    </row>
    <row r="299" spans="1:16">
      <c r="A299">
        <v>20230901</v>
      </c>
      <c r="B299">
        <v>3</v>
      </c>
      <c r="C299">
        <v>2</v>
      </c>
      <c r="D299">
        <v>3</v>
      </c>
      <c r="E299">
        <v>13</v>
      </c>
      <c r="F299" t="s">
        <v>92</v>
      </c>
      <c r="G299">
        <v>28677.85</v>
      </c>
      <c r="H299">
        <f>_xlfn.XLOOKUP(tblFinancials[[#This Row],[DateKey]],tblCalendar[DateKey],tblCalendar[FullDate],"")</f>
        <v>45170</v>
      </c>
      <c r="I299">
        <f>_xlfn.XLOOKUP(tblFinancials[[#This Row],[AccountKey]],tblAccounts[AccountKey],tblAccounts[AccountNumber],"")</f>
        <v>4020</v>
      </c>
      <c r="J299" t="str">
        <f>_xlfn.XLOOKUP(tblFinancials[[#This Row],[AccountKey]],tblAccounts[AccountKey],tblAccounts[AccountName],"")</f>
        <v>Online Revenue</v>
      </c>
      <c r="K299" s="8" t="str">
        <f>_xlfn.XLOOKUP(tblFinancials[[#This Row],[AccountKey]],tblAccounts[AccountKey],tblAccounts[FinancialStatement],"")</f>
        <v>Income Statement</v>
      </c>
      <c r="L299" s="8" t="str">
        <f>_xlfn.XLOOKUP(tblFinancials[[#This Row],[AccountKey]],tblAccounts[AccountKey],tblAccounts[AccountCategory],"")</f>
        <v>Revenue</v>
      </c>
      <c r="M299" s="8" t="str">
        <f>_xlfn.XLOOKUP(tblFinancials[[#This Row],[AccountKey]],tblAccounts[AccountKey],tblAccounts[NormalBalance],"")</f>
        <v>Credit</v>
      </c>
      <c r="N299" s="8" t="str">
        <f>_xlfn.XLOOKUP(tblFinancials[[#This Row],[DepartmentKey]],tblDepartments[DepartmentKey],tblDepartments[DepartmentName],"")</f>
        <v>Human Resources</v>
      </c>
      <c r="O299" s="8" t="str">
        <f>_xlfn.XLOOKUP(tblFinancials[[#This Row],[BusinessUnitKey]],tblBusinessUnits[BusinessUnitKey],tblBusinessUnits[BusinessUnitName],"")</f>
        <v>Wholesale</v>
      </c>
      <c r="P299" s="8" t="str">
        <f>_xlfn.XLOOKUP(tblFinancials[[#This Row],[RegionKey]],tblRegions[RegionKey],tblRegions[RegionName],"")</f>
        <v>South</v>
      </c>
    </row>
    <row r="300" spans="1:16">
      <c r="A300">
        <v>20230901</v>
      </c>
      <c r="B300">
        <v>5</v>
      </c>
      <c r="C300">
        <v>1</v>
      </c>
      <c r="D300">
        <v>2</v>
      </c>
      <c r="E300">
        <v>12</v>
      </c>
      <c r="F300" t="s">
        <v>92</v>
      </c>
      <c r="G300">
        <v>27139.27</v>
      </c>
      <c r="H300">
        <f>_xlfn.XLOOKUP(tblFinancials[[#This Row],[DateKey]],tblCalendar[DateKey],tblCalendar[FullDate],"")</f>
        <v>45170</v>
      </c>
      <c r="I300">
        <f>_xlfn.XLOOKUP(tblFinancials[[#This Row],[AccountKey]],tblAccounts[AccountKey],tblAccounts[AccountNumber],"")</f>
        <v>4010</v>
      </c>
      <c r="J300" t="str">
        <f>_xlfn.XLOOKUP(tblFinancials[[#This Row],[AccountKey]],tblAccounts[AccountKey],tblAccounts[AccountName],"")</f>
        <v>Service Revenue</v>
      </c>
      <c r="K300" s="8" t="str">
        <f>_xlfn.XLOOKUP(tblFinancials[[#This Row],[AccountKey]],tblAccounts[AccountKey],tblAccounts[FinancialStatement],"")</f>
        <v>Income Statement</v>
      </c>
      <c r="L300" s="8" t="str">
        <f>_xlfn.XLOOKUP(tblFinancials[[#This Row],[AccountKey]],tblAccounts[AccountKey],tblAccounts[AccountCategory],"")</f>
        <v>Revenue</v>
      </c>
      <c r="M300" s="8" t="str">
        <f>_xlfn.XLOOKUP(tblFinancials[[#This Row],[AccountKey]],tblAccounts[AccountKey],tblAccounts[NormalBalance],"")</f>
        <v>Credit</v>
      </c>
      <c r="N300" s="8" t="str">
        <f>_xlfn.XLOOKUP(tblFinancials[[#This Row],[DepartmentKey]],tblDepartments[DepartmentKey],tblDepartments[DepartmentName],"")</f>
        <v>Marketing</v>
      </c>
      <c r="O300" s="8" t="str">
        <f>_xlfn.XLOOKUP(tblFinancials[[#This Row],[BusinessUnitKey]],tblBusinessUnits[BusinessUnitKey],tblBusinessUnits[BusinessUnitName],"")</f>
        <v xml:space="preserve">Manufacturing </v>
      </c>
      <c r="P300" s="8" t="str">
        <f>_xlfn.XLOOKUP(tblFinancials[[#This Row],[RegionKey]],tblRegions[RegionKey],tblRegions[RegionName],"")</f>
        <v>Midwest</v>
      </c>
    </row>
    <row r="301" spans="1:16">
      <c r="A301">
        <v>20230901</v>
      </c>
      <c r="B301">
        <v>5</v>
      </c>
      <c r="C301">
        <v>3</v>
      </c>
      <c r="D301">
        <v>3</v>
      </c>
      <c r="E301">
        <v>11</v>
      </c>
      <c r="F301" t="s">
        <v>92</v>
      </c>
      <c r="G301">
        <v>24474.21</v>
      </c>
      <c r="H301">
        <f>_xlfn.XLOOKUP(tblFinancials[[#This Row],[DateKey]],tblCalendar[DateKey],tblCalendar[FullDate],"")</f>
        <v>45170</v>
      </c>
      <c r="I301">
        <f>_xlfn.XLOOKUP(tblFinancials[[#This Row],[AccountKey]],tblAccounts[AccountKey],tblAccounts[AccountNumber],"")</f>
        <v>4000</v>
      </c>
      <c r="J301" t="str">
        <f>_xlfn.XLOOKUP(tblFinancials[[#This Row],[AccountKey]],tblAccounts[AccountKey],tblAccounts[AccountName],"")</f>
        <v>Product Revenue</v>
      </c>
      <c r="K301" s="8" t="str">
        <f>_xlfn.XLOOKUP(tblFinancials[[#This Row],[AccountKey]],tblAccounts[AccountKey],tblAccounts[FinancialStatement],"")</f>
        <v>Income Statement</v>
      </c>
      <c r="L301" s="8" t="str">
        <f>_xlfn.XLOOKUP(tblFinancials[[#This Row],[AccountKey]],tblAccounts[AccountKey],tblAccounts[AccountCategory],"")</f>
        <v>Revenue</v>
      </c>
      <c r="M301" s="8" t="str">
        <f>_xlfn.XLOOKUP(tblFinancials[[#This Row],[AccountKey]],tblAccounts[AccountKey],tblAccounts[NormalBalance],"")</f>
        <v>Credit</v>
      </c>
      <c r="N301" s="8" t="str">
        <f>_xlfn.XLOOKUP(tblFinancials[[#This Row],[DepartmentKey]],tblDepartments[DepartmentKey],tblDepartments[DepartmentName],"")</f>
        <v>Marketing</v>
      </c>
      <c r="O301" s="8" t="str">
        <f>_xlfn.XLOOKUP(tblFinancials[[#This Row],[BusinessUnitKey]],tblBusinessUnits[BusinessUnitKey],tblBusinessUnits[BusinessUnitName],"")</f>
        <v>Retail</v>
      </c>
      <c r="P301" s="8" t="str">
        <f>_xlfn.XLOOKUP(tblFinancials[[#This Row],[RegionKey]],tblRegions[RegionKey],tblRegions[RegionName],"")</f>
        <v>South</v>
      </c>
    </row>
    <row r="302" spans="1:16">
      <c r="A302">
        <v>20230901</v>
      </c>
      <c r="B302">
        <v>6</v>
      </c>
      <c r="C302">
        <v>1</v>
      </c>
      <c r="D302">
        <v>4</v>
      </c>
      <c r="E302">
        <v>14</v>
      </c>
      <c r="F302" t="s">
        <v>92</v>
      </c>
      <c r="G302">
        <v>-17358.45</v>
      </c>
      <c r="H302">
        <f>_xlfn.XLOOKUP(tblFinancials[[#This Row],[DateKey]],tblCalendar[DateKey],tblCalendar[FullDate],"")</f>
        <v>45170</v>
      </c>
      <c r="I302">
        <f>_xlfn.XLOOKUP(tblFinancials[[#This Row],[AccountKey]],tblAccounts[AccountKey],tblAccounts[AccountNumber],"")</f>
        <v>5000</v>
      </c>
      <c r="J302" t="str">
        <f>_xlfn.XLOOKUP(tblFinancials[[#This Row],[AccountKey]],tblAccounts[AccountKey],tblAccounts[AccountName],"")</f>
        <v>Cost of Goods Sold</v>
      </c>
      <c r="K302" s="8" t="str">
        <f>_xlfn.XLOOKUP(tblFinancials[[#This Row],[AccountKey]],tblAccounts[AccountKey],tblAccounts[FinancialStatement],"")</f>
        <v>Income Statement</v>
      </c>
      <c r="L302" s="8" t="str">
        <f>_xlfn.XLOOKUP(tblFinancials[[#This Row],[AccountKey]],tblAccounts[AccountKey],tblAccounts[AccountCategory],"")</f>
        <v>Cost of Sales</v>
      </c>
      <c r="M302" s="8" t="str">
        <f>_xlfn.XLOOKUP(tblFinancials[[#This Row],[AccountKey]],tblAccounts[AccountKey],tblAccounts[NormalBalance],"")</f>
        <v>Debit</v>
      </c>
      <c r="N302" s="8" t="str">
        <f>_xlfn.XLOOKUP(tblFinancials[[#This Row],[DepartmentKey]],tblDepartments[DepartmentKey],tblDepartments[DepartmentName],"")</f>
        <v>Operations</v>
      </c>
      <c r="O302" s="8" t="str">
        <f>_xlfn.XLOOKUP(tblFinancials[[#This Row],[BusinessUnitKey]],tblBusinessUnits[BusinessUnitKey],tblBusinessUnits[BusinessUnitName],"")</f>
        <v xml:space="preserve">Manufacturing </v>
      </c>
      <c r="P302" s="8" t="str">
        <f>_xlfn.XLOOKUP(tblFinancials[[#This Row],[RegionKey]],tblRegions[RegionKey],tblRegions[RegionName],"")</f>
        <v>East</v>
      </c>
    </row>
    <row r="303" spans="1:16">
      <c r="A303">
        <v>20230901</v>
      </c>
      <c r="B303">
        <v>3</v>
      </c>
      <c r="C303">
        <v>1</v>
      </c>
      <c r="D303">
        <v>3</v>
      </c>
      <c r="E303">
        <v>14</v>
      </c>
      <c r="F303" t="s">
        <v>92</v>
      </c>
      <c r="G303">
        <v>-15207.76</v>
      </c>
      <c r="H303">
        <f>_xlfn.XLOOKUP(tblFinancials[[#This Row],[DateKey]],tblCalendar[DateKey],tblCalendar[FullDate],"")</f>
        <v>45170</v>
      </c>
      <c r="I303">
        <f>_xlfn.XLOOKUP(tblFinancials[[#This Row],[AccountKey]],tblAccounts[AccountKey],tblAccounts[AccountNumber],"")</f>
        <v>5000</v>
      </c>
      <c r="J303" t="str">
        <f>_xlfn.XLOOKUP(tblFinancials[[#This Row],[AccountKey]],tblAccounts[AccountKey],tblAccounts[AccountName],"")</f>
        <v>Cost of Goods Sold</v>
      </c>
      <c r="K303" s="8" t="str">
        <f>_xlfn.XLOOKUP(tblFinancials[[#This Row],[AccountKey]],tblAccounts[AccountKey],tblAccounts[FinancialStatement],"")</f>
        <v>Income Statement</v>
      </c>
      <c r="L303" s="8" t="str">
        <f>_xlfn.XLOOKUP(tblFinancials[[#This Row],[AccountKey]],tblAccounts[AccountKey],tblAccounts[AccountCategory],"")</f>
        <v>Cost of Sales</v>
      </c>
      <c r="M303" s="8" t="str">
        <f>_xlfn.XLOOKUP(tblFinancials[[#This Row],[AccountKey]],tblAccounts[AccountKey],tblAccounts[NormalBalance],"")</f>
        <v>Debit</v>
      </c>
      <c r="N303" s="8" t="str">
        <f>_xlfn.XLOOKUP(tblFinancials[[#This Row],[DepartmentKey]],tblDepartments[DepartmentKey],tblDepartments[DepartmentName],"")</f>
        <v>Human Resources</v>
      </c>
      <c r="O303" s="8" t="str">
        <f>_xlfn.XLOOKUP(tblFinancials[[#This Row],[BusinessUnitKey]],tblBusinessUnits[BusinessUnitKey],tblBusinessUnits[BusinessUnitName],"")</f>
        <v xml:space="preserve">Manufacturing </v>
      </c>
      <c r="P303" s="8" t="str">
        <f>_xlfn.XLOOKUP(tblFinancials[[#This Row],[RegionKey]],tblRegions[RegionKey],tblRegions[RegionName],"")</f>
        <v>South</v>
      </c>
    </row>
    <row r="304" spans="1:16">
      <c r="A304">
        <v>20230901</v>
      </c>
      <c r="B304">
        <v>8</v>
      </c>
      <c r="C304">
        <v>3</v>
      </c>
      <c r="D304">
        <v>1</v>
      </c>
      <c r="E304">
        <v>14</v>
      </c>
      <c r="F304" t="s">
        <v>92</v>
      </c>
      <c r="G304">
        <v>-17194.810000000001</v>
      </c>
      <c r="H304">
        <f>_xlfn.XLOOKUP(tblFinancials[[#This Row],[DateKey]],tblCalendar[DateKey],tblCalendar[FullDate],"")</f>
        <v>45170</v>
      </c>
      <c r="I304">
        <f>_xlfn.XLOOKUP(tblFinancials[[#This Row],[AccountKey]],tblAccounts[AccountKey],tblAccounts[AccountNumber],"")</f>
        <v>5000</v>
      </c>
      <c r="J304" t="str">
        <f>_xlfn.XLOOKUP(tblFinancials[[#This Row],[AccountKey]],tblAccounts[AccountKey],tblAccounts[AccountName],"")</f>
        <v>Cost of Goods Sold</v>
      </c>
      <c r="K304" s="8" t="str">
        <f>_xlfn.XLOOKUP(tblFinancials[[#This Row],[AccountKey]],tblAccounts[AccountKey],tblAccounts[FinancialStatement],"")</f>
        <v>Income Statement</v>
      </c>
      <c r="L304" s="8" t="str">
        <f>_xlfn.XLOOKUP(tblFinancials[[#This Row],[AccountKey]],tblAccounts[AccountKey],tblAccounts[AccountCategory],"")</f>
        <v>Cost of Sales</v>
      </c>
      <c r="M304" s="8" t="str">
        <f>_xlfn.XLOOKUP(tblFinancials[[#This Row],[AccountKey]],tblAccounts[AccountKey],tblAccounts[NormalBalance],"")</f>
        <v>Debit</v>
      </c>
      <c r="N304" s="8" t="str">
        <f>_xlfn.XLOOKUP(tblFinancials[[#This Row],[DepartmentKey]],tblDepartments[DepartmentKey],tblDepartments[DepartmentName],"")</f>
        <v>Customer Service</v>
      </c>
      <c r="O304" s="8" t="str">
        <f>_xlfn.XLOOKUP(tblFinancials[[#This Row],[BusinessUnitKey]],tblBusinessUnits[BusinessUnitKey],tblBusinessUnits[BusinessUnitName],"")</f>
        <v>Retail</v>
      </c>
      <c r="P304" s="8" t="str">
        <f>_xlfn.XLOOKUP(tblFinancials[[#This Row],[RegionKey]],tblRegions[RegionKey],tblRegions[RegionName],"")</f>
        <v>West</v>
      </c>
    </row>
    <row r="305" spans="1:16">
      <c r="A305">
        <v>20230901</v>
      </c>
      <c r="B305">
        <v>5</v>
      </c>
      <c r="C305">
        <v>3</v>
      </c>
      <c r="D305">
        <v>3</v>
      </c>
      <c r="E305">
        <v>14</v>
      </c>
      <c r="F305" t="s">
        <v>92</v>
      </c>
      <c r="G305">
        <v>-17393.71</v>
      </c>
      <c r="H305">
        <f>_xlfn.XLOOKUP(tblFinancials[[#This Row],[DateKey]],tblCalendar[DateKey],tblCalendar[FullDate],"")</f>
        <v>45170</v>
      </c>
      <c r="I305">
        <f>_xlfn.XLOOKUP(tblFinancials[[#This Row],[AccountKey]],tblAccounts[AccountKey],tblAccounts[AccountNumber],"")</f>
        <v>5000</v>
      </c>
      <c r="J305" t="str">
        <f>_xlfn.XLOOKUP(tblFinancials[[#This Row],[AccountKey]],tblAccounts[AccountKey],tblAccounts[AccountName],"")</f>
        <v>Cost of Goods Sold</v>
      </c>
      <c r="K305" s="8" t="str">
        <f>_xlfn.XLOOKUP(tblFinancials[[#This Row],[AccountKey]],tblAccounts[AccountKey],tblAccounts[FinancialStatement],"")</f>
        <v>Income Statement</v>
      </c>
      <c r="L305" s="8" t="str">
        <f>_xlfn.XLOOKUP(tblFinancials[[#This Row],[AccountKey]],tblAccounts[AccountKey],tblAccounts[AccountCategory],"")</f>
        <v>Cost of Sales</v>
      </c>
      <c r="M305" s="8" t="str">
        <f>_xlfn.XLOOKUP(tblFinancials[[#This Row],[AccountKey]],tblAccounts[AccountKey],tblAccounts[NormalBalance],"")</f>
        <v>Debit</v>
      </c>
      <c r="N305" s="8" t="str">
        <f>_xlfn.XLOOKUP(tblFinancials[[#This Row],[DepartmentKey]],tblDepartments[DepartmentKey],tblDepartments[DepartmentName],"")</f>
        <v>Marketing</v>
      </c>
      <c r="O305" s="8" t="str">
        <f>_xlfn.XLOOKUP(tblFinancials[[#This Row],[BusinessUnitKey]],tblBusinessUnits[BusinessUnitKey],tblBusinessUnits[BusinessUnitName],"")</f>
        <v>Retail</v>
      </c>
      <c r="P305" s="8" t="str">
        <f>_xlfn.XLOOKUP(tblFinancials[[#This Row],[RegionKey]],tblRegions[RegionKey],tblRegions[RegionName],"")</f>
        <v>South</v>
      </c>
    </row>
    <row r="306" spans="1:16">
      <c r="A306">
        <v>20230901</v>
      </c>
      <c r="B306">
        <v>1</v>
      </c>
      <c r="C306">
        <v>2</v>
      </c>
      <c r="D306">
        <v>1</v>
      </c>
      <c r="E306">
        <v>14</v>
      </c>
      <c r="F306" t="s">
        <v>92</v>
      </c>
      <c r="G306">
        <v>-16464.03</v>
      </c>
      <c r="H306">
        <f>_xlfn.XLOOKUP(tblFinancials[[#This Row],[DateKey]],tblCalendar[DateKey],tblCalendar[FullDate],"")</f>
        <v>45170</v>
      </c>
      <c r="I306">
        <f>_xlfn.XLOOKUP(tblFinancials[[#This Row],[AccountKey]],tblAccounts[AccountKey],tblAccounts[AccountNumber],"")</f>
        <v>5000</v>
      </c>
      <c r="J306" t="str">
        <f>_xlfn.XLOOKUP(tblFinancials[[#This Row],[AccountKey]],tblAccounts[AccountKey],tblAccounts[AccountName],"")</f>
        <v>Cost of Goods Sold</v>
      </c>
      <c r="K306" s="8" t="str">
        <f>_xlfn.XLOOKUP(tblFinancials[[#This Row],[AccountKey]],tblAccounts[AccountKey],tblAccounts[FinancialStatement],"")</f>
        <v>Income Statement</v>
      </c>
      <c r="L306" s="8" t="str">
        <f>_xlfn.XLOOKUP(tblFinancials[[#This Row],[AccountKey]],tblAccounts[AccountKey],tblAccounts[AccountCategory],"")</f>
        <v>Cost of Sales</v>
      </c>
      <c r="M306" s="8" t="str">
        <f>_xlfn.XLOOKUP(tblFinancials[[#This Row],[AccountKey]],tblAccounts[AccountKey],tblAccounts[NormalBalance],"")</f>
        <v>Debit</v>
      </c>
      <c r="N306" s="8" t="str">
        <f>_xlfn.XLOOKUP(tblFinancials[[#This Row],[DepartmentKey]],tblDepartments[DepartmentKey],tblDepartments[DepartmentName],"")</f>
        <v>Executive</v>
      </c>
      <c r="O306" s="8" t="str">
        <f>_xlfn.XLOOKUP(tblFinancials[[#This Row],[BusinessUnitKey]],tblBusinessUnits[BusinessUnitKey],tblBusinessUnits[BusinessUnitName],"")</f>
        <v>Wholesale</v>
      </c>
      <c r="P306" s="8" t="str">
        <f>_xlfn.XLOOKUP(tblFinancials[[#This Row],[RegionKey]],tblRegions[RegionKey],tblRegions[RegionName],"")</f>
        <v>West</v>
      </c>
    </row>
    <row r="307" spans="1:16">
      <c r="A307">
        <v>20230901</v>
      </c>
      <c r="B307">
        <v>6</v>
      </c>
      <c r="C307">
        <v>2</v>
      </c>
      <c r="D307">
        <v>4</v>
      </c>
      <c r="E307">
        <v>14</v>
      </c>
      <c r="F307" t="s">
        <v>92</v>
      </c>
      <c r="G307">
        <v>-17136.53</v>
      </c>
      <c r="H307">
        <f>_xlfn.XLOOKUP(tblFinancials[[#This Row],[DateKey]],tblCalendar[DateKey],tblCalendar[FullDate],"")</f>
        <v>45170</v>
      </c>
      <c r="I307">
        <f>_xlfn.XLOOKUP(tblFinancials[[#This Row],[AccountKey]],tblAccounts[AccountKey],tblAccounts[AccountNumber],"")</f>
        <v>5000</v>
      </c>
      <c r="J307" t="str">
        <f>_xlfn.XLOOKUP(tblFinancials[[#This Row],[AccountKey]],tblAccounts[AccountKey],tblAccounts[AccountName],"")</f>
        <v>Cost of Goods Sold</v>
      </c>
      <c r="K307" s="8" t="str">
        <f>_xlfn.XLOOKUP(tblFinancials[[#This Row],[AccountKey]],tblAccounts[AccountKey],tblAccounts[FinancialStatement],"")</f>
        <v>Income Statement</v>
      </c>
      <c r="L307" s="8" t="str">
        <f>_xlfn.XLOOKUP(tblFinancials[[#This Row],[AccountKey]],tblAccounts[AccountKey],tblAccounts[AccountCategory],"")</f>
        <v>Cost of Sales</v>
      </c>
      <c r="M307" s="8" t="str">
        <f>_xlfn.XLOOKUP(tblFinancials[[#This Row],[AccountKey]],tblAccounts[AccountKey],tblAccounts[NormalBalance],"")</f>
        <v>Debit</v>
      </c>
      <c r="N307" s="8" t="str">
        <f>_xlfn.XLOOKUP(tblFinancials[[#This Row],[DepartmentKey]],tblDepartments[DepartmentKey],tblDepartments[DepartmentName],"")</f>
        <v>Operations</v>
      </c>
      <c r="O307" s="8" t="str">
        <f>_xlfn.XLOOKUP(tblFinancials[[#This Row],[BusinessUnitKey]],tblBusinessUnits[BusinessUnitKey],tblBusinessUnits[BusinessUnitName],"")</f>
        <v>Wholesale</v>
      </c>
      <c r="P307" s="8" t="str">
        <f>_xlfn.XLOOKUP(tblFinancials[[#This Row],[RegionKey]],tblRegions[RegionKey],tblRegions[RegionName],"")</f>
        <v>East</v>
      </c>
    </row>
    <row r="308" spans="1:16">
      <c r="A308">
        <v>20230901</v>
      </c>
      <c r="B308">
        <v>2</v>
      </c>
      <c r="C308">
        <v>2</v>
      </c>
      <c r="D308">
        <v>3</v>
      </c>
      <c r="E308">
        <v>14</v>
      </c>
      <c r="F308" t="s">
        <v>92</v>
      </c>
      <c r="G308">
        <v>-17020.38</v>
      </c>
      <c r="H308">
        <f>_xlfn.XLOOKUP(tblFinancials[[#This Row],[DateKey]],tblCalendar[DateKey],tblCalendar[FullDate],"")</f>
        <v>45170</v>
      </c>
      <c r="I308">
        <f>_xlfn.XLOOKUP(tblFinancials[[#This Row],[AccountKey]],tblAccounts[AccountKey],tblAccounts[AccountNumber],"")</f>
        <v>5000</v>
      </c>
      <c r="J308" t="str">
        <f>_xlfn.XLOOKUP(tblFinancials[[#This Row],[AccountKey]],tblAccounts[AccountKey],tblAccounts[AccountName],"")</f>
        <v>Cost of Goods Sold</v>
      </c>
      <c r="K308" s="8" t="str">
        <f>_xlfn.XLOOKUP(tblFinancials[[#This Row],[AccountKey]],tblAccounts[AccountKey],tblAccounts[FinancialStatement],"")</f>
        <v>Income Statement</v>
      </c>
      <c r="L308" s="8" t="str">
        <f>_xlfn.XLOOKUP(tblFinancials[[#This Row],[AccountKey]],tblAccounts[AccountKey],tblAccounts[AccountCategory],"")</f>
        <v>Cost of Sales</v>
      </c>
      <c r="M308" s="8" t="str">
        <f>_xlfn.XLOOKUP(tblFinancials[[#This Row],[AccountKey]],tblAccounts[AccountKey],tblAccounts[NormalBalance],"")</f>
        <v>Debit</v>
      </c>
      <c r="N308" s="8" t="str">
        <f>_xlfn.XLOOKUP(tblFinancials[[#This Row],[DepartmentKey]],tblDepartments[DepartmentKey],tblDepartments[DepartmentName],"")</f>
        <v>Finance</v>
      </c>
      <c r="O308" s="8" t="str">
        <f>_xlfn.XLOOKUP(tblFinancials[[#This Row],[BusinessUnitKey]],tblBusinessUnits[BusinessUnitKey],tblBusinessUnits[BusinessUnitName],"")</f>
        <v>Wholesale</v>
      </c>
      <c r="P308" s="8" t="str">
        <f>_xlfn.XLOOKUP(tblFinancials[[#This Row],[RegionKey]],tblRegions[RegionKey],tblRegions[RegionName],"")</f>
        <v>South</v>
      </c>
    </row>
    <row r="309" spans="1:16">
      <c r="A309">
        <v>20230901</v>
      </c>
      <c r="B309">
        <v>1</v>
      </c>
      <c r="C309">
        <v>3</v>
      </c>
      <c r="D309">
        <v>3</v>
      </c>
      <c r="E309">
        <v>14</v>
      </c>
      <c r="F309" t="s">
        <v>92</v>
      </c>
      <c r="G309">
        <v>-15944.01</v>
      </c>
      <c r="H309">
        <f>_xlfn.XLOOKUP(tblFinancials[[#This Row],[DateKey]],tblCalendar[DateKey],tblCalendar[FullDate],"")</f>
        <v>45170</v>
      </c>
      <c r="I309">
        <f>_xlfn.XLOOKUP(tblFinancials[[#This Row],[AccountKey]],tblAccounts[AccountKey],tblAccounts[AccountNumber],"")</f>
        <v>5000</v>
      </c>
      <c r="J309" t="str">
        <f>_xlfn.XLOOKUP(tblFinancials[[#This Row],[AccountKey]],tblAccounts[AccountKey],tblAccounts[AccountName],"")</f>
        <v>Cost of Goods Sold</v>
      </c>
      <c r="K309" s="8" t="str">
        <f>_xlfn.XLOOKUP(tblFinancials[[#This Row],[AccountKey]],tblAccounts[AccountKey],tblAccounts[FinancialStatement],"")</f>
        <v>Income Statement</v>
      </c>
      <c r="L309" s="8" t="str">
        <f>_xlfn.XLOOKUP(tblFinancials[[#This Row],[AccountKey]],tblAccounts[AccountKey],tblAccounts[AccountCategory],"")</f>
        <v>Cost of Sales</v>
      </c>
      <c r="M309" s="8" t="str">
        <f>_xlfn.XLOOKUP(tblFinancials[[#This Row],[AccountKey]],tblAccounts[AccountKey],tblAccounts[NormalBalance],"")</f>
        <v>Debit</v>
      </c>
      <c r="N309" s="8" t="str">
        <f>_xlfn.XLOOKUP(tblFinancials[[#This Row],[DepartmentKey]],tblDepartments[DepartmentKey],tblDepartments[DepartmentName],"")</f>
        <v>Executive</v>
      </c>
      <c r="O309" s="8" t="str">
        <f>_xlfn.XLOOKUP(tblFinancials[[#This Row],[BusinessUnitKey]],tblBusinessUnits[BusinessUnitKey],tblBusinessUnits[BusinessUnitName],"")</f>
        <v>Retail</v>
      </c>
      <c r="P309" s="8" t="str">
        <f>_xlfn.XLOOKUP(tblFinancials[[#This Row],[RegionKey]],tblRegions[RegionKey],tblRegions[RegionName],"")</f>
        <v>South</v>
      </c>
    </row>
    <row r="310" spans="1:16">
      <c r="A310">
        <v>20230901</v>
      </c>
      <c r="B310">
        <v>2</v>
      </c>
      <c r="C310">
        <v>4</v>
      </c>
      <c r="D310">
        <v>4</v>
      </c>
      <c r="E310">
        <v>14</v>
      </c>
      <c r="F310" t="s">
        <v>92</v>
      </c>
      <c r="G310">
        <v>-17458.009999999998</v>
      </c>
      <c r="H310">
        <f>_xlfn.XLOOKUP(tblFinancials[[#This Row],[DateKey]],tblCalendar[DateKey],tblCalendar[FullDate],"")</f>
        <v>45170</v>
      </c>
      <c r="I310">
        <f>_xlfn.XLOOKUP(tblFinancials[[#This Row],[AccountKey]],tblAccounts[AccountKey],tblAccounts[AccountNumber],"")</f>
        <v>5000</v>
      </c>
      <c r="J310" t="str">
        <f>_xlfn.XLOOKUP(tblFinancials[[#This Row],[AccountKey]],tblAccounts[AccountKey],tblAccounts[AccountName],"")</f>
        <v>Cost of Goods Sold</v>
      </c>
      <c r="K310" s="8" t="str">
        <f>_xlfn.XLOOKUP(tblFinancials[[#This Row],[AccountKey]],tblAccounts[AccountKey],tblAccounts[FinancialStatement],"")</f>
        <v>Income Statement</v>
      </c>
      <c r="L310" s="8" t="str">
        <f>_xlfn.XLOOKUP(tblFinancials[[#This Row],[AccountKey]],tblAccounts[AccountKey],tblAccounts[AccountCategory],"")</f>
        <v>Cost of Sales</v>
      </c>
      <c r="M310" s="8" t="str">
        <f>_xlfn.XLOOKUP(tblFinancials[[#This Row],[AccountKey]],tblAccounts[AccountKey],tblAccounts[NormalBalance],"")</f>
        <v>Debit</v>
      </c>
      <c r="N310" s="8" t="str">
        <f>_xlfn.XLOOKUP(tblFinancials[[#This Row],[DepartmentKey]],tblDepartments[DepartmentKey],tblDepartments[DepartmentName],"")</f>
        <v>Finance</v>
      </c>
      <c r="O310" s="8" t="str">
        <f>_xlfn.XLOOKUP(tblFinancials[[#This Row],[BusinessUnitKey]],tblBusinessUnits[BusinessUnitKey],tblBusinessUnits[BusinessUnitName],"")</f>
        <v>E-Commerce</v>
      </c>
      <c r="P310" s="8" t="str">
        <f>_xlfn.XLOOKUP(tblFinancials[[#This Row],[RegionKey]],tblRegions[RegionKey],tblRegions[RegionName],"")</f>
        <v>East</v>
      </c>
    </row>
    <row r="311" spans="1:16">
      <c r="A311">
        <v>20230901</v>
      </c>
      <c r="B311">
        <v>7</v>
      </c>
      <c r="C311">
        <v>2</v>
      </c>
      <c r="D311">
        <v>3</v>
      </c>
      <c r="E311">
        <v>14</v>
      </c>
      <c r="F311" t="s">
        <v>92</v>
      </c>
      <c r="G311">
        <v>-17023.64</v>
      </c>
      <c r="H311">
        <f>_xlfn.XLOOKUP(tblFinancials[[#This Row],[DateKey]],tblCalendar[DateKey],tblCalendar[FullDate],"")</f>
        <v>45170</v>
      </c>
      <c r="I311">
        <f>_xlfn.XLOOKUP(tblFinancials[[#This Row],[AccountKey]],tblAccounts[AccountKey],tblAccounts[AccountNumber],"")</f>
        <v>5000</v>
      </c>
      <c r="J311" t="str">
        <f>_xlfn.XLOOKUP(tblFinancials[[#This Row],[AccountKey]],tblAccounts[AccountKey],tblAccounts[AccountName],"")</f>
        <v>Cost of Goods Sold</v>
      </c>
      <c r="K311" s="8" t="str">
        <f>_xlfn.XLOOKUP(tblFinancials[[#This Row],[AccountKey]],tblAccounts[AccountKey],tblAccounts[FinancialStatement],"")</f>
        <v>Income Statement</v>
      </c>
      <c r="L311" s="8" t="str">
        <f>_xlfn.XLOOKUP(tblFinancials[[#This Row],[AccountKey]],tblAccounts[AccountKey],tblAccounts[AccountCategory],"")</f>
        <v>Cost of Sales</v>
      </c>
      <c r="M311" s="8" t="str">
        <f>_xlfn.XLOOKUP(tblFinancials[[#This Row],[AccountKey]],tblAccounts[AccountKey],tblAccounts[NormalBalance],"")</f>
        <v>Debit</v>
      </c>
      <c r="N311" s="8" t="str">
        <f>_xlfn.XLOOKUP(tblFinancials[[#This Row],[DepartmentKey]],tblDepartments[DepartmentKey],tblDepartments[DepartmentName],"")</f>
        <v>Information Technology</v>
      </c>
      <c r="O311" s="8" t="str">
        <f>_xlfn.XLOOKUP(tblFinancials[[#This Row],[BusinessUnitKey]],tblBusinessUnits[BusinessUnitKey],tblBusinessUnits[BusinessUnitName],"")</f>
        <v>Wholesale</v>
      </c>
      <c r="P311" s="8" t="str">
        <f>_xlfn.XLOOKUP(tblFinancials[[#This Row],[RegionKey]],tblRegions[RegionKey],tblRegions[RegionName],"")</f>
        <v>South</v>
      </c>
    </row>
    <row r="312" spans="1:16">
      <c r="A312">
        <v>20230901</v>
      </c>
      <c r="B312">
        <v>2</v>
      </c>
      <c r="C312">
        <v>1</v>
      </c>
      <c r="D312">
        <v>1</v>
      </c>
      <c r="E312">
        <v>14</v>
      </c>
      <c r="F312" t="s">
        <v>92</v>
      </c>
      <c r="G312">
        <v>-16228.53</v>
      </c>
      <c r="H312">
        <f>_xlfn.XLOOKUP(tblFinancials[[#This Row],[DateKey]],tblCalendar[DateKey],tblCalendar[FullDate],"")</f>
        <v>45170</v>
      </c>
      <c r="I312">
        <f>_xlfn.XLOOKUP(tblFinancials[[#This Row],[AccountKey]],tblAccounts[AccountKey],tblAccounts[AccountNumber],"")</f>
        <v>5000</v>
      </c>
      <c r="J312" t="str">
        <f>_xlfn.XLOOKUP(tblFinancials[[#This Row],[AccountKey]],tblAccounts[AccountKey],tblAccounts[AccountName],"")</f>
        <v>Cost of Goods Sold</v>
      </c>
      <c r="K312" s="8" t="str">
        <f>_xlfn.XLOOKUP(tblFinancials[[#This Row],[AccountKey]],tblAccounts[AccountKey],tblAccounts[FinancialStatement],"")</f>
        <v>Income Statement</v>
      </c>
      <c r="L312" s="8" t="str">
        <f>_xlfn.XLOOKUP(tblFinancials[[#This Row],[AccountKey]],tblAccounts[AccountKey],tblAccounts[AccountCategory],"")</f>
        <v>Cost of Sales</v>
      </c>
      <c r="M312" s="8" t="str">
        <f>_xlfn.XLOOKUP(tblFinancials[[#This Row],[AccountKey]],tblAccounts[AccountKey],tblAccounts[NormalBalance],"")</f>
        <v>Debit</v>
      </c>
      <c r="N312" s="8" t="str">
        <f>_xlfn.XLOOKUP(tblFinancials[[#This Row],[DepartmentKey]],tblDepartments[DepartmentKey],tblDepartments[DepartmentName],"")</f>
        <v>Finance</v>
      </c>
      <c r="O312" s="8" t="str">
        <f>_xlfn.XLOOKUP(tblFinancials[[#This Row],[BusinessUnitKey]],tblBusinessUnits[BusinessUnitKey],tblBusinessUnits[BusinessUnitName],"")</f>
        <v xml:space="preserve">Manufacturing </v>
      </c>
      <c r="P312" s="8" t="str">
        <f>_xlfn.XLOOKUP(tblFinancials[[#This Row],[RegionKey]],tblRegions[RegionKey],tblRegions[RegionName],"")</f>
        <v>West</v>
      </c>
    </row>
    <row r="313" spans="1:16">
      <c r="A313">
        <v>20230901</v>
      </c>
      <c r="B313">
        <v>7</v>
      </c>
      <c r="C313">
        <v>1</v>
      </c>
      <c r="D313">
        <v>3</v>
      </c>
      <c r="E313">
        <v>14</v>
      </c>
      <c r="F313" t="s">
        <v>92</v>
      </c>
      <c r="G313">
        <v>-12190.54</v>
      </c>
      <c r="H313">
        <f>_xlfn.XLOOKUP(tblFinancials[[#This Row],[DateKey]],tblCalendar[DateKey],tblCalendar[FullDate],"")</f>
        <v>45170</v>
      </c>
      <c r="I313">
        <f>_xlfn.XLOOKUP(tblFinancials[[#This Row],[AccountKey]],tblAccounts[AccountKey],tblAccounts[AccountNumber],"")</f>
        <v>5000</v>
      </c>
      <c r="J313" t="str">
        <f>_xlfn.XLOOKUP(tblFinancials[[#This Row],[AccountKey]],tblAccounts[AccountKey],tblAccounts[AccountName],"")</f>
        <v>Cost of Goods Sold</v>
      </c>
      <c r="K313" s="8" t="str">
        <f>_xlfn.XLOOKUP(tblFinancials[[#This Row],[AccountKey]],tblAccounts[AccountKey],tblAccounts[FinancialStatement],"")</f>
        <v>Income Statement</v>
      </c>
      <c r="L313" s="8" t="str">
        <f>_xlfn.XLOOKUP(tblFinancials[[#This Row],[AccountKey]],tblAccounts[AccountKey],tblAccounts[AccountCategory],"")</f>
        <v>Cost of Sales</v>
      </c>
      <c r="M313" s="8" t="str">
        <f>_xlfn.XLOOKUP(tblFinancials[[#This Row],[AccountKey]],tblAccounts[AccountKey],tblAccounts[NormalBalance],"")</f>
        <v>Debit</v>
      </c>
      <c r="N313" s="8" t="str">
        <f>_xlfn.XLOOKUP(tblFinancials[[#This Row],[DepartmentKey]],tblDepartments[DepartmentKey],tblDepartments[DepartmentName],"")</f>
        <v>Information Technology</v>
      </c>
      <c r="O313" s="8" t="str">
        <f>_xlfn.XLOOKUP(tblFinancials[[#This Row],[BusinessUnitKey]],tblBusinessUnits[BusinessUnitKey],tblBusinessUnits[BusinessUnitName],"")</f>
        <v xml:space="preserve">Manufacturing </v>
      </c>
      <c r="P313" s="8" t="str">
        <f>_xlfn.XLOOKUP(tblFinancials[[#This Row],[RegionKey]],tblRegions[RegionKey],tblRegions[RegionName],"")</f>
        <v>South</v>
      </c>
    </row>
    <row r="314" spans="1:16">
      <c r="A314">
        <v>20230901</v>
      </c>
      <c r="B314">
        <v>3</v>
      </c>
      <c r="C314">
        <v>4</v>
      </c>
      <c r="D314">
        <v>3</v>
      </c>
      <c r="E314">
        <v>23</v>
      </c>
      <c r="F314" t="s">
        <v>92</v>
      </c>
      <c r="G314">
        <v>-5431.1</v>
      </c>
      <c r="H314">
        <f>_xlfn.XLOOKUP(tblFinancials[[#This Row],[DateKey]],tblCalendar[DateKey],tblCalendar[FullDate],"")</f>
        <v>45170</v>
      </c>
      <c r="I314">
        <f>_xlfn.XLOOKUP(tblFinancials[[#This Row],[AccountKey]],tblAccounts[AccountKey],tblAccounts[AccountNumber],"")</f>
        <v>6800</v>
      </c>
      <c r="J314" t="str">
        <f>_xlfn.XLOOKUP(tblFinancials[[#This Row],[AccountKey]],tblAccounts[AccountKey],tblAccounts[AccountName],"")</f>
        <v>Travel Expense</v>
      </c>
      <c r="K314" s="8" t="str">
        <f>_xlfn.XLOOKUP(tblFinancials[[#This Row],[AccountKey]],tblAccounts[AccountKey],tblAccounts[FinancialStatement],"")</f>
        <v>Income Statement</v>
      </c>
      <c r="L314" s="8" t="str">
        <f>_xlfn.XLOOKUP(tblFinancials[[#This Row],[AccountKey]],tblAccounts[AccountKey],tblAccounts[AccountCategory],"")</f>
        <v>Operating Expense</v>
      </c>
      <c r="M314" s="8" t="str">
        <f>_xlfn.XLOOKUP(tblFinancials[[#This Row],[AccountKey]],tblAccounts[AccountKey],tblAccounts[NormalBalance],"")</f>
        <v>Debit</v>
      </c>
      <c r="N314" s="8" t="str">
        <f>_xlfn.XLOOKUP(tblFinancials[[#This Row],[DepartmentKey]],tblDepartments[DepartmentKey],tblDepartments[DepartmentName],"")</f>
        <v>Human Resources</v>
      </c>
      <c r="O314" s="8" t="str">
        <f>_xlfn.XLOOKUP(tblFinancials[[#This Row],[BusinessUnitKey]],tblBusinessUnits[BusinessUnitKey],tblBusinessUnits[BusinessUnitName],"")</f>
        <v>E-Commerce</v>
      </c>
      <c r="P314" s="8" t="str">
        <f>_xlfn.XLOOKUP(tblFinancials[[#This Row],[RegionKey]],tblRegions[RegionKey],tblRegions[RegionName],"")</f>
        <v>South</v>
      </c>
    </row>
    <row r="315" spans="1:16">
      <c r="A315">
        <v>20230901</v>
      </c>
      <c r="B315">
        <v>6</v>
      </c>
      <c r="C315">
        <v>3</v>
      </c>
      <c r="D315">
        <v>3</v>
      </c>
      <c r="E315">
        <v>16</v>
      </c>
      <c r="F315" t="s">
        <v>92</v>
      </c>
      <c r="G315">
        <v>-6784.93</v>
      </c>
      <c r="H315">
        <f>_xlfn.XLOOKUP(tblFinancials[[#This Row],[DateKey]],tblCalendar[DateKey],tblCalendar[FullDate],"")</f>
        <v>45170</v>
      </c>
      <c r="I315">
        <f>_xlfn.XLOOKUP(tblFinancials[[#This Row],[AccountKey]],tblAccounts[AccountKey],tblAccounts[AccountNumber],"")</f>
        <v>6110</v>
      </c>
      <c r="J315" t="str">
        <f>_xlfn.XLOOKUP(tblFinancials[[#This Row],[AccountKey]],tblAccounts[AccountKey],tblAccounts[AccountName],"")</f>
        <v>Payroll Taxes</v>
      </c>
      <c r="K315" s="8" t="str">
        <f>_xlfn.XLOOKUP(tblFinancials[[#This Row],[AccountKey]],tblAccounts[AccountKey],tblAccounts[FinancialStatement],"")</f>
        <v>Income Statement</v>
      </c>
      <c r="L315" s="8" t="str">
        <f>_xlfn.XLOOKUP(tblFinancials[[#This Row],[AccountKey]],tblAccounts[AccountKey],tblAccounts[AccountCategory],"")</f>
        <v>Operating Expense</v>
      </c>
      <c r="M315" s="8" t="str">
        <f>_xlfn.XLOOKUP(tblFinancials[[#This Row],[AccountKey]],tblAccounts[AccountKey],tblAccounts[NormalBalance],"")</f>
        <v>Debit</v>
      </c>
      <c r="N315" s="8" t="str">
        <f>_xlfn.XLOOKUP(tblFinancials[[#This Row],[DepartmentKey]],tblDepartments[DepartmentKey],tblDepartments[DepartmentName],"")</f>
        <v>Operations</v>
      </c>
      <c r="O315" s="8" t="str">
        <f>_xlfn.XLOOKUP(tblFinancials[[#This Row],[BusinessUnitKey]],tblBusinessUnits[BusinessUnitKey],tblBusinessUnits[BusinessUnitName],"")</f>
        <v>Retail</v>
      </c>
      <c r="P315" s="8" t="str">
        <f>_xlfn.XLOOKUP(tblFinancials[[#This Row],[RegionKey]],tblRegions[RegionKey],tblRegions[RegionName],"")</f>
        <v>South</v>
      </c>
    </row>
    <row r="316" spans="1:16">
      <c r="A316">
        <v>20230901</v>
      </c>
      <c r="B316">
        <v>7</v>
      </c>
      <c r="C316">
        <v>2</v>
      </c>
      <c r="D316">
        <v>4</v>
      </c>
      <c r="E316">
        <v>17</v>
      </c>
      <c r="F316" t="s">
        <v>92</v>
      </c>
      <c r="G316">
        <v>-7398.01</v>
      </c>
      <c r="H316">
        <f>_xlfn.XLOOKUP(tblFinancials[[#This Row],[DateKey]],tblCalendar[DateKey],tblCalendar[FullDate],"")</f>
        <v>45170</v>
      </c>
      <c r="I316">
        <f>_xlfn.XLOOKUP(tblFinancials[[#This Row],[AccountKey]],tblAccounts[AccountKey],tblAccounts[AccountNumber],"")</f>
        <v>6120</v>
      </c>
      <c r="J316" t="str">
        <f>_xlfn.XLOOKUP(tblFinancials[[#This Row],[AccountKey]],tblAccounts[AccountKey],tblAccounts[AccountName],"")</f>
        <v>Employee Benefits</v>
      </c>
      <c r="K316" s="8" t="str">
        <f>_xlfn.XLOOKUP(tblFinancials[[#This Row],[AccountKey]],tblAccounts[AccountKey],tblAccounts[FinancialStatement],"")</f>
        <v>Income Statement</v>
      </c>
      <c r="L316" s="8" t="str">
        <f>_xlfn.XLOOKUP(tblFinancials[[#This Row],[AccountKey]],tblAccounts[AccountKey],tblAccounts[AccountCategory],"")</f>
        <v>Operating Expense</v>
      </c>
      <c r="M316" s="8" t="str">
        <f>_xlfn.XLOOKUP(tblFinancials[[#This Row],[AccountKey]],tblAccounts[AccountKey],tblAccounts[NormalBalance],"")</f>
        <v>Debit</v>
      </c>
      <c r="N316" s="8" t="str">
        <f>_xlfn.XLOOKUP(tblFinancials[[#This Row],[DepartmentKey]],tblDepartments[DepartmentKey],tblDepartments[DepartmentName],"")</f>
        <v>Information Technology</v>
      </c>
      <c r="O316" s="8" t="str">
        <f>_xlfn.XLOOKUP(tblFinancials[[#This Row],[BusinessUnitKey]],tblBusinessUnits[BusinessUnitKey],tblBusinessUnits[BusinessUnitName],"")</f>
        <v>Wholesale</v>
      </c>
      <c r="P316" s="8" t="str">
        <f>_xlfn.XLOOKUP(tblFinancials[[#This Row],[RegionKey]],tblRegions[RegionKey],tblRegions[RegionName],"")</f>
        <v>East</v>
      </c>
    </row>
    <row r="317" spans="1:16">
      <c r="A317">
        <v>20230901</v>
      </c>
      <c r="B317">
        <v>8</v>
      </c>
      <c r="C317">
        <v>3</v>
      </c>
      <c r="D317">
        <v>4</v>
      </c>
      <c r="E317">
        <v>21</v>
      </c>
      <c r="F317" t="s">
        <v>92</v>
      </c>
      <c r="G317">
        <v>-6052.63</v>
      </c>
      <c r="H317">
        <f>_xlfn.XLOOKUP(tblFinancials[[#This Row],[DateKey]],tblCalendar[DateKey],tblCalendar[FullDate],"")</f>
        <v>45170</v>
      </c>
      <c r="I317">
        <f>_xlfn.XLOOKUP(tblFinancials[[#This Row],[AccountKey]],tblAccounts[AccountKey],tblAccounts[AccountNumber],"")</f>
        <v>6600</v>
      </c>
      <c r="J317" t="str">
        <f>_xlfn.XLOOKUP(tblFinancials[[#This Row],[AccountKey]],tblAccounts[AccountKey],tblAccounts[AccountName],"")</f>
        <v>Utilities Expense</v>
      </c>
      <c r="K317" s="8" t="str">
        <f>_xlfn.XLOOKUP(tblFinancials[[#This Row],[AccountKey]],tblAccounts[AccountKey],tblAccounts[FinancialStatement],"")</f>
        <v>Income Statement</v>
      </c>
      <c r="L317" s="8" t="str">
        <f>_xlfn.XLOOKUP(tblFinancials[[#This Row],[AccountKey]],tblAccounts[AccountKey],tblAccounts[AccountCategory],"")</f>
        <v>Operating Expense</v>
      </c>
      <c r="M317" s="8" t="str">
        <f>_xlfn.XLOOKUP(tblFinancials[[#This Row],[AccountKey]],tblAccounts[AccountKey],tblAccounts[NormalBalance],"")</f>
        <v>Debit</v>
      </c>
      <c r="N317" s="8" t="str">
        <f>_xlfn.XLOOKUP(tblFinancials[[#This Row],[DepartmentKey]],tblDepartments[DepartmentKey],tblDepartments[DepartmentName],"")</f>
        <v>Customer Service</v>
      </c>
      <c r="O317" s="8" t="str">
        <f>_xlfn.XLOOKUP(tblFinancials[[#This Row],[BusinessUnitKey]],tblBusinessUnits[BusinessUnitKey],tblBusinessUnits[BusinessUnitName],"")</f>
        <v>Retail</v>
      </c>
      <c r="P317" s="8" t="str">
        <f>_xlfn.XLOOKUP(tblFinancials[[#This Row],[RegionKey]],tblRegions[RegionKey],tblRegions[RegionName],"")</f>
        <v>East</v>
      </c>
    </row>
    <row r="318" spans="1:16">
      <c r="A318">
        <v>20230901</v>
      </c>
      <c r="B318">
        <v>5</v>
      </c>
      <c r="C318">
        <v>3</v>
      </c>
      <c r="D318">
        <v>3</v>
      </c>
      <c r="E318">
        <v>18</v>
      </c>
      <c r="F318" t="s">
        <v>92</v>
      </c>
      <c r="G318">
        <v>-5839.63</v>
      </c>
      <c r="H318">
        <f>_xlfn.XLOOKUP(tblFinancials[[#This Row],[DateKey]],tblCalendar[DateKey],tblCalendar[FullDate],"")</f>
        <v>45170</v>
      </c>
      <c r="I318">
        <f>_xlfn.XLOOKUP(tblFinancials[[#This Row],[AccountKey]],tblAccounts[AccountKey],tblAccounts[AccountNumber],"")</f>
        <v>6200</v>
      </c>
      <c r="J318" t="str">
        <f>_xlfn.XLOOKUP(tblFinancials[[#This Row],[AccountKey]],tblAccounts[AccountKey],tblAccounts[AccountName],"")</f>
        <v>Marketing Expense</v>
      </c>
      <c r="K318" s="8" t="str">
        <f>_xlfn.XLOOKUP(tblFinancials[[#This Row],[AccountKey]],tblAccounts[AccountKey],tblAccounts[FinancialStatement],"")</f>
        <v>Income Statement</v>
      </c>
      <c r="L318" s="8" t="str">
        <f>_xlfn.XLOOKUP(tblFinancials[[#This Row],[AccountKey]],tblAccounts[AccountKey],tblAccounts[AccountCategory],"")</f>
        <v>Operating Expense</v>
      </c>
      <c r="M318" s="8" t="str">
        <f>_xlfn.XLOOKUP(tblFinancials[[#This Row],[AccountKey]],tblAccounts[AccountKey],tblAccounts[NormalBalance],"")</f>
        <v>Debit</v>
      </c>
      <c r="N318" s="8" t="str">
        <f>_xlfn.XLOOKUP(tblFinancials[[#This Row],[DepartmentKey]],tblDepartments[DepartmentKey],tblDepartments[DepartmentName],"")</f>
        <v>Marketing</v>
      </c>
      <c r="O318" s="8" t="str">
        <f>_xlfn.XLOOKUP(tblFinancials[[#This Row],[BusinessUnitKey]],tblBusinessUnits[BusinessUnitKey],tblBusinessUnits[BusinessUnitName],"")</f>
        <v>Retail</v>
      </c>
      <c r="P318" s="8" t="str">
        <f>_xlfn.XLOOKUP(tblFinancials[[#This Row],[RegionKey]],tblRegions[RegionKey],tblRegions[RegionName],"")</f>
        <v>South</v>
      </c>
    </row>
    <row r="319" spans="1:16">
      <c r="A319">
        <v>20230901</v>
      </c>
      <c r="B319">
        <v>4</v>
      </c>
      <c r="C319">
        <v>1</v>
      </c>
      <c r="D319">
        <v>2</v>
      </c>
      <c r="E319">
        <v>19</v>
      </c>
      <c r="F319" t="s">
        <v>92</v>
      </c>
      <c r="G319">
        <v>-6902.4</v>
      </c>
      <c r="H319">
        <f>_xlfn.XLOOKUP(tblFinancials[[#This Row],[DateKey]],tblCalendar[DateKey],tblCalendar[FullDate],"")</f>
        <v>45170</v>
      </c>
      <c r="I319">
        <f>_xlfn.XLOOKUP(tblFinancials[[#This Row],[AccountKey]],tblAccounts[AccountKey],tblAccounts[AccountNumber],"")</f>
        <v>6300</v>
      </c>
      <c r="J319" t="str">
        <f>_xlfn.XLOOKUP(tblFinancials[[#This Row],[AccountKey]],tblAccounts[AccountKey],tblAccounts[AccountName],"")</f>
        <v>Software Expense</v>
      </c>
      <c r="K319" s="8" t="str">
        <f>_xlfn.XLOOKUP(tblFinancials[[#This Row],[AccountKey]],tblAccounts[AccountKey],tblAccounts[FinancialStatement],"")</f>
        <v>Income Statement</v>
      </c>
      <c r="L319" s="8" t="str">
        <f>_xlfn.XLOOKUP(tblFinancials[[#This Row],[AccountKey]],tblAccounts[AccountKey],tblAccounts[AccountCategory],"")</f>
        <v>Operating Expense</v>
      </c>
      <c r="M319" s="8" t="str">
        <f>_xlfn.XLOOKUP(tblFinancials[[#This Row],[AccountKey]],tblAccounts[AccountKey],tblAccounts[NormalBalance],"")</f>
        <v>Debit</v>
      </c>
      <c r="N319" s="8" t="str">
        <f>_xlfn.XLOOKUP(tblFinancials[[#This Row],[DepartmentKey]],tblDepartments[DepartmentKey],tblDepartments[DepartmentName],"")</f>
        <v>Sales</v>
      </c>
      <c r="O319" s="8" t="str">
        <f>_xlfn.XLOOKUP(tblFinancials[[#This Row],[BusinessUnitKey]],tblBusinessUnits[BusinessUnitKey],tblBusinessUnits[BusinessUnitName],"")</f>
        <v xml:space="preserve">Manufacturing </v>
      </c>
      <c r="P319" s="8" t="str">
        <f>_xlfn.XLOOKUP(tblFinancials[[#This Row],[RegionKey]],tblRegions[RegionKey],tblRegions[RegionName],"")</f>
        <v>Midwest</v>
      </c>
    </row>
    <row r="320" spans="1:16">
      <c r="A320">
        <v>20230901</v>
      </c>
      <c r="B320">
        <v>5</v>
      </c>
      <c r="C320">
        <v>3</v>
      </c>
      <c r="D320">
        <v>1</v>
      </c>
      <c r="E320">
        <v>17</v>
      </c>
      <c r="F320" t="s">
        <v>92</v>
      </c>
      <c r="G320">
        <v>-6234.38</v>
      </c>
      <c r="H320">
        <f>_xlfn.XLOOKUP(tblFinancials[[#This Row],[DateKey]],tblCalendar[DateKey],tblCalendar[FullDate],"")</f>
        <v>45170</v>
      </c>
      <c r="I320">
        <f>_xlfn.XLOOKUP(tblFinancials[[#This Row],[AccountKey]],tblAccounts[AccountKey],tblAccounts[AccountNumber],"")</f>
        <v>6120</v>
      </c>
      <c r="J320" t="str">
        <f>_xlfn.XLOOKUP(tblFinancials[[#This Row],[AccountKey]],tblAccounts[AccountKey],tblAccounts[AccountName],"")</f>
        <v>Employee Benefits</v>
      </c>
      <c r="K320" s="8" t="str">
        <f>_xlfn.XLOOKUP(tblFinancials[[#This Row],[AccountKey]],tblAccounts[AccountKey],tblAccounts[FinancialStatement],"")</f>
        <v>Income Statement</v>
      </c>
      <c r="L320" s="8" t="str">
        <f>_xlfn.XLOOKUP(tblFinancials[[#This Row],[AccountKey]],tblAccounts[AccountKey],tblAccounts[AccountCategory],"")</f>
        <v>Operating Expense</v>
      </c>
      <c r="M320" s="8" t="str">
        <f>_xlfn.XLOOKUP(tblFinancials[[#This Row],[AccountKey]],tblAccounts[AccountKey],tblAccounts[NormalBalance],"")</f>
        <v>Debit</v>
      </c>
      <c r="N320" s="8" t="str">
        <f>_xlfn.XLOOKUP(tblFinancials[[#This Row],[DepartmentKey]],tblDepartments[DepartmentKey],tblDepartments[DepartmentName],"")</f>
        <v>Marketing</v>
      </c>
      <c r="O320" s="8" t="str">
        <f>_xlfn.XLOOKUP(tblFinancials[[#This Row],[BusinessUnitKey]],tblBusinessUnits[BusinessUnitKey],tblBusinessUnits[BusinessUnitName],"")</f>
        <v>Retail</v>
      </c>
      <c r="P320" s="8" t="str">
        <f>_xlfn.XLOOKUP(tblFinancials[[#This Row],[RegionKey]],tblRegions[RegionKey],tblRegions[RegionName],"")</f>
        <v>West</v>
      </c>
    </row>
    <row r="321" spans="1:16">
      <c r="A321">
        <v>20230901</v>
      </c>
      <c r="B321">
        <v>1</v>
      </c>
      <c r="C321">
        <v>2</v>
      </c>
      <c r="D321">
        <v>1</v>
      </c>
      <c r="E321">
        <v>23</v>
      </c>
      <c r="F321" t="s">
        <v>92</v>
      </c>
      <c r="G321">
        <v>-7356.2</v>
      </c>
      <c r="H321">
        <f>_xlfn.XLOOKUP(tblFinancials[[#This Row],[DateKey]],tblCalendar[DateKey],tblCalendar[FullDate],"")</f>
        <v>45170</v>
      </c>
      <c r="I321">
        <f>_xlfn.XLOOKUP(tblFinancials[[#This Row],[AccountKey]],tblAccounts[AccountKey],tblAccounts[AccountNumber],"")</f>
        <v>6800</v>
      </c>
      <c r="J321" t="str">
        <f>_xlfn.XLOOKUP(tblFinancials[[#This Row],[AccountKey]],tblAccounts[AccountKey],tblAccounts[AccountName],"")</f>
        <v>Travel Expense</v>
      </c>
      <c r="K321" s="8" t="str">
        <f>_xlfn.XLOOKUP(tblFinancials[[#This Row],[AccountKey]],tblAccounts[AccountKey],tblAccounts[FinancialStatement],"")</f>
        <v>Income Statement</v>
      </c>
      <c r="L321" s="8" t="str">
        <f>_xlfn.XLOOKUP(tblFinancials[[#This Row],[AccountKey]],tblAccounts[AccountKey],tblAccounts[AccountCategory],"")</f>
        <v>Operating Expense</v>
      </c>
      <c r="M321" s="8" t="str">
        <f>_xlfn.XLOOKUP(tblFinancials[[#This Row],[AccountKey]],tblAccounts[AccountKey],tblAccounts[NormalBalance],"")</f>
        <v>Debit</v>
      </c>
      <c r="N321" s="8" t="str">
        <f>_xlfn.XLOOKUP(tblFinancials[[#This Row],[DepartmentKey]],tblDepartments[DepartmentKey],tblDepartments[DepartmentName],"")</f>
        <v>Executive</v>
      </c>
      <c r="O321" s="8" t="str">
        <f>_xlfn.XLOOKUP(tblFinancials[[#This Row],[BusinessUnitKey]],tblBusinessUnits[BusinessUnitKey],tblBusinessUnits[BusinessUnitName],"")</f>
        <v>Wholesale</v>
      </c>
      <c r="P321" s="8" t="str">
        <f>_xlfn.XLOOKUP(tblFinancials[[#This Row],[RegionKey]],tblRegions[RegionKey],tblRegions[RegionName],"")</f>
        <v>West</v>
      </c>
    </row>
    <row r="322" spans="1:16">
      <c r="A322">
        <v>20230901</v>
      </c>
      <c r="B322">
        <v>1</v>
      </c>
      <c r="C322">
        <v>4</v>
      </c>
      <c r="D322">
        <v>4</v>
      </c>
      <c r="E322">
        <v>20</v>
      </c>
      <c r="F322" t="s">
        <v>92</v>
      </c>
      <c r="G322">
        <v>-6520.42</v>
      </c>
      <c r="H322">
        <f>_xlfn.XLOOKUP(tblFinancials[[#This Row],[DateKey]],tblCalendar[DateKey],tblCalendar[FullDate],"")</f>
        <v>45170</v>
      </c>
      <c r="I322">
        <f>_xlfn.XLOOKUP(tblFinancials[[#This Row],[AccountKey]],tblAccounts[AccountKey],tblAccounts[AccountNumber],"")</f>
        <v>6500</v>
      </c>
      <c r="J322" t="str">
        <f>_xlfn.XLOOKUP(tblFinancials[[#This Row],[AccountKey]],tblAccounts[AccountKey],tblAccounts[AccountName],"")</f>
        <v>Rent Expense</v>
      </c>
      <c r="K322" s="8" t="str">
        <f>_xlfn.XLOOKUP(tblFinancials[[#This Row],[AccountKey]],tblAccounts[AccountKey],tblAccounts[FinancialStatement],"")</f>
        <v>Income Statement</v>
      </c>
      <c r="L322" s="8" t="str">
        <f>_xlfn.XLOOKUP(tblFinancials[[#This Row],[AccountKey]],tblAccounts[AccountKey],tblAccounts[AccountCategory],"")</f>
        <v>Operating Expense</v>
      </c>
      <c r="M322" s="8" t="str">
        <f>_xlfn.XLOOKUP(tblFinancials[[#This Row],[AccountKey]],tblAccounts[AccountKey],tblAccounts[NormalBalance],"")</f>
        <v>Debit</v>
      </c>
      <c r="N322" s="8" t="str">
        <f>_xlfn.XLOOKUP(tblFinancials[[#This Row],[DepartmentKey]],tblDepartments[DepartmentKey],tblDepartments[DepartmentName],"")</f>
        <v>Executive</v>
      </c>
      <c r="O322" s="8" t="str">
        <f>_xlfn.XLOOKUP(tblFinancials[[#This Row],[BusinessUnitKey]],tblBusinessUnits[BusinessUnitKey],tblBusinessUnits[BusinessUnitName],"")</f>
        <v>E-Commerce</v>
      </c>
      <c r="P322" s="8" t="str">
        <f>_xlfn.XLOOKUP(tblFinancials[[#This Row],[RegionKey]],tblRegions[RegionKey],tblRegions[RegionName],"")</f>
        <v>East</v>
      </c>
    </row>
    <row r="323" spans="1:16">
      <c r="A323">
        <v>20230901</v>
      </c>
      <c r="B323">
        <v>3</v>
      </c>
      <c r="C323">
        <v>3</v>
      </c>
      <c r="D323">
        <v>1</v>
      </c>
      <c r="E323">
        <v>19</v>
      </c>
      <c r="F323" t="s">
        <v>92</v>
      </c>
      <c r="G323">
        <v>-7345.51</v>
      </c>
      <c r="H323">
        <f>_xlfn.XLOOKUP(tblFinancials[[#This Row],[DateKey]],tblCalendar[DateKey],tblCalendar[FullDate],"")</f>
        <v>45170</v>
      </c>
      <c r="I323">
        <f>_xlfn.XLOOKUP(tblFinancials[[#This Row],[AccountKey]],tblAccounts[AccountKey],tblAccounts[AccountNumber],"")</f>
        <v>6300</v>
      </c>
      <c r="J323" t="str">
        <f>_xlfn.XLOOKUP(tblFinancials[[#This Row],[AccountKey]],tblAccounts[AccountKey],tblAccounts[AccountName],"")</f>
        <v>Software Expense</v>
      </c>
      <c r="K323" s="8" t="str">
        <f>_xlfn.XLOOKUP(tblFinancials[[#This Row],[AccountKey]],tblAccounts[AccountKey],tblAccounts[FinancialStatement],"")</f>
        <v>Income Statement</v>
      </c>
      <c r="L323" s="8" t="str">
        <f>_xlfn.XLOOKUP(tblFinancials[[#This Row],[AccountKey]],tblAccounts[AccountKey],tblAccounts[AccountCategory],"")</f>
        <v>Operating Expense</v>
      </c>
      <c r="M323" s="8" t="str">
        <f>_xlfn.XLOOKUP(tblFinancials[[#This Row],[AccountKey]],tblAccounts[AccountKey],tblAccounts[NormalBalance],"")</f>
        <v>Debit</v>
      </c>
      <c r="N323" s="8" t="str">
        <f>_xlfn.XLOOKUP(tblFinancials[[#This Row],[DepartmentKey]],tblDepartments[DepartmentKey],tblDepartments[DepartmentName],"")</f>
        <v>Human Resources</v>
      </c>
      <c r="O323" s="8" t="str">
        <f>_xlfn.XLOOKUP(tblFinancials[[#This Row],[BusinessUnitKey]],tblBusinessUnits[BusinessUnitKey],tblBusinessUnits[BusinessUnitName],"")</f>
        <v>Retail</v>
      </c>
      <c r="P323" s="8" t="str">
        <f>_xlfn.XLOOKUP(tblFinancials[[#This Row],[RegionKey]],tblRegions[RegionKey],tblRegions[RegionName],"")</f>
        <v>West</v>
      </c>
    </row>
    <row r="324" spans="1:16">
      <c r="A324">
        <v>20230901</v>
      </c>
      <c r="B324">
        <v>7</v>
      </c>
      <c r="C324">
        <v>1</v>
      </c>
      <c r="D324">
        <v>2</v>
      </c>
      <c r="E324">
        <v>24</v>
      </c>
      <c r="F324" t="s">
        <v>92</v>
      </c>
      <c r="G324">
        <v>-7261.41</v>
      </c>
      <c r="H324">
        <f>_xlfn.XLOOKUP(tblFinancials[[#This Row],[DateKey]],tblCalendar[DateKey],tblCalendar[FullDate],"")</f>
        <v>45170</v>
      </c>
      <c r="I324">
        <f>_xlfn.XLOOKUP(tblFinancials[[#This Row],[AccountKey]],tblAccounts[AccountKey],tblAccounts[AccountNumber],"")</f>
        <v>6900</v>
      </c>
      <c r="J324" t="str">
        <f>_xlfn.XLOOKUP(tblFinancials[[#This Row],[AccountKey]],tblAccounts[AccountKey],tblAccounts[AccountName],"")</f>
        <v>Professional Services</v>
      </c>
      <c r="K324" s="8" t="str">
        <f>_xlfn.XLOOKUP(tblFinancials[[#This Row],[AccountKey]],tblAccounts[AccountKey],tblAccounts[FinancialStatement],"")</f>
        <v>Income Statement</v>
      </c>
      <c r="L324" s="8" t="str">
        <f>_xlfn.XLOOKUP(tblFinancials[[#This Row],[AccountKey]],tblAccounts[AccountKey],tblAccounts[AccountCategory],"")</f>
        <v>Operating Expense</v>
      </c>
      <c r="M324" s="8" t="str">
        <f>_xlfn.XLOOKUP(tblFinancials[[#This Row],[AccountKey]],tblAccounts[AccountKey],tblAccounts[NormalBalance],"")</f>
        <v>Debit</v>
      </c>
      <c r="N324" s="8" t="str">
        <f>_xlfn.XLOOKUP(tblFinancials[[#This Row],[DepartmentKey]],tblDepartments[DepartmentKey],tblDepartments[DepartmentName],"")</f>
        <v>Information Technology</v>
      </c>
      <c r="O324" s="8" t="str">
        <f>_xlfn.XLOOKUP(tblFinancials[[#This Row],[BusinessUnitKey]],tblBusinessUnits[BusinessUnitKey],tblBusinessUnits[BusinessUnitName],"")</f>
        <v xml:space="preserve">Manufacturing </v>
      </c>
      <c r="P324" s="8" t="str">
        <f>_xlfn.XLOOKUP(tblFinancials[[#This Row],[RegionKey]],tblRegions[RegionKey],tblRegions[RegionName],"")</f>
        <v>Midwest</v>
      </c>
    </row>
    <row r="325" spans="1:16">
      <c r="A325">
        <v>20230901</v>
      </c>
      <c r="B325">
        <v>2</v>
      </c>
      <c r="C325">
        <v>4</v>
      </c>
      <c r="D325">
        <v>1</v>
      </c>
      <c r="E325">
        <v>16</v>
      </c>
      <c r="F325" t="s">
        <v>92</v>
      </c>
      <c r="G325">
        <v>-5857.64</v>
      </c>
      <c r="H325">
        <f>_xlfn.XLOOKUP(tblFinancials[[#This Row],[DateKey]],tblCalendar[DateKey],tblCalendar[FullDate],"")</f>
        <v>45170</v>
      </c>
      <c r="I325">
        <f>_xlfn.XLOOKUP(tblFinancials[[#This Row],[AccountKey]],tblAccounts[AccountKey],tblAccounts[AccountNumber],"")</f>
        <v>6110</v>
      </c>
      <c r="J325" t="str">
        <f>_xlfn.XLOOKUP(tblFinancials[[#This Row],[AccountKey]],tblAccounts[AccountKey],tblAccounts[AccountName],"")</f>
        <v>Payroll Taxes</v>
      </c>
      <c r="K325" s="8" t="str">
        <f>_xlfn.XLOOKUP(tblFinancials[[#This Row],[AccountKey]],tblAccounts[AccountKey],tblAccounts[FinancialStatement],"")</f>
        <v>Income Statement</v>
      </c>
      <c r="L325" s="8" t="str">
        <f>_xlfn.XLOOKUP(tblFinancials[[#This Row],[AccountKey]],tblAccounts[AccountKey],tblAccounts[AccountCategory],"")</f>
        <v>Operating Expense</v>
      </c>
      <c r="M325" s="8" t="str">
        <f>_xlfn.XLOOKUP(tblFinancials[[#This Row],[AccountKey]],tblAccounts[AccountKey],tblAccounts[NormalBalance],"")</f>
        <v>Debit</v>
      </c>
      <c r="N325" s="8" t="str">
        <f>_xlfn.XLOOKUP(tblFinancials[[#This Row],[DepartmentKey]],tblDepartments[DepartmentKey],tblDepartments[DepartmentName],"")</f>
        <v>Finance</v>
      </c>
      <c r="O325" s="8" t="str">
        <f>_xlfn.XLOOKUP(tblFinancials[[#This Row],[BusinessUnitKey]],tblBusinessUnits[BusinessUnitKey],tblBusinessUnits[BusinessUnitName],"")</f>
        <v>E-Commerce</v>
      </c>
      <c r="P325" s="8" t="str">
        <f>_xlfn.XLOOKUP(tblFinancials[[#This Row],[RegionKey]],tblRegions[RegionKey],tblRegions[RegionName],"")</f>
        <v>West</v>
      </c>
    </row>
    <row r="326" spans="1:16">
      <c r="A326">
        <v>20231001</v>
      </c>
      <c r="B326">
        <v>5</v>
      </c>
      <c r="C326">
        <v>2</v>
      </c>
      <c r="D326">
        <v>2</v>
      </c>
      <c r="E326">
        <v>12</v>
      </c>
      <c r="F326" t="s">
        <v>92</v>
      </c>
      <c r="G326">
        <v>29618.86</v>
      </c>
      <c r="H326">
        <f>_xlfn.XLOOKUP(tblFinancials[[#This Row],[DateKey]],tblCalendar[DateKey],tblCalendar[FullDate],"")</f>
        <v>45200</v>
      </c>
      <c r="I326">
        <f>_xlfn.XLOOKUP(tblFinancials[[#This Row],[AccountKey]],tblAccounts[AccountKey],tblAccounts[AccountNumber],"")</f>
        <v>4010</v>
      </c>
      <c r="J326" t="str">
        <f>_xlfn.XLOOKUP(tblFinancials[[#This Row],[AccountKey]],tblAccounts[AccountKey],tblAccounts[AccountName],"")</f>
        <v>Service Revenue</v>
      </c>
      <c r="K326" s="8" t="str">
        <f>_xlfn.XLOOKUP(tblFinancials[[#This Row],[AccountKey]],tblAccounts[AccountKey],tblAccounts[FinancialStatement],"")</f>
        <v>Income Statement</v>
      </c>
      <c r="L326" s="8" t="str">
        <f>_xlfn.XLOOKUP(tblFinancials[[#This Row],[AccountKey]],tblAccounts[AccountKey],tblAccounts[AccountCategory],"")</f>
        <v>Revenue</v>
      </c>
      <c r="M326" s="8" t="str">
        <f>_xlfn.XLOOKUP(tblFinancials[[#This Row],[AccountKey]],tblAccounts[AccountKey],tblAccounts[NormalBalance],"")</f>
        <v>Credit</v>
      </c>
      <c r="N326" s="8" t="str">
        <f>_xlfn.XLOOKUP(tblFinancials[[#This Row],[DepartmentKey]],tblDepartments[DepartmentKey],tblDepartments[DepartmentName],"")</f>
        <v>Marketing</v>
      </c>
      <c r="O326" s="8" t="str">
        <f>_xlfn.XLOOKUP(tblFinancials[[#This Row],[BusinessUnitKey]],tblBusinessUnits[BusinessUnitKey],tblBusinessUnits[BusinessUnitName],"")</f>
        <v>Wholesale</v>
      </c>
      <c r="P326" s="8" t="str">
        <f>_xlfn.XLOOKUP(tblFinancials[[#This Row],[RegionKey]],tblRegions[RegionKey],tblRegions[RegionName],"")</f>
        <v>Midwest</v>
      </c>
    </row>
    <row r="327" spans="1:16">
      <c r="A327">
        <v>20231001</v>
      </c>
      <c r="B327">
        <v>2</v>
      </c>
      <c r="C327">
        <v>1</v>
      </c>
      <c r="D327">
        <v>2</v>
      </c>
      <c r="E327">
        <v>12</v>
      </c>
      <c r="F327" t="s">
        <v>92</v>
      </c>
      <c r="G327">
        <v>27642.97</v>
      </c>
      <c r="H327">
        <f>_xlfn.XLOOKUP(tblFinancials[[#This Row],[DateKey]],tblCalendar[DateKey],tblCalendar[FullDate],"")</f>
        <v>45200</v>
      </c>
      <c r="I327">
        <f>_xlfn.XLOOKUP(tblFinancials[[#This Row],[AccountKey]],tblAccounts[AccountKey],tblAccounts[AccountNumber],"")</f>
        <v>4010</v>
      </c>
      <c r="J327" t="str">
        <f>_xlfn.XLOOKUP(tblFinancials[[#This Row],[AccountKey]],tblAccounts[AccountKey],tblAccounts[AccountName],"")</f>
        <v>Service Revenue</v>
      </c>
      <c r="K327" s="8" t="str">
        <f>_xlfn.XLOOKUP(tblFinancials[[#This Row],[AccountKey]],tblAccounts[AccountKey],tblAccounts[FinancialStatement],"")</f>
        <v>Income Statement</v>
      </c>
      <c r="L327" s="8" t="str">
        <f>_xlfn.XLOOKUP(tblFinancials[[#This Row],[AccountKey]],tblAccounts[AccountKey],tblAccounts[AccountCategory],"")</f>
        <v>Revenue</v>
      </c>
      <c r="M327" s="8" t="str">
        <f>_xlfn.XLOOKUP(tblFinancials[[#This Row],[AccountKey]],tblAccounts[AccountKey],tblAccounts[NormalBalance],"")</f>
        <v>Credit</v>
      </c>
      <c r="N327" s="8" t="str">
        <f>_xlfn.XLOOKUP(tblFinancials[[#This Row],[DepartmentKey]],tblDepartments[DepartmentKey],tblDepartments[DepartmentName],"")</f>
        <v>Finance</v>
      </c>
      <c r="O327" s="8" t="str">
        <f>_xlfn.XLOOKUP(tblFinancials[[#This Row],[BusinessUnitKey]],tblBusinessUnits[BusinessUnitKey],tblBusinessUnits[BusinessUnitName],"")</f>
        <v xml:space="preserve">Manufacturing </v>
      </c>
      <c r="P327" s="8" t="str">
        <f>_xlfn.XLOOKUP(tblFinancials[[#This Row],[RegionKey]],tblRegions[RegionKey],tblRegions[RegionName],"")</f>
        <v>Midwest</v>
      </c>
    </row>
    <row r="328" spans="1:16">
      <c r="A328">
        <v>20231001</v>
      </c>
      <c r="B328">
        <v>6</v>
      </c>
      <c r="C328">
        <v>4</v>
      </c>
      <c r="D328">
        <v>2</v>
      </c>
      <c r="E328">
        <v>13</v>
      </c>
      <c r="F328" t="s">
        <v>92</v>
      </c>
      <c r="G328">
        <v>28142.68</v>
      </c>
      <c r="H328">
        <f>_xlfn.XLOOKUP(tblFinancials[[#This Row],[DateKey]],tblCalendar[DateKey],tblCalendar[FullDate],"")</f>
        <v>45200</v>
      </c>
      <c r="I328">
        <f>_xlfn.XLOOKUP(tblFinancials[[#This Row],[AccountKey]],tblAccounts[AccountKey],tblAccounts[AccountNumber],"")</f>
        <v>4020</v>
      </c>
      <c r="J328" t="str">
        <f>_xlfn.XLOOKUP(tblFinancials[[#This Row],[AccountKey]],tblAccounts[AccountKey],tblAccounts[AccountName],"")</f>
        <v>Online Revenue</v>
      </c>
      <c r="K328" s="8" t="str">
        <f>_xlfn.XLOOKUP(tblFinancials[[#This Row],[AccountKey]],tblAccounts[AccountKey],tblAccounts[FinancialStatement],"")</f>
        <v>Income Statement</v>
      </c>
      <c r="L328" s="8" t="str">
        <f>_xlfn.XLOOKUP(tblFinancials[[#This Row],[AccountKey]],tblAccounts[AccountKey],tblAccounts[AccountCategory],"")</f>
        <v>Revenue</v>
      </c>
      <c r="M328" s="8" t="str">
        <f>_xlfn.XLOOKUP(tblFinancials[[#This Row],[AccountKey]],tblAccounts[AccountKey],tblAccounts[NormalBalance],"")</f>
        <v>Credit</v>
      </c>
      <c r="N328" s="8" t="str">
        <f>_xlfn.XLOOKUP(tblFinancials[[#This Row],[DepartmentKey]],tblDepartments[DepartmentKey],tblDepartments[DepartmentName],"")</f>
        <v>Operations</v>
      </c>
      <c r="O328" s="8" t="str">
        <f>_xlfn.XLOOKUP(tblFinancials[[#This Row],[BusinessUnitKey]],tblBusinessUnits[BusinessUnitKey],tblBusinessUnits[BusinessUnitName],"")</f>
        <v>E-Commerce</v>
      </c>
      <c r="P328" s="8" t="str">
        <f>_xlfn.XLOOKUP(tblFinancials[[#This Row],[RegionKey]],tblRegions[RegionKey],tblRegions[RegionName],"")</f>
        <v>Midwest</v>
      </c>
    </row>
    <row r="329" spans="1:16">
      <c r="A329">
        <v>20231001</v>
      </c>
      <c r="B329">
        <v>6</v>
      </c>
      <c r="C329">
        <v>2</v>
      </c>
      <c r="D329">
        <v>3</v>
      </c>
      <c r="E329">
        <v>12</v>
      </c>
      <c r="F329" t="s">
        <v>92</v>
      </c>
      <c r="G329">
        <v>29233.73</v>
      </c>
      <c r="H329">
        <f>_xlfn.XLOOKUP(tblFinancials[[#This Row],[DateKey]],tblCalendar[DateKey],tblCalendar[FullDate],"")</f>
        <v>45200</v>
      </c>
      <c r="I329">
        <f>_xlfn.XLOOKUP(tblFinancials[[#This Row],[AccountKey]],tblAccounts[AccountKey],tblAccounts[AccountNumber],"")</f>
        <v>4010</v>
      </c>
      <c r="J329" t="str">
        <f>_xlfn.XLOOKUP(tblFinancials[[#This Row],[AccountKey]],tblAccounts[AccountKey],tblAccounts[AccountName],"")</f>
        <v>Service Revenue</v>
      </c>
      <c r="K329" s="8" t="str">
        <f>_xlfn.XLOOKUP(tblFinancials[[#This Row],[AccountKey]],tblAccounts[AccountKey],tblAccounts[FinancialStatement],"")</f>
        <v>Income Statement</v>
      </c>
      <c r="L329" s="8" t="str">
        <f>_xlfn.XLOOKUP(tblFinancials[[#This Row],[AccountKey]],tblAccounts[AccountKey],tblAccounts[AccountCategory],"")</f>
        <v>Revenue</v>
      </c>
      <c r="M329" s="8" t="str">
        <f>_xlfn.XLOOKUP(tblFinancials[[#This Row],[AccountKey]],tblAccounts[AccountKey],tblAccounts[NormalBalance],"")</f>
        <v>Credit</v>
      </c>
      <c r="N329" s="8" t="str">
        <f>_xlfn.XLOOKUP(tblFinancials[[#This Row],[DepartmentKey]],tblDepartments[DepartmentKey],tblDepartments[DepartmentName],"")</f>
        <v>Operations</v>
      </c>
      <c r="O329" s="8" t="str">
        <f>_xlfn.XLOOKUP(tblFinancials[[#This Row],[BusinessUnitKey]],tblBusinessUnits[BusinessUnitKey],tblBusinessUnits[BusinessUnitName],"")</f>
        <v>Wholesale</v>
      </c>
      <c r="P329" s="8" t="str">
        <f>_xlfn.XLOOKUP(tblFinancials[[#This Row],[RegionKey]],tblRegions[RegionKey],tblRegions[RegionName],"")</f>
        <v>South</v>
      </c>
    </row>
    <row r="330" spans="1:16">
      <c r="A330">
        <v>20231001</v>
      </c>
      <c r="B330">
        <v>2</v>
      </c>
      <c r="C330">
        <v>2</v>
      </c>
      <c r="D330">
        <v>3</v>
      </c>
      <c r="E330">
        <v>13</v>
      </c>
      <c r="F330" t="s">
        <v>92</v>
      </c>
      <c r="G330">
        <v>29248.49</v>
      </c>
      <c r="H330">
        <f>_xlfn.XLOOKUP(tblFinancials[[#This Row],[DateKey]],tblCalendar[DateKey],tblCalendar[FullDate],"")</f>
        <v>45200</v>
      </c>
      <c r="I330">
        <f>_xlfn.XLOOKUP(tblFinancials[[#This Row],[AccountKey]],tblAccounts[AccountKey],tblAccounts[AccountNumber],"")</f>
        <v>4020</v>
      </c>
      <c r="J330" t="str">
        <f>_xlfn.XLOOKUP(tblFinancials[[#This Row],[AccountKey]],tblAccounts[AccountKey],tblAccounts[AccountName],"")</f>
        <v>Online Revenue</v>
      </c>
      <c r="K330" s="8" t="str">
        <f>_xlfn.XLOOKUP(tblFinancials[[#This Row],[AccountKey]],tblAccounts[AccountKey],tblAccounts[FinancialStatement],"")</f>
        <v>Income Statement</v>
      </c>
      <c r="L330" s="8" t="str">
        <f>_xlfn.XLOOKUP(tblFinancials[[#This Row],[AccountKey]],tblAccounts[AccountKey],tblAccounts[AccountCategory],"")</f>
        <v>Revenue</v>
      </c>
      <c r="M330" s="8" t="str">
        <f>_xlfn.XLOOKUP(tblFinancials[[#This Row],[AccountKey]],tblAccounts[AccountKey],tblAccounts[NormalBalance],"")</f>
        <v>Credit</v>
      </c>
      <c r="N330" s="8" t="str">
        <f>_xlfn.XLOOKUP(tblFinancials[[#This Row],[DepartmentKey]],tblDepartments[DepartmentKey],tblDepartments[DepartmentName],"")</f>
        <v>Finance</v>
      </c>
      <c r="O330" s="8" t="str">
        <f>_xlfn.XLOOKUP(tblFinancials[[#This Row],[BusinessUnitKey]],tblBusinessUnits[BusinessUnitKey],tblBusinessUnits[BusinessUnitName],"")</f>
        <v>Wholesale</v>
      </c>
      <c r="P330" s="8" t="str">
        <f>_xlfn.XLOOKUP(tblFinancials[[#This Row],[RegionKey]],tblRegions[RegionKey],tblRegions[RegionName],"")</f>
        <v>South</v>
      </c>
    </row>
    <row r="331" spans="1:16">
      <c r="A331">
        <v>20231001</v>
      </c>
      <c r="B331">
        <v>8</v>
      </c>
      <c r="C331">
        <v>1</v>
      </c>
      <c r="D331">
        <v>1</v>
      </c>
      <c r="E331">
        <v>12</v>
      </c>
      <c r="F331" t="s">
        <v>92</v>
      </c>
      <c r="G331">
        <v>29933.68</v>
      </c>
      <c r="H331">
        <f>_xlfn.XLOOKUP(tblFinancials[[#This Row],[DateKey]],tblCalendar[DateKey],tblCalendar[FullDate],"")</f>
        <v>45200</v>
      </c>
      <c r="I331">
        <f>_xlfn.XLOOKUP(tblFinancials[[#This Row],[AccountKey]],tblAccounts[AccountKey],tblAccounts[AccountNumber],"")</f>
        <v>4010</v>
      </c>
      <c r="J331" t="str">
        <f>_xlfn.XLOOKUP(tblFinancials[[#This Row],[AccountKey]],tblAccounts[AccountKey],tblAccounts[AccountName],"")</f>
        <v>Service Revenue</v>
      </c>
      <c r="K331" s="8" t="str">
        <f>_xlfn.XLOOKUP(tblFinancials[[#This Row],[AccountKey]],tblAccounts[AccountKey],tblAccounts[FinancialStatement],"")</f>
        <v>Income Statement</v>
      </c>
      <c r="L331" s="8" t="str">
        <f>_xlfn.XLOOKUP(tblFinancials[[#This Row],[AccountKey]],tblAccounts[AccountKey],tblAccounts[AccountCategory],"")</f>
        <v>Revenue</v>
      </c>
      <c r="M331" s="8" t="str">
        <f>_xlfn.XLOOKUP(tblFinancials[[#This Row],[AccountKey]],tblAccounts[AccountKey],tblAccounts[NormalBalance],"")</f>
        <v>Credit</v>
      </c>
      <c r="N331" s="8" t="str">
        <f>_xlfn.XLOOKUP(tblFinancials[[#This Row],[DepartmentKey]],tblDepartments[DepartmentKey],tblDepartments[DepartmentName],"")</f>
        <v>Customer Service</v>
      </c>
      <c r="O331" s="8" t="str">
        <f>_xlfn.XLOOKUP(tblFinancials[[#This Row],[BusinessUnitKey]],tblBusinessUnits[BusinessUnitKey],tblBusinessUnits[BusinessUnitName],"")</f>
        <v xml:space="preserve">Manufacturing </v>
      </c>
      <c r="P331" s="8" t="str">
        <f>_xlfn.XLOOKUP(tblFinancials[[#This Row],[RegionKey]],tblRegions[RegionKey],tblRegions[RegionName],"")</f>
        <v>West</v>
      </c>
    </row>
    <row r="332" spans="1:16">
      <c r="A332">
        <v>20231001</v>
      </c>
      <c r="B332">
        <v>3</v>
      </c>
      <c r="C332">
        <v>3</v>
      </c>
      <c r="D332">
        <v>1</v>
      </c>
      <c r="E332">
        <v>13</v>
      </c>
      <c r="F332" t="s">
        <v>92</v>
      </c>
      <c r="G332">
        <v>27699.93</v>
      </c>
      <c r="H332">
        <f>_xlfn.XLOOKUP(tblFinancials[[#This Row],[DateKey]],tblCalendar[DateKey],tblCalendar[FullDate],"")</f>
        <v>45200</v>
      </c>
      <c r="I332">
        <f>_xlfn.XLOOKUP(tblFinancials[[#This Row],[AccountKey]],tblAccounts[AccountKey],tblAccounts[AccountNumber],"")</f>
        <v>4020</v>
      </c>
      <c r="J332" t="str">
        <f>_xlfn.XLOOKUP(tblFinancials[[#This Row],[AccountKey]],tblAccounts[AccountKey],tblAccounts[AccountName],"")</f>
        <v>Online Revenue</v>
      </c>
      <c r="K332" s="8" t="str">
        <f>_xlfn.XLOOKUP(tblFinancials[[#This Row],[AccountKey]],tblAccounts[AccountKey],tblAccounts[FinancialStatement],"")</f>
        <v>Income Statement</v>
      </c>
      <c r="L332" s="8" t="str">
        <f>_xlfn.XLOOKUP(tblFinancials[[#This Row],[AccountKey]],tblAccounts[AccountKey],tblAccounts[AccountCategory],"")</f>
        <v>Revenue</v>
      </c>
      <c r="M332" s="8" t="str">
        <f>_xlfn.XLOOKUP(tblFinancials[[#This Row],[AccountKey]],tblAccounts[AccountKey],tblAccounts[NormalBalance],"")</f>
        <v>Credit</v>
      </c>
      <c r="N332" s="8" t="str">
        <f>_xlfn.XLOOKUP(tblFinancials[[#This Row],[DepartmentKey]],tblDepartments[DepartmentKey],tblDepartments[DepartmentName],"")</f>
        <v>Human Resources</v>
      </c>
      <c r="O332" s="8" t="str">
        <f>_xlfn.XLOOKUP(tblFinancials[[#This Row],[BusinessUnitKey]],tblBusinessUnits[BusinessUnitKey],tblBusinessUnits[BusinessUnitName],"")</f>
        <v>Retail</v>
      </c>
      <c r="P332" s="8" t="str">
        <f>_xlfn.XLOOKUP(tblFinancials[[#This Row],[RegionKey]],tblRegions[RegionKey],tblRegions[RegionName],"")</f>
        <v>West</v>
      </c>
    </row>
    <row r="333" spans="1:16">
      <c r="A333">
        <v>20231001</v>
      </c>
      <c r="B333">
        <v>4</v>
      </c>
      <c r="C333">
        <v>4</v>
      </c>
      <c r="D333">
        <v>3</v>
      </c>
      <c r="E333">
        <v>13</v>
      </c>
      <c r="F333" t="s">
        <v>92</v>
      </c>
      <c r="G333">
        <v>27824.75</v>
      </c>
      <c r="H333">
        <f>_xlfn.XLOOKUP(tblFinancials[[#This Row],[DateKey]],tblCalendar[DateKey],tblCalendar[FullDate],"")</f>
        <v>45200</v>
      </c>
      <c r="I333">
        <f>_xlfn.XLOOKUP(tblFinancials[[#This Row],[AccountKey]],tblAccounts[AccountKey],tblAccounts[AccountNumber],"")</f>
        <v>4020</v>
      </c>
      <c r="J333" t="str">
        <f>_xlfn.XLOOKUP(tblFinancials[[#This Row],[AccountKey]],tblAccounts[AccountKey],tblAccounts[AccountName],"")</f>
        <v>Online Revenue</v>
      </c>
      <c r="K333" s="8" t="str">
        <f>_xlfn.XLOOKUP(tblFinancials[[#This Row],[AccountKey]],tblAccounts[AccountKey],tblAccounts[FinancialStatement],"")</f>
        <v>Income Statement</v>
      </c>
      <c r="L333" s="8" t="str">
        <f>_xlfn.XLOOKUP(tblFinancials[[#This Row],[AccountKey]],tblAccounts[AccountKey],tblAccounts[AccountCategory],"")</f>
        <v>Revenue</v>
      </c>
      <c r="M333" s="8" t="str">
        <f>_xlfn.XLOOKUP(tblFinancials[[#This Row],[AccountKey]],tblAccounts[AccountKey],tblAccounts[NormalBalance],"")</f>
        <v>Credit</v>
      </c>
      <c r="N333" s="8" t="str">
        <f>_xlfn.XLOOKUP(tblFinancials[[#This Row],[DepartmentKey]],tblDepartments[DepartmentKey],tblDepartments[DepartmentName],"")</f>
        <v>Sales</v>
      </c>
      <c r="O333" s="8" t="str">
        <f>_xlfn.XLOOKUP(tblFinancials[[#This Row],[BusinessUnitKey]],tblBusinessUnits[BusinessUnitKey],tblBusinessUnits[BusinessUnitName],"")</f>
        <v>E-Commerce</v>
      </c>
      <c r="P333" s="8" t="str">
        <f>_xlfn.XLOOKUP(tblFinancials[[#This Row],[RegionKey]],tblRegions[RegionKey],tblRegions[RegionName],"")</f>
        <v>South</v>
      </c>
    </row>
    <row r="334" spans="1:16">
      <c r="A334">
        <v>20231001</v>
      </c>
      <c r="B334">
        <v>6</v>
      </c>
      <c r="C334">
        <v>4</v>
      </c>
      <c r="D334">
        <v>1</v>
      </c>
      <c r="E334">
        <v>13</v>
      </c>
      <c r="F334" t="s">
        <v>92</v>
      </c>
      <c r="G334">
        <v>29183.119999999999</v>
      </c>
      <c r="H334">
        <f>_xlfn.XLOOKUP(tblFinancials[[#This Row],[DateKey]],tblCalendar[DateKey],tblCalendar[FullDate],"")</f>
        <v>45200</v>
      </c>
      <c r="I334">
        <f>_xlfn.XLOOKUP(tblFinancials[[#This Row],[AccountKey]],tblAccounts[AccountKey],tblAccounts[AccountNumber],"")</f>
        <v>4020</v>
      </c>
      <c r="J334" t="str">
        <f>_xlfn.XLOOKUP(tblFinancials[[#This Row],[AccountKey]],tblAccounts[AccountKey],tblAccounts[AccountName],"")</f>
        <v>Online Revenue</v>
      </c>
      <c r="K334" s="8" t="str">
        <f>_xlfn.XLOOKUP(tblFinancials[[#This Row],[AccountKey]],tblAccounts[AccountKey],tblAccounts[FinancialStatement],"")</f>
        <v>Income Statement</v>
      </c>
      <c r="L334" s="8" t="str">
        <f>_xlfn.XLOOKUP(tblFinancials[[#This Row],[AccountKey]],tblAccounts[AccountKey],tblAccounts[AccountCategory],"")</f>
        <v>Revenue</v>
      </c>
      <c r="M334" s="8" t="str">
        <f>_xlfn.XLOOKUP(tblFinancials[[#This Row],[AccountKey]],tblAccounts[AccountKey],tblAccounts[NormalBalance],"")</f>
        <v>Credit</v>
      </c>
      <c r="N334" s="8" t="str">
        <f>_xlfn.XLOOKUP(tblFinancials[[#This Row],[DepartmentKey]],tblDepartments[DepartmentKey],tblDepartments[DepartmentName],"")</f>
        <v>Operations</v>
      </c>
      <c r="O334" s="8" t="str">
        <f>_xlfn.XLOOKUP(tblFinancials[[#This Row],[BusinessUnitKey]],tblBusinessUnits[BusinessUnitKey],tblBusinessUnits[BusinessUnitName],"")</f>
        <v>E-Commerce</v>
      </c>
      <c r="P334" s="8" t="str">
        <f>_xlfn.XLOOKUP(tblFinancials[[#This Row],[RegionKey]],tblRegions[RegionKey],tblRegions[RegionName],"")</f>
        <v>West</v>
      </c>
    </row>
    <row r="335" spans="1:16">
      <c r="A335">
        <v>20231001</v>
      </c>
      <c r="B335">
        <v>6</v>
      </c>
      <c r="C335">
        <v>2</v>
      </c>
      <c r="D335">
        <v>4</v>
      </c>
      <c r="E335">
        <v>11</v>
      </c>
      <c r="F335" t="s">
        <v>92</v>
      </c>
      <c r="G335">
        <v>27658.41</v>
      </c>
      <c r="H335">
        <f>_xlfn.XLOOKUP(tblFinancials[[#This Row],[DateKey]],tblCalendar[DateKey],tblCalendar[FullDate],"")</f>
        <v>45200</v>
      </c>
      <c r="I335">
        <f>_xlfn.XLOOKUP(tblFinancials[[#This Row],[AccountKey]],tblAccounts[AccountKey],tblAccounts[AccountNumber],"")</f>
        <v>4000</v>
      </c>
      <c r="J335" t="str">
        <f>_xlfn.XLOOKUP(tblFinancials[[#This Row],[AccountKey]],tblAccounts[AccountKey],tblAccounts[AccountName],"")</f>
        <v>Product Revenue</v>
      </c>
      <c r="K335" s="8" t="str">
        <f>_xlfn.XLOOKUP(tblFinancials[[#This Row],[AccountKey]],tblAccounts[AccountKey],tblAccounts[FinancialStatement],"")</f>
        <v>Income Statement</v>
      </c>
      <c r="L335" s="8" t="str">
        <f>_xlfn.XLOOKUP(tblFinancials[[#This Row],[AccountKey]],tblAccounts[AccountKey],tblAccounts[AccountCategory],"")</f>
        <v>Revenue</v>
      </c>
      <c r="M335" s="8" t="str">
        <f>_xlfn.XLOOKUP(tblFinancials[[#This Row],[AccountKey]],tblAccounts[AccountKey],tblAccounts[NormalBalance],"")</f>
        <v>Credit</v>
      </c>
      <c r="N335" s="8" t="str">
        <f>_xlfn.XLOOKUP(tblFinancials[[#This Row],[DepartmentKey]],tblDepartments[DepartmentKey],tblDepartments[DepartmentName],"")</f>
        <v>Operations</v>
      </c>
      <c r="O335" s="8" t="str">
        <f>_xlfn.XLOOKUP(tblFinancials[[#This Row],[BusinessUnitKey]],tblBusinessUnits[BusinessUnitKey],tblBusinessUnits[BusinessUnitName],"")</f>
        <v>Wholesale</v>
      </c>
      <c r="P335" s="8" t="str">
        <f>_xlfn.XLOOKUP(tblFinancials[[#This Row],[RegionKey]],tblRegions[RegionKey],tblRegions[RegionName],"")</f>
        <v>East</v>
      </c>
    </row>
    <row r="336" spans="1:16">
      <c r="A336">
        <v>20231001</v>
      </c>
      <c r="B336">
        <v>8</v>
      </c>
      <c r="C336">
        <v>4</v>
      </c>
      <c r="D336">
        <v>2</v>
      </c>
      <c r="E336">
        <v>13</v>
      </c>
      <c r="F336" t="s">
        <v>92</v>
      </c>
      <c r="G336">
        <v>27842.13</v>
      </c>
      <c r="H336">
        <f>_xlfn.XLOOKUP(tblFinancials[[#This Row],[DateKey]],tblCalendar[DateKey],tblCalendar[FullDate],"")</f>
        <v>45200</v>
      </c>
      <c r="I336">
        <f>_xlfn.XLOOKUP(tblFinancials[[#This Row],[AccountKey]],tblAccounts[AccountKey],tblAccounts[AccountNumber],"")</f>
        <v>4020</v>
      </c>
      <c r="J336" t="str">
        <f>_xlfn.XLOOKUP(tblFinancials[[#This Row],[AccountKey]],tblAccounts[AccountKey],tblAccounts[AccountName],"")</f>
        <v>Online Revenue</v>
      </c>
      <c r="K336" s="8" t="str">
        <f>_xlfn.XLOOKUP(tblFinancials[[#This Row],[AccountKey]],tblAccounts[AccountKey],tblAccounts[FinancialStatement],"")</f>
        <v>Income Statement</v>
      </c>
      <c r="L336" s="8" t="str">
        <f>_xlfn.XLOOKUP(tblFinancials[[#This Row],[AccountKey]],tblAccounts[AccountKey],tblAccounts[AccountCategory],"")</f>
        <v>Revenue</v>
      </c>
      <c r="M336" s="8" t="str">
        <f>_xlfn.XLOOKUP(tblFinancials[[#This Row],[AccountKey]],tblAccounts[AccountKey],tblAccounts[NormalBalance],"")</f>
        <v>Credit</v>
      </c>
      <c r="N336" s="8" t="str">
        <f>_xlfn.XLOOKUP(tblFinancials[[#This Row],[DepartmentKey]],tblDepartments[DepartmentKey],tblDepartments[DepartmentName],"")</f>
        <v>Customer Service</v>
      </c>
      <c r="O336" s="8" t="str">
        <f>_xlfn.XLOOKUP(tblFinancials[[#This Row],[BusinessUnitKey]],tblBusinessUnits[BusinessUnitKey],tblBusinessUnits[BusinessUnitName],"")</f>
        <v>E-Commerce</v>
      </c>
      <c r="P336" s="8" t="str">
        <f>_xlfn.XLOOKUP(tblFinancials[[#This Row],[RegionKey]],tblRegions[RegionKey],tblRegions[RegionName],"")</f>
        <v>Midwest</v>
      </c>
    </row>
    <row r="337" spans="1:16">
      <c r="A337">
        <v>20231001</v>
      </c>
      <c r="B337">
        <v>3</v>
      </c>
      <c r="C337">
        <v>1</v>
      </c>
      <c r="D337">
        <v>1</v>
      </c>
      <c r="E337">
        <v>13</v>
      </c>
      <c r="F337" t="s">
        <v>92</v>
      </c>
      <c r="G337">
        <v>31389.1</v>
      </c>
      <c r="H337">
        <f>_xlfn.XLOOKUP(tblFinancials[[#This Row],[DateKey]],tblCalendar[DateKey],tblCalendar[FullDate],"")</f>
        <v>45200</v>
      </c>
      <c r="I337">
        <f>_xlfn.XLOOKUP(tblFinancials[[#This Row],[AccountKey]],tblAccounts[AccountKey],tblAccounts[AccountNumber],"")</f>
        <v>4020</v>
      </c>
      <c r="J337" t="str">
        <f>_xlfn.XLOOKUP(tblFinancials[[#This Row],[AccountKey]],tblAccounts[AccountKey],tblAccounts[AccountName],"")</f>
        <v>Online Revenue</v>
      </c>
      <c r="K337" s="8" t="str">
        <f>_xlfn.XLOOKUP(tblFinancials[[#This Row],[AccountKey]],tblAccounts[AccountKey],tblAccounts[FinancialStatement],"")</f>
        <v>Income Statement</v>
      </c>
      <c r="L337" s="8" t="str">
        <f>_xlfn.XLOOKUP(tblFinancials[[#This Row],[AccountKey]],tblAccounts[AccountKey],tblAccounts[AccountCategory],"")</f>
        <v>Revenue</v>
      </c>
      <c r="M337" s="8" t="str">
        <f>_xlfn.XLOOKUP(tblFinancials[[#This Row],[AccountKey]],tblAccounts[AccountKey],tblAccounts[NormalBalance],"")</f>
        <v>Credit</v>
      </c>
      <c r="N337" s="8" t="str">
        <f>_xlfn.XLOOKUP(tblFinancials[[#This Row],[DepartmentKey]],tblDepartments[DepartmentKey],tblDepartments[DepartmentName],"")</f>
        <v>Human Resources</v>
      </c>
      <c r="O337" s="8" t="str">
        <f>_xlfn.XLOOKUP(tblFinancials[[#This Row],[BusinessUnitKey]],tblBusinessUnits[BusinessUnitKey],tblBusinessUnits[BusinessUnitName],"")</f>
        <v xml:space="preserve">Manufacturing </v>
      </c>
      <c r="P337" s="8" t="str">
        <f>_xlfn.XLOOKUP(tblFinancials[[#This Row],[RegionKey]],tblRegions[RegionKey],tblRegions[RegionName],"")</f>
        <v>West</v>
      </c>
    </row>
    <row r="338" spans="1:16">
      <c r="A338">
        <v>20231001</v>
      </c>
      <c r="B338">
        <v>7</v>
      </c>
      <c r="C338">
        <v>1</v>
      </c>
      <c r="D338">
        <v>2</v>
      </c>
      <c r="E338">
        <v>14</v>
      </c>
      <c r="F338" t="s">
        <v>92</v>
      </c>
      <c r="G338">
        <v>-16776.240000000002</v>
      </c>
      <c r="H338">
        <f>_xlfn.XLOOKUP(tblFinancials[[#This Row],[DateKey]],tblCalendar[DateKey],tblCalendar[FullDate],"")</f>
        <v>45200</v>
      </c>
      <c r="I338">
        <f>_xlfn.XLOOKUP(tblFinancials[[#This Row],[AccountKey]],tblAccounts[AccountKey],tblAccounts[AccountNumber],"")</f>
        <v>5000</v>
      </c>
      <c r="J338" t="str">
        <f>_xlfn.XLOOKUP(tblFinancials[[#This Row],[AccountKey]],tblAccounts[AccountKey],tblAccounts[AccountName],"")</f>
        <v>Cost of Goods Sold</v>
      </c>
      <c r="K338" s="8" t="str">
        <f>_xlfn.XLOOKUP(tblFinancials[[#This Row],[AccountKey]],tblAccounts[AccountKey],tblAccounts[FinancialStatement],"")</f>
        <v>Income Statement</v>
      </c>
      <c r="L338" s="8" t="str">
        <f>_xlfn.XLOOKUP(tblFinancials[[#This Row],[AccountKey]],tblAccounts[AccountKey],tblAccounts[AccountCategory],"")</f>
        <v>Cost of Sales</v>
      </c>
      <c r="M338" s="8" t="str">
        <f>_xlfn.XLOOKUP(tblFinancials[[#This Row],[AccountKey]],tblAccounts[AccountKey],tblAccounts[NormalBalance],"")</f>
        <v>Debit</v>
      </c>
      <c r="N338" s="8" t="str">
        <f>_xlfn.XLOOKUP(tblFinancials[[#This Row],[DepartmentKey]],tblDepartments[DepartmentKey],tblDepartments[DepartmentName],"")</f>
        <v>Information Technology</v>
      </c>
      <c r="O338" s="8" t="str">
        <f>_xlfn.XLOOKUP(tblFinancials[[#This Row],[BusinessUnitKey]],tblBusinessUnits[BusinessUnitKey],tblBusinessUnits[BusinessUnitName],"")</f>
        <v xml:space="preserve">Manufacturing </v>
      </c>
      <c r="P338" s="8" t="str">
        <f>_xlfn.XLOOKUP(tblFinancials[[#This Row],[RegionKey]],tblRegions[RegionKey],tblRegions[RegionName],"")</f>
        <v>Midwest</v>
      </c>
    </row>
    <row r="339" spans="1:16">
      <c r="A339">
        <v>20231001</v>
      </c>
      <c r="B339">
        <v>3</v>
      </c>
      <c r="C339">
        <v>4</v>
      </c>
      <c r="D339">
        <v>1</v>
      </c>
      <c r="E339">
        <v>14</v>
      </c>
      <c r="F339" t="s">
        <v>92</v>
      </c>
      <c r="G339">
        <v>-16834.38</v>
      </c>
      <c r="H339">
        <f>_xlfn.XLOOKUP(tblFinancials[[#This Row],[DateKey]],tblCalendar[DateKey],tblCalendar[FullDate],"")</f>
        <v>45200</v>
      </c>
      <c r="I339">
        <f>_xlfn.XLOOKUP(tblFinancials[[#This Row],[AccountKey]],tblAccounts[AccountKey],tblAccounts[AccountNumber],"")</f>
        <v>5000</v>
      </c>
      <c r="J339" t="str">
        <f>_xlfn.XLOOKUP(tblFinancials[[#This Row],[AccountKey]],tblAccounts[AccountKey],tblAccounts[AccountName],"")</f>
        <v>Cost of Goods Sold</v>
      </c>
      <c r="K339" s="8" t="str">
        <f>_xlfn.XLOOKUP(tblFinancials[[#This Row],[AccountKey]],tblAccounts[AccountKey],tblAccounts[FinancialStatement],"")</f>
        <v>Income Statement</v>
      </c>
      <c r="L339" s="8" t="str">
        <f>_xlfn.XLOOKUP(tblFinancials[[#This Row],[AccountKey]],tblAccounts[AccountKey],tblAccounts[AccountCategory],"")</f>
        <v>Cost of Sales</v>
      </c>
      <c r="M339" s="8" t="str">
        <f>_xlfn.XLOOKUP(tblFinancials[[#This Row],[AccountKey]],tblAccounts[AccountKey],tblAccounts[NormalBalance],"")</f>
        <v>Debit</v>
      </c>
      <c r="N339" s="8" t="str">
        <f>_xlfn.XLOOKUP(tblFinancials[[#This Row],[DepartmentKey]],tblDepartments[DepartmentKey],tblDepartments[DepartmentName],"")</f>
        <v>Human Resources</v>
      </c>
      <c r="O339" s="8" t="str">
        <f>_xlfn.XLOOKUP(tblFinancials[[#This Row],[BusinessUnitKey]],tblBusinessUnits[BusinessUnitKey],tblBusinessUnits[BusinessUnitName],"")</f>
        <v>E-Commerce</v>
      </c>
      <c r="P339" s="8" t="str">
        <f>_xlfn.XLOOKUP(tblFinancials[[#This Row],[RegionKey]],tblRegions[RegionKey],tblRegions[RegionName],"")</f>
        <v>West</v>
      </c>
    </row>
    <row r="340" spans="1:16">
      <c r="A340">
        <v>20231001</v>
      </c>
      <c r="B340">
        <v>4</v>
      </c>
      <c r="C340">
        <v>4</v>
      </c>
      <c r="D340">
        <v>1</v>
      </c>
      <c r="E340">
        <v>14</v>
      </c>
      <c r="F340" t="s">
        <v>92</v>
      </c>
      <c r="G340">
        <v>-15977.59</v>
      </c>
      <c r="H340">
        <f>_xlfn.XLOOKUP(tblFinancials[[#This Row],[DateKey]],tblCalendar[DateKey],tblCalendar[FullDate],"")</f>
        <v>45200</v>
      </c>
      <c r="I340">
        <f>_xlfn.XLOOKUP(tblFinancials[[#This Row],[AccountKey]],tblAccounts[AccountKey],tblAccounts[AccountNumber],"")</f>
        <v>5000</v>
      </c>
      <c r="J340" t="str">
        <f>_xlfn.XLOOKUP(tblFinancials[[#This Row],[AccountKey]],tblAccounts[AccountKey],tblAccounts[AccountName],"")</f>
        <v>Cost of Goods Sold</v>
      </c>
      <c r="K340" s="8" t="str">
        <f>_xlfn.XLOOKUP(tblFinancials[[#This Row],[AccountKey]],tblAccounts[AccountKey],tblAccounts[FinancialStatement],"")</f>
        <v>Income Statement</v>
      </c>
      <c r="L340" s="8" t="str">
        <f>_xlfn.XLOOKUP(tblFinancials[[#This Row],[AccountKey]],tblAccounts[AccountKey],tblAccounts[AccountCategory],"")</f>
        <v>Cost of Sales</v>
      </c>
      <c r="M340" s="8" t="str">
        <f>_xlfn.XLOOKUP(tblFinancials[[#This Row],[AccountKey]],tblAccounts[AccountKey],tblAccounts[NormalBalance],"")</f>
        <v>Debit</v>
      </c>
      <c r="N340" s="8" t="str">
        <f>_xlfn.XLOOKUP(tblFinancials[[#This Row],[DepartmentKey]],tblDepartments[DepartmentKey],tblDepartments[DepartmentName],"")</f>
        <v>Sales</v>
      </c>
      <c r="O340" s="8" t="str">
        <f>_xlfn.XLOOKUP(tblFinancials[[#This Row],[BusinessUnitKey]],tblBusinessUnits[BusinessUnitKey],tblBusinessUnits[BusinessUnitName],"")</f>
        <v>E-Commerce</v>
      </c>
      <c r="P340" s="8" t="str">
        <f>_xlfn.XLOOKUP(tblFinancials[[#This Row],[RegionKey]],tblRegions[RegionKey],tblRegions[RegionName],"")</f>
        <v>West</v>
      </c>
    </row>
    <row r="341" spans="1:16">
      <c r="A341">
        <v>20231001</v>
      </c>
      <c r="B341">
        <v>6</v>
      </c>
      <c r="C341">
        <v>3</v>
      </c>
      <c r="D341">
        <v>1</v>
      </c>
      <c r="E341">
        <v>14</v>
      </c>
      <c r="F341" t="s">
        <v>92</v>
      </c>
      <c r="G341">
        <v>-17493.86</v>
      </c>
      <c r="H341">
        <f>_xlfn.XLOOKUP(tblFinancials[[#This Row],[DateKey]],tblCalendar[DateKey],tblCalendar[FullDate],"")</f>
        <v>45200</v>
      </c>
      <c r="I341">
        <f>_xlfn.XLOOKUP(tblFinancials[[#This Row],[AccountKey]],tblAccounts[AccountKey],tblAccounts[AccountNumber],"")</f>
        <v>5000</v>
      </c>
      <c r="J341" t="str">
        <f>_xlfn.XLOOKUP(tblFinancials[[#This Row],[AccountKey]],tblAccounts[AccountKey],tblAccounts[AccountName],"")</f>
        <v>Cost of Goods Sold</v>
      </c>
      <c r="K341" s="8" t="str">
        <f>_xlfn.XLOOKUP(tblFinancials[[#This Row],[AccountKey]],tblAccounts[AccountKey],tblAccounts[FinancialStatement],"")</f>
        <v>Income Statement</v>
      </c>
      <c r="L341" s="8" t="str">
        <f>_xlfn.XLOOKUP(tblFinancials[[#This Row],[AccountKey]],tblAccounts[AccountKey],tblAccounts[AccountCategory],"")</f>
        <v>Cost of Sales</v>
      </c>
      <c r="M341" s="8" t="str">
        <f>_xlfn.XLOOKUP(tblFinancials[[#This Row],[AccountKey]],tblAccounts[AccountKey],tblAccounts[NormalBalance],"")</f>
        <v>Debit</v>
      </c>
      <c r="N341" s="8" t="str">
        <f>_xlfn.XLOOKUP(tblFinancials[[#This Row],[DepartmentKey]],tblDepartments[DepartmentKey],tblDepartments[DepartmentName],"")</f>
        <v>Operations</v>
      </c>
      <c r="O341" s="8" t="str">
        <f>_xlfn.XLOOKUP(tblFinancials[[#This Row],[BusinessUnitKey]],tblBusinessUnits[BusinessUnitKey],tblBusinessUnits[BusinessUnitName],"")</f>
        <v>Retail</v>
      </c>
      <c r="P341" s="8" t="str">
        <f>_xlfn.XLOOKUP(tblFinancials[[#This Row],[RegionKey]],tblRegions[RegionKey],tblRegions[RegionName],"")</f>
        <v>West</v>
      </c>
    </row>
    <row r="342" spans="1:16">
      <c r="A342">
        <v>20231001</v>
      </c>
      <c r="B342">
        <v>6</v>
      </c>
      <c r="C342">
        <v>4</v>
      </c>
      <c r="D342">
        <v>1</v>
      </c>
      <c r="E342">
        <v>14</v>
      </c>
      <c r="F342" t="s">
        <v>92</v>
      </c>
      <c r="G342">
        <v>-15720.2</v>
      </c>
      <c r="H342">
        <f>_xlfn.XLOOKUP(tblFinancials[[#This Row],[DateKey]],tblCalendar[DateKey],tblCalendar[FullDate],"")</f>
        <v>45200</v>
      </c>
      <c r="I342">
        <f>_xlfn.XLOOKUP(tblFinancials[[#This Row],[AccountKey]],tblAccounts[AccountKey],tblAccounts[AccountNumber],"")</f>
        <v>5000</v>
      </c>
      <c r="J342" t="str">
        <f>_xlfn.XLOOKUP(tblFinancials[[#This Row],[AccountKey]],tblAccounts[AccountKey],tblAccounts[AccountName],"")</f>
        <v>Cost of Goods Sold</v>
      </c>
      <c r="K342" s="8" t="str">
        <f>_xlfn.XLOOKUP(tblFinancials[[#This Row],[AccountKey]],tblAccounts[AccountKey],tblAccounts[FinancialStatement],"")</f>
        <v>Income Statement</v>
      </c>
      <c r="L342" s="8" t="str">
        <f>_xlfn.XLOOKUP(tblFinancials[[#This Row],[AccountKey]],tblAccounts[AccountKey],tblAccounts[AccountCategory],"")</f>
        <v>Cost of Sales</v>
      </c>
      <c r="M342" s="8" t="str">
        <f>_xlfn.XLOOKUP(tblFinancials[[#This Row],[AccountKey]],tblAccounts[AccountKey],tblAccounts[NormalBalance],"")</f>
        <v>Debit</v>
      </c>
      <c r="N342" s="8" t="str">
        <f>_xlfn.XLOOKUP(tblFinancials[[#This Row],[DepartmentKey]],tblDepartments[DepartmentKey],tblDepartments[DepartmentName],"")</f>
        <v>Operations</v>
      </c>
      <c r="O342" s="8" t="str">
        <f>_xlfn.XLOOKUP(tblFinancials[[#This Row],[BusinessUnitKey]],tblBusinessUnits[BusinessUnitKey],tblBusinessUnits[BusinessUnitName],"")</f>
        <v>E-Commerce</v>
      </c>
      <c r="P342" s="8" t="str">
        <f>_xlfn.XLOOKUP(tblFinancials[[#This Row],[RegionKey]],tblRegions[RegionKey],tblRegions[RegionName],"")</f>
        <v>West</v>
      </c>
    </row>
    <row r="343" spans="1:16">
      <c r="A343">
        <v>20231001</v>
      </c>
      <c r="B343">
        <v>2</v>
      </c>
      <c r="C343">
        <v>4</v>
      </c>
      <c r="D343">
        <v>4</v>
      </c>
      <c r="E343">
        <v>14</v>
      </c>
      <c r="F343" t="s">
        <v>92</v>
      </c>
      <c r="G343">
        <v>-17245</v>
      </c>
      <c r="H343">
        <f>_xlfn.XLOOKUP(tblFinancials[[#This Row],[DateKey]],tblCalendar[DateKey],tblCalendar[FullDate],"")</f>
        <v>45200</v>
      </c>
      <c r="I343">
        <f>_xlfn.XLOOKUP(tblFinancials[[#This Row],[AccountKey]],tblAccounts[AccountKey],tblAccounts[AccountNumber],"")</f>
        <v>5000</v>
      </c>
      <c r="J343" t="str">
        <f>_xlfn.XLOOKUP(tblFinancials[[#This Row],[AccountKey]],tblAccounts[AccountKey],tblAccounts[AccountName],"")</f>
        <v>Cost of Goods Sold</v>
      </c>
      <c r="K343" s="8" t="str">
        <f>_xlfn.XLOOKUP(tblFinancials[[#This Row],[AccountKey]],tblAccounts[AccountKey],tblAccounts[FinancialStatement],"")</f>
        <v>Income Statement</v>
      </c>
      <c r="L343" s="8" t="str">
        <f>_xlfn.XLOOKUP(tblFinancials[[#This Row],[AccountKey]],tblAccounts[AccountKey],tblAccounts[AccountCategory],"")</f>
        <v>Cost of Sales</v>
      </c>
      <c r="M343" s="8" t="str">
        <f>_xlfn.XLOOKUP(tblFinancials[[#This Row],[AccountKey]],tblAccounts[AccountKey],tblAccounts[NormalBalance],"")</f>
        <v>Debit</v>
      </c>
      <c r="N343" s="8" t="str">
        <f>_xlfn.XLOOKUP(tblFinancials[[#This Row],[DepartmentKey]],tblDepartments[DepartmentKey],tblDepartments[DepartmentName],"")</f>
        <v>Finance</v>
      </c>
      <c r="O343" s="8" t="str">
        <f>_xlfn.XLOOKUP(tblFinancials[[#This Row],[BusinessUnitKey]],tblBusinessUnits[BusinessUnitKey],tblBusinessUnits[BusinessUnitName],"")</f>
        <v>E-Commerce</v>
      </c>
      <c r="P343" s="8" t="str">
        <f>_xlfn.XLOOKUP(tblFinancials[[#This Row],[RegionKey]],tblRegions[RegionKey],tblRegions[RegionName],"")</f>
        <v>East</v>
      </c>
    </row>
    <row r="344" spans="1:16">
      <c r="A344">
        <v>20231001</v>
      </c>
      <c r="B344">
        <v>6</v>
      </c>
      <c r="C344">
        <v>2</v>
      </c>
      <c r="D344">
        <v>4</v>
      </c>
      <c r="E344">
        <v>14</v>
      </c>
      <c r="F344" t="s">
        <v>92</v>
      </c>
      <c r="G344">
        <v>-17581.240000000002</v>
      </c>
      <c r="H344">
        <f>_xlfn.XLOOKUP(tblFinancials[[#This Row],[DateKey]],tblCalendar[DateKey],tblCalendar[FullDate],"")</f>
        <v>45200</v>
      </c>
      <c r="I344">
        <f>_xlfn.XLOOKUP(tblFinancials[[#This Row],[AccountKey]],tblAccounts[AccountKey],tblAccounts[AccountNumber],"")</f>
        <v>5000</v>
      </c>
      <c r="J344" t="str">
        <f>_xlfn.XLOOKUP(tblFinancials[[#This Row],[AccountKey]],tblAccounts[AccountKey],tblAccounts[AccountName],"")</f>
        <v>Cost of Goods Sold</v>
      </c>
      <c r="K344" s="8" t="str">
        <f>_xlfn.XLOOKUP(tblFinancials[[#This Row],[AccountKey]],tblAccounts[AccountKey],tblAccounts[FinancialStatement],"")</f>
        <v>Income Statement</v>
      </c>
      <c r="L344" s="8" t="str">
        <f>_xlfn.XLOOKUP(tblFinancials[[#This Row],[AccountKey]],tblAccounts[AccountKey],tblAccounts[AccountCategory],"")</f>
        <v>Cost of Sales</v>
      </c>
      <c r="M344" s="8" t="str">
        <f>_xlfn.XLOOKUP(tblFinancials[[#This Row],[AccountKey]],tblAccounts[AccountKey],tblAccounts[NormalBalance],"")</f>
        <v>Debit</v>
      </c>
      <c r="N344" s="8" t="str">
        <f>_xlfn.XLOOKUP(tblFinancials[[#This Row],[DepartmentKey]],tblDepartments[DepartmentKey],tblDepartments[DepartmentName],"")</f>
        <v>Operations</v>
      </c>
      <c r="O344" s="8" t="str">
        <f>_xlfn.XLOOKUP(tblFinancials[[#This Row],[BusinessUnitKey]],tblBusinessUnits[BusinessUnitKey],tblBusinessUnits[BusinessUnitName],"")</f>
        <v>Wholesale</v>
      </c>
      <c r="P344" s="8" t="str">
        <f>_xlfn.XLOOKUP(tblFinancials[[#This Row],[RegionKey]],tblRegions[RegionKey],tblRegions[RegionName],"")</f>
        <v>East</v>
      </c>
    </row>
    <row r="345" spans="1:16">
      <c r="A345">
        <v>20231001</v>
      </c>
      <c r="B345">
        <v>6</v>
      </c>
      <c r="C345">
        <v>1</v>
      </c>
      <c r="D345">
        <v>4</v>
      </c>
      <c r="E345">
        <v>14</v>
      </c>
      <c r="F345" t="s">
        <v>92</v>
      </c>
      <c r="G345">
        <v>-17037.37</v>
      </c>
      <c r="H345">
        <f>_xlfn.XLOOKUP(tblFinancials[[#This Row],[DateKey]],tblCalendar[DateKey],tblCalendar[FullDate],"")</f>
        <v>45200</v>
      </c>
      <c r="I345">
        <f>_xlfn.XLOOKUP(tblFinancials[[#This Row],[AccountKey]],tblAccounts[AccountKey],tblAccounts[AccountNumber],"")</f>
        <v>5000</v>
      </c>
      <c r="J345" t="str">
        <f>_xlfn.XLOOKUP(tblFinancials[[#This Row],[AccountKey]],tblAccounts[AccountKey],tblAccounts[AccountName],"")</f>
        <v>Cost of Goods Sold</v>
      </c>
      <c r="K345" s="8" t="str">
        <f>_xlfn.XLOOKUP(tblFinancials[[#This Row],[AccountKey]],tblAccounts[AccountKey],tblAccounts[FinancialStatement],"")</f>
        <v>Income Statement</v>
      </c>
      <c r="L345" s="8" t="str">
        <f>_xlfn.XLOOKUP(tblFinancials[[#This Row],[AccountKey]],tblAccounts[AccountKey],tblAccounts[AccountCategory],"")</f>
        <v>Cost of Sales</v>
      </c>
      <c r="M345" s="8" t="str">
        <f>_xlfn.XLOOKUP(tblFinancials[[#This Row],[AccountKey]],tblAccounts[AccountKey],tblAccounts[NormalBalance],"")</f>
        <v>Debit</v>
      </c>
      <c r="N345" s="8" t="str">
        <f>_xlfn.XLOOKUP(tblFinancials[[#This Row],[DepartmentKey]],tblDepartments[DepartmentKey],tblDepartments[DepartmentName],"")</f>
        <v>Operations</v>
      </c>
      <c r="O345" s="8" t="str">
        <f>_xlfn.XLOOKUP(tblFinancials[[#This Row],[BusinessUnitKey]],tblBusinessUnits[BusinessUnitKey],tblBusinessUnits[BusinessUnitName],"")</f>
        <v xml:space="preserve">Manufacturing </v>
      </c>
      <c r="P345" s="8" t="str">
        <f>_xlfn.XLOOKUP(tblFinancials[[#This Row],[RegionKey]],tblRegions[RegionKey],tblRegions[RegionName],"")</f>
        <v>East</v>
      </c>
    </row>
    <row r="346" spans="1:16">
      <c r="A346">
        <v>20231001</v>
      </c>
      <c r="B346">
        <v>6</v>
      </c>
      <c r="C346">
        <v>3</v>
      </c>
      <c r="D346">
        <v>1</v>
      </c>
      <c r="E346">
        <v>14</v>
      </c>
      <c r="F346" t="s">
        <v>92</v>
      </c>
      <c r="G346">
        <v>-16810.599999999999</v>
      </c>
      <c r="H346">
        <f>_xlfn.XLOOKUP(tblFinancials[[#This Row],[DateKey]],tblCalendar[DateKey],tblCalendar[FullDate],"")</f>
        <v>45200</v>
      </c>
      <c r="I346">
        <f>_xlfn.XLOOKUP(tblFinancials[[#This Row],[AccountKey]],tblAccounts[AccountKey],tblAccounts[AccountNumber],"")</f>
        <v>5000</v>
      </c>
      <c r="J346" t="str">
        <f>_xlfn.XLOOKUP(tblFinancials[[#This Row],[AccountKey]],tblAccounts[AccountKey],tblAccounts[AccountName],"")</f>
        <v>Cost of Goods Sold</v>
      </c>
      <c r="K346" s="8" t="str">
        <f>_xlfn.XLOOKUP(tblFinancials[[#This Row],[AccountKey]],tblAccounts[AccountKey],tblAccounts[FinancialStatement],"")</f>
        <v>Income Statement</v>
      </c>
      <c r="L346" s="8" t="str">
        <f>_xlfn.XLOOKUP(tblFinancials[[#This Row],[AccountKey]],tblAccounts[AccountKey],tblAccounts[AccountCategory],"")</f>
        <v>Cost of Sales</v>
      </c>
      <c r="M346" s="8" t="str">
        <f>_xlfn.XLOOKUP(tblFinancials[[#This Row],[AccountKey]],tblAccounts[AccountKey],tblAccounts[NormalBalance],"")</f>
        <v>Debit</v>
      </c>
      <c r="N346" s="8" t="str">
        <f>_xlfn.XLOOKUP(tblFinancials[[#This Row],[DepartmentKey]],tblDepartments[DepartmentKey],tblDepartments[DepartmentName],"")</f>
        <v>Operations</v>
      </c>
      <c r="O346" s="8" t="str">
        <f>_xlfn.XLOOKUP(tblFinancials[[#This Row],[BusinessUnitKey]],tblBusinessUnits[BusinessUnitKey],tblBusinessUnits[BusinessUnitName],"")</f>
        <v>Retail</v>
      </c>
      <c r="P346" s="8" t="str">
        <f>_xlfn.XLOOKUP(tblFinancials[[#This Row],[RegionKey]],tblRegions[RegionKey],tblRegions[RegionName],"")</f>
        <v>West</v>
      </c>
    </row>
    <row r="347" spans="1:16">
      <c r="A347">
        <v>20231001</v>
      </c>
      <c r="B347">
        <v>3</v>
      </c>
      <c r="C347">
        <v>1</v>
      </c>
      <c r="D347">
        <v>2</v>
      </c>
      <c r="E347">
        <v>14</v>
      </c>
      <c r="F347" t="s">
        <v>92</v>
      </c>
      <c r="G347">
        <v>-16439.53</v>
      </c>
      <c r="H347">
        <f>_xlfn.XLOOKUP(tblFinancials[[#This Row],[DateKey]],tblCalendar[DateKey],tblCalendar[FullDate],"")</f>
        <v>45200</v>
      </c>
      <c r="I347">
        <f>_xlfn.XLOOKUP(tblFinancials[[#This Row],[AccountKey]],tblAccounts[AccountKey],tblAccounts[AccountNumber],"")</f>
        <v>5000</v>
      </c>
      <c r="J347" t="str">
        <f>_xlfn.XLOOKUP(tblFinancials[[#This Row],[AccountKey]],tblAccounts[AccountKey],tblAccounts[AccountName],"")</f>
        <v>Cost of Goods Sold</v>
      </c>
      <c r="K347" s="8" t="str">
        <f>_xlfn.XLOOKUP(tblFinancials[[#This Row],[AccountKey]],tblAccounts[AccountKey],tblAccounts[FinancialStatement],"")</f>
        <v>Income Statement</v>
      </c>
      <c r="L347" s="8" t="str">
        <f>_xlfn.XLOOKUP(tblFinancials[[#This Row],[AccountKey]],tblAccounts[AccountKey],tblAccounts[AccountCategory],"")</f>
        <v>Cost of Sales</v>
      </c>
      <c r="M347" s="8" t="str">
        <f>_xlfn.XLOOKUP(tblFinancials[[#This Row],[AccountKey]],tblAccounts[AccountKey],tblAccounts[NormalBalance],"")</f>
        <v>Debit</v>
      </c>
      <c r="N347" s="8" t="str">
        <f>_xlfn.XLOOKUP(tblFinancials[[#This Row],[DepartmentKey]],tblDepartments[DepartmentKey],tblDepartments[DepartmentName],"")</f>
        <v>Human Resources</v>
      </c>
      <c r="O347" s="8" t="str">
        <f>_xlfn.XLOOKUP(tblFinancials[[#This Row],[BusinessUnitKey]],tblBusinessUnits[BusinessUnitKey],tblBusinessUnits[BusinessUnitName],"")</f>
        <v xml:space="preserve">Manufacturing </v>
      </c>
      <c r="P347" s="8" t="str">
        <f>_xlfn.XLOOKUP(tblFinancials[[#This Row],[RegionKey]],tblRegions[RegionKey],tblRegions[RegionName],"")</f>
        <v>Midwest</v>
      </c>
    </row>
    <row r="348" spans="1:16">
      <c r="A348">
        <v>20231001</v>
      </c>
      <c r="B348">
        <v>8</v>
      </c>
      <c r="C348">
        <v>1</v>
      </c>
      <c r="D348">
        <v>1</v>
      </c>
      <c r="E348">
        <v>14</v>
      </c>
      <c r="F348" t="s">
        <v>92</v>
      </c>
      <c r="G348">
        <v>-16517.52</v>
      </c>
      <c r="H348">
        <f>_xlfn.XLOOKUP(tblFinancials[[#This Row],[DateKey]],tblCalendar[DateKey],tblCalendar[FullDate],"")</f>
        <v>45200</v>
      </c>
      <c r="I348">
        <f>_xlfn.XLOOKUP(tblFinancials[[#This Row],[AccountKey]],tblAccounts[AccountKey],tblAccounts[AccountNumber],"")</f>
        <v>5000</v>
      </c>
      <c r="J348" t="str">
        <f>_xlfn.XLOOKUP(tblFinancials[[#This Row],[AccountKey]],tblAccounts[AccountKey],tblAccounts[AccountName],"")</f>
        <v>Cost of Goods Sold</v>
      </c>
      <c r="K348" s="8" t="str">
        <f>_xlfn.XLOOKUP(tblFinancials[[#This Row],[AccountKey]],tblAccounts[AccountKey],tblAccounts[FinancialStatement],"")</f>
        <v>Income Statement</v>
      </c>
      <c r="L348" s="8" t="str">
        <f>_xlfn.XLOOKUP(tblFinancials[[#This Row],[AccountKey]],tblAccounts[AccountKey],tblAccounts[AccountCategory],"")</f>
        <v>Cost of Sales</v>
      </c>
      <c r="M348" s="8" t="str">
        <f>_xlfn.XLOOKUP(tblFinancials[[#This Row],[AccountKey]],tblAccounts[AccountKey],tblAccounts[NormalBalance],"")</f>
        <v>Debit</v>
      </c>
      <c r="N348" s="8" t="str">
        <f>_xlfn.XLOOKUP(tblFinancials[[#This Row],[DepartmentKey]],tblDepartments[DepartmentKey],tblDepartments[DepartmentName],"")</f>
        <v>Customer Service</v>
      </c>
      <c r="O348" s="8" t="str">
        <f>_xlfn.XLOOKUP(tblFinancials[[#This Row],[BusinessUnitKey]],tblBusinessUnits[BusinessUnitKey],tblBusinessUnits[BusinessUnitName],"")</f>
        <v xml:space="preserve">Manufacturing </v>
      </c>
      <c r="P348" s="8" t="str">
        <f>_xlfn.XLOOKUP(tblFinancials[[#This Row],[RegionKey]],tblRegions[RegionKey],tblRegions[RegionName],"")</f>
        <v>West</v>
      </c>
    </row>
    <row r="349" spans="1:16">
      <c r="A349">
        <v>20231001</v>
      </c>
      <c r="B349">
        <v>5</v>
      </c>
      <c r="C349">
        <v>2</v>
      </c>
      <c r="D349">
        <v>4</v>
      </c>
      <c r="E349">
        <v>14</v>
      </c>
      <c r="F349" t="s">
        <v>92</v>
      </c>
      <c r="G349">
        <v>-17635.91</v>
      </c>
      <c r="H349">
        <f>_xlfn.XLOOKUP(tblFinancials[[#This Row],[DateKey]],tblCalendar[DateKey],tblCalendar[FullDate],"")</f>
        <v>45200</v>
      </c>
      <c r="I349">
        <f>_xlfn.XLOOKUP(tblFinancials[[#This Row],[AccountKey]],tblAccounts[AccountKey],tblAccounts[AccountNumber],"")</f>
        <v>5000</v>
      </c>
      <c r="J349" t="str">
        <f>_xlfn.XLOOKUP(tblFinancials[[#This Row],[AccountKey]],tblAccounts[AccountKey],tblAccounts[AccountName],"")</f>
        <v>Cost of Goods Sold</v>
      </c>
      <c r="K349" s="8" t="str">
        <f>_xlfn.XLOOKUP(tblFinancials[[#This Row],[AccountKey]],tblAccounts[AccountKey],tblAccounts[FinancialStatement],"")</f>
        <v>Income Statement</v>
      </c>
      <c r="L349" s="8" t="str">
        <f>_xlfn.XLOOKUP(tblFinancials[[#This Row],[AccountKey]],tblAccounts[AccountKey],tblAccounts[AccountCategory],"")</f>
        <v>Cost of Sales</v>
      </c>
      <c r="M349" s="8" t="str">
        <f>_xlfn.XLOOKUP(tblFinancials[[#This Row],[AccountKey]],tblAccounts[AccountKey],tblAccounts[NormalBalance],"")</f>
        <v>Debit</v>
      </c>
      <c r="N349" s="8" t="str">
        <f>_xlfn.XLOOKUP(tblFinancials[[#This Row],[DepartmentKey]],tblDepartments[DepartmentKey],tblDepartments[DepartmentName],"")</f>
        <v>Marketing</v>
      </c>
      <c r="O349" s="8" t="str">
        <f>_xlfn.XLOOKUP(tblFinancials[[#This Row],[BusinessUnitKey]],tblBusinessUnits[BusinessUnitKey],tblBusinessUnits[BusinessUnitName],"")</f>
        <v>Wholesale</v>
      </c>
      <c r="P349" s="8" t="str">
        <f>_xlfn.XLOOKUP(tblFinancials[[#This Row],[RegionKey]],tblRegions[RegionKey],tblRegions[RegionName],"")</f>
        <v>East</v>
      </c>
    </row>
    <row r="350" spans="1:16">
      <c r="A350">
        <v>20231001</v>
      </c>
      <c r="B350">
        <v>3</v>
      </c>
      <c r="C350">
        <v>2</v>
      </c>
      <c r="D350">
        <v>4</v>
      </c>
      <c r="E350">
        <v>16</v>
      </c>
      <c r="F350" t="s">
        <v>92</v>
      </c>
      <c r="G350">
        <v>-6918</v>
      </c>
      <c r="H350">
        <f>_xlfn.XLOOKUP(tblFinancials[[#This Row],[DateKey]],tblCalendar[DateKey],tblCalendar[FullDate],"")</f>
        <v>45200</v>
      </c>
      <c r="I350">
        <f>_xlfn.XLOOKUP(tblFinancials[[#This Row],[AccountKey]],tblAccounts[AccountKey],tblAccounts[AccountNumber],"")</f>
        <v>6110</v>
      </c>
      <c r="J350" t="str">
        <f>_xlfn.XLOOKUP(tblFinancials[[#This Row],[AccountKey]],tblAccounts[AccountKey],tblAccounts[AccountName],"")</f>
        <v>Payroll Taxes</v>
      </c>
      <c r="K350" s="8" t="str">
        <f>_xlfn.XLOOKUP(tblFinancials[[#This Row],[AccountKey]],tblAccounts[AccountKey],tblAccounts[FinancialStatement],"")</f>
        <v>Income Statement</v>
      </c>
      <c r="L350" s="8" t="str">
        <f>_xlfn.XLOOKUP(tblFinancials[[#This Row],[AccountKey]],tblAccounts[AccountKey],tblAccounts[AccountCategory],"")</f>
        <v>Operating Expense</v>
      </c>
      <c r="M350" s="8" t="str">
        <f>_xlfn.XLOOKUP(tblFinancials[[#This Row],[AccountKey]],tblAccounts[AccountKey],tblAccounts[NormalBalance],"")</f>
        <v>Debit</v>
      </c>
      <c r="N350" s="8" t="str">
        <f>_xlfn.XLOOKUP(tblFinancials[[#This Row],[DepartmentKey]],tblDepartments[DepartmentKey],tblDepartments[DepartmentName],"")</f>
        <v>Human Resources</v>
      </c>
      <c r="O350" s="8" t="str">
        <f>_xlfn.XLOOKUP(tblFinancials[[#This Row],[BusinessUnitKey]],tblBusinessUnits[BusinessUnitKey],tblBusinessUnits[BusinessUnitName],"")</f>
        <v>Wholesale</v>
      </c>
      <c r="P350" s="8" t="str">
        <f>_xlfn.XLOOKUP(tblFinancials[[#This Row],[RegionKey]],tblRegions[RegionKey],tblRegions[RegionName],"")</f>
        <v>East</v>
      </c>
    </row>
    <row r="351" spans="1:16">
      <c r="A351">
        <v>20231001</v>
      </c>
      <c r="B351">
        <v>7</v>
      </c>
      <c r="C351">
        <v>3</v>
      </c>
      <c r="D351">
        <v>2</v>
      </c>
      <c r="E351">
        <v>25</v>
      </c>
      <c r="F351" t="s">
        <v>92</v>
      </c>
      <c r="G351">
        <v>-5971.09</v>
      </c>
      <c r="H351">
        <f>_xlfn.XLOOKUP(tblFinancials[[#This Row],[DateKey]],tblCalendar[DateKey],tblCalendar[FullDate],"")</f>
        <v>45200</v>
      </c>
      <c r="I351">
        <f>_xlfn.XLOOKUP(tblFinancials[[#This Row],[AccountKey]],tblAccounts[AccountKey],tblAccounts[AccountNumber],"")</f>
        <v>8200</v>
      </c>
      <c r="J351" t="str">
        <f>_xlfn.XLOOKUP(tblFinancials[[#This Row],[AccountKey]],tblAccounts[AccountKey],tblAccounts[AccountName],"")</f>
        <v>Income Tax Expense</v>
      </c>
      <c r="K351" s="8" t="str">
        <f>_xlfn.XLOOKUP(tblFinancials[[#This Row],[AccountKey]],tblAccounts[AccountKey],tblAccounts[FinancialStatement],"")</f>
        <v>Income Statement</v>
      </c>
      <c r="L351" s="8" t="str">
        <f>_xlfn.XLOOKUP(tblFinancials[[#This Row],[AccountKey]],tblAccounts[AccountKey],tblAccounts[AccountCategory],"")</f>
        <v>Tax Expense</v>
      </c>
      <c r="M351" s="8" t="str">
        <f>_xlfn.XLOOKUP(tblFinancials[[#This Row],[AccountKey]],tblAccounts[AccountKey],tblAccounts[NormalBalance],"")</f>
        <v>Debit</v>
      </c>
      <c r="N351" s="8" t="str">
        <f>_xlfn.XLOOKUP(tblFinancials[[#This Row],[DepartmentKey]],tblDepartments[DepartmentKey],tblDepartments[DepartmentName],"")</f>
        <v>Information Technology</v>
      </c>
      <c r="O351" s="8" t="str">
        <f>_xlfn.XLOOKUP(tblFinancials[[#This Row],[BusinessUnitKey]],tblBusinessUnits[BusinessUnitKey],tblBusinessUnits[BusinessUnitName],"")</f>
        <v>Retail</v>
      </c>
      <c r="P351" s="8" t="str">
        <f>_xlfn.XLOOKUP(tblFinancials[[#This Row],[RegionKey]],tblRegions[RegionKey],tblRegions[RegionName],"")</f>
        <v>Midwest</v>
      </c>
    </row>
    <row r="352" spans="1:16">
      <c r="A352">
        <v>20231001</v>
      </c>
      <c r="B352">
        <v>4</v>
      </c>
      <c r="C352">
        <v>4</v>
      </c>
      <c r="D352">
        <v>4</v>
      </c>
      <c r="E352">
        <v>17</v>
      </c>
      <c r="F352" t="s">
        <v>92</v>
      </c>
      <c r="G352">
        <v>-5699.37</v>
      </c>
      <c r="H352">
        <f>_xlfn.XLOOKUP(tblFinancials[[#This Row],[DateKey]],tblCalendar[DateKey],tblCalendar[FullDate],"")</f>
        <v>45200</v>
      </c>
      <c r="I352">
        <f>_xlfn.XLOOKUP(tblFinancials[[#This Row],[AccountKey]],tblAccounts[AccountKey],tblAccounts[AccountNumber],"")</f>
        <v>6120</v>
      </c>
      <c r="J352" t="str">
        <f>_xlfn.XLOOKUP(tblFinancials[[#This Row],[AccountKey]],tblAccounts[AccountKey],tblAccounts[AccountName],"")</f>
        <v>Employee Benefits</v>
      </c>
      <c r="K352" s="8" t="str">
        <f>_xlfn.XLOOKUP(tblFinancials[[#This Row],[AccountKey]],tblAccounts[AccountKey],tblAccounts[FinancialStatement],"")</f>
        <v>Income Statement</v>
      </c>
      <c r="L352" s="8" t="str">
        <f>_xlfn.XLOOKUP(tblFinancials[[#This Row],[AccountKey]],tblAccounts[AccountKey],tblAccounts[AccountCategory],"")</f>
        <v>Operating Expense</v>
      </c>
      <c r="M352" s="8" t="str">
        <f>_xlfn.XLOOKUP(tblFinancials[[#This Row],[AccountKey]],tblAccounts[AccountKey],tblAccounts[NormalBalance],"")</f>
        <v>Debit</v>
      </c>
      <c r="N352" s="8" t="str">
        <f>_xlfn.XLOOKUP(tblFinancials[[#This Row],[DepartmentKey]],tblDepartments[DepartmentKey],tblDepartments[DepartmentName],"")</f>
        <v>Sales</v>
      </c>
      <c r="O352" s="8" t="str">
        <f>_xlfn.XLOOKUP(tblFinancials[[#This Row],[BusinessUnitKey]],tblBusinessUnits[BusinessUnitKey],tblBusinessUnits[BusinessUnitName],"")</f>
        <v>E-Commerce</v>
      </c>
      <c r="P352" s="8" t="str">
        <f>_xlfn.XLOOKUP(tblFinancials[[#This Row],[RegionKey]],tblRegions[RegionKey],tblRegions[RegionName],"")</f>
        <v>East</v>
      </c>
    </row>
    <row r="353" spans="1:16">
      <c r="A353">
        <v>20231001</v>
      </c>
      <c r="B353">
        <v>5</v>
      </c>
      <c r="C353">
        <v>1</v>
      </c>
      <c r="D353">
        <v>4</v>
      </c>
      <c r="E353">
        <v>24</v>
      </c>
      <c r="F353" t="s">
        <v>92</v>
      </c>
      <c r="G353">
        <v>-5763.96</v>
      </c>
      <c r="H353">
        <f>_xlfn.XLOOKUP(tblFinancials[[#This Row],[DateKey]],tblCalendar[DateKey],tblCalendar[FullDate],"")</f>
        <v>45200</v>
      </c>
      <c r="I353">
        <f>_xlfn.XLOOKUP(tblFinancials[[#This Row],[AccountKey]],tblAccounts[AccountKey],tblAccounts[AccountNumber],"")</f>
        <v>6900</v>
      </c>
      <c r="J353" t="str">
        <f>_xlfn.XLOOKUP(tblFinancials[[#This Row],[AccountKey]],tblAccounts[AccountKey],tblAccounts[AccountName],"")</f>
        <v>Professional Services</v>
      </c>
      <c r="K353" s="8" t="str">
        <f>_xlfn.XLOOKUP(tblFinancials[[#This Row],[AccountKey]],tblAccounts[AccountKey],tblAccounts[FinancialStatement],"")</f>
        <v>Income Statement</v>
      </c>
      <c r="L353" s="8" t="str">
        <f>_xlfn.XLOOKUP(tblFinancials[[#This Row],[AccountKey]],tblAccounts[AccountKey],tblAccounts[AccountCategory],"")</f>
        <v>Operating Expense</v>
      </c>
      <c r="M353" s="8" t="str">
        <f>_xlfn.XLOOKUP(tblFinancials[[#This Row],[AccountKey]],tblAccounts[AccountKey],tblAccounts[NormalBalance],"")</f>
        <v>Debit</v>
      </c>
      <c r="N353" s="8" t="str">
        <f>_xlfn.XLOOKUP(tblFinancials[[#This Row],[DepartmentKey]],tblDepartments[DepartmentKey],tblDepartments[DepartmentName],"")</f>
        <v>Marketing</v>
      </c>
      <c r="O353" s="8" t="str">
        <f>_xlfn.XLOOKUP(tblFinancials[[#This Row],[BusinessUnitKey]],tblBusinessUnits[BusinessUnitKey],tblBusinessUnits[BusinessUnitName],"")</f>
        <v xml:space="preserve">Manufacturing </v>
      </c>
      <c r="P353" s="8" t="str">
        <f>_xlfn.XLOOKUP(tblFinancials[[#This Row],[RegionKey]],tblRegions[RegionKey],tblRegions[RegionName],"")</f>
        <v>East</v>
      </c>
    </row>
    <row r="354" spans="1:16">
      <c r="A354">
        <v>20231001</v>
      </c>
      <c r="B354">
        <v>8</v>
      </c>
      <c r="C354">
        <v>1</v>
      </c>
      <c r="D354">
        <v>3</v>
      </c>
      <c r="E354">
        <v>16</v>
      </c>
      <c r="F354" t="s">
        <v>92</v>
      </c>
      <c r="G354">
        <v>-6691.81</v>
      </c>
      <c r="H354">
        <f>_xlfn.XLOOKUP(tblFinancials[[#This Row],[DateKey]],tblCalendar[DateKey],tblCalendar[FullDate],"")</f>
        <v>45200</v>
      </c>
      <c r="I354">
        <f>_xlfn.XLOOKUP(tblFinancials[[#This Row],[AccountKey]],tblAccounts[AccountKey],tblAccounts[AccountNumber],"")</f>
        <v>6110</v>
      </c>
      <c r="J354" t="str">
        <f>_xlfn.XLOOKUP(tblFinancials[[#This Row],[AccountKey]],tblAccounts[AccountKey],tblAccounts[AccountName],"")</f>
        <v>Payroll Taxes</v>
      </c>
      <c r="K354" s="8" t="str">
        <f>_xlfn.XLOOKUP(tblFinancials[[#This Row],[AccountKey]],tblAccounts[AccountKey],tblAccounts[FinancialStatement],"")</f>
        <v>Income Statement</v>
      </c>
      <c r="L354" s="8" t="str">
        <f>_xlfn.XLOOKUP(tblFinancials[[#This Row],[AccountKey]],tblAccounts[AccountKey],tblAccounts[AccountCategory],"")</f>
        <v>Operating Expense</v>
      </c>
      <c r="M354" s="8" t="str">
        <f>_xlfn.XLOOKUP(tblFinancials[[#This Row],[AccountKey]],tblAccounts[AccountKey],tblAccounts[NormalBalance],"")</f>
        <v>Debit</v>
      </c>
      <c r="N354" s="8" t="str">
        <f>_xlfn.XLOOKUP(tblFinancials[[#This Row],[DepartmentKey]],tblDepartments[DepartmentKey],tblDepartments[DepartmentName],"")</f>
        <v>Customer Service</v>
      </c>
      <c r="O354" s="8" t="str">
        <f>_xlfn.XLOOKUP(tblFinancials[[#This Row],[BusinessUnitKey]],tblBusinessUnits[BusinessUnitKey],tblBusinessUnits[BusinessUnitName],"")</f>
        <v xml:space="preserve">Manufacturing </v>
      </c>
      <c r="P354" s="8" t="str">
        <f>_xlfn.XLOOKUP(tblFinancials[[#This Row],[RegionKey]],tblRegions[RegionKey],tblRegions[RegionName],"")</f>
        <v>South</v>
      </c>
    </row>
    <row r="355" spans="1:16">
      <c r="A355">
        <v>20231001</v>
      </c>
      <c r="B355">
        <v>6</v>
      </c>
      <c r="C355">
        <v>2</v>
      </c>
      <c r="D355">
        <v>3</v>
      </c>
      <c r="E355">
        <v>24</v>
      </c>
      <c r="F355" t="s">
        <v>92</v>
      </c>
      <c r="G355">
        <v>-6467.97</v>
      </c>
      <c r="H355">
        <f>_xlfn.XLOOKUP(tblFinancials[[#This Row],[DateKey]],tblCalendar[DateKey],tblCalendar[FullDate],"")</f>
        <v>45200</v>
      </c>
      <c r="I355">
        <f>_xlfn.XLOOKUP(tblFinancials[[#This Row],[AccountKey]],tblAccounts[AccountKey],tblAccounts[AccountNumber],"")</f>
        <v>6900</v>
      </c>
      <c r="J355" t="str">
        <f>_xlfn.XLOOKUP(tblFinancials[[#This Row],[AccountKey]],tblAccounts[AccountKey],tblAccounts[AccountName],"")</f>
        <v>Professional Services</v>
      </c>
      <c r="K355" s="8" t="str">
        <f>_xlfn.XLOOKUP(tblFinancials[[#This Row],[AccountKey]],tblAccounts[AccountKey],tblAccounts[FinancialStatement],"")</f>
        <v>Income Statement</v>
      </c>
      <c r="L355" s="8" t="str">
        <f>_xlfn.XLOOKUP(tblFinancials[[#This Row],[AccountKey]],tblAccounts[AccountKey],tblAccounts[AccountCategory],"")</f>
        <v>Operating Expense</v>
      </c>
      <c r="M355" s="8" t="str">
        <f>_xlfn.XLOOKUP(tblFinancials[[#This Row],[AccountKey]],tblAccounts[AccountKey],tblAccounts[NormalBalance],"")</f>
        <v>Debit</v>
      </c>
      <c r="N355" s="8" t="str">
        <f>_xlfn.XLOOKUP(tblFinancials[[#This Row],[DepartmentKey]],tblDepartments[DepartmentKey],tblDepartments[DepartmentName],"")</f>
        <v>Operations</v>
      </c>
      <c r="O355" s="8" t="str">
        <f>_xlfn.XLOOKUP(tblFinancials[[#This Row],[BusinessUnitKey]],tblBusinessUnits[BusinessUnitKey],tblBusinessUnits[BusinessUnitName],"")</f>
        <v>Wholesale</v>
      </c>
      <c r="P355" s="8" t="str">
        <f>_xlfn.XLOOKUP(tblFinancials[[#This Row],[RegionKey]],tblRegions[RegionKey],tblRegions[RegionName],"")</f>
        <v>South</v>
      </c>
    </row>
    <row r="356" spans="1:16">
      <c r="A356">
        <v>20231001</v>
      </c>
      <c r="B356">
        <v>4</v>
      </c>
      <c r="C356">
        <v>3</v>
      </c>
      <c r="D356">
        <v>1</v>
      </c>
      <c r="E356">
        <v>23</v>
      </c>
      <c r="F356" t="s">
        <v>92</v>
      </c>
      <c r="G356">
        <v>-6266.53</v>
      </c>
      <c r="H356">
        <f>_xlfn.XLOOKUP(tblFinancials[[#This Row],[DateKey]],tblCalendar[DateKey],tblCalendar[FullDate],"")</f>
        <v>45200</v>
      </c>
      <c r="I356">
        <f>_xlfn.XLOOKUP(tblFinancials[[#This Row],[AccountKey]],tblAccounts[AccountKey],tblAccounts[AccountNumber],"")</f>
        <v>6800</v>
      </c>
      <c r="J356" t="str">
        <f>_xlfn.XLOOKUP(tblFinancials[[#This Row],[AccountKey]],tblAccounts[AccountKey],tblAccounts[AccountName],"")</f>
        <v>Travel Expense</v>
      </c>
      <c r="K356" s="8" t="str">
        <f>_xlfn.XLOOKUP(tblFinancials[[#This Row],[AccountKey]],tblAccounts[AccountKey],tblAccounts[FinancialStatement],"")</f>
        <v>Income Statement</v>
      </c>
      <c r="L356" s="8" t="str">
        <f>_xlfn.XLOOKUP(tblFinancials[[#This Row],[AccountKey]],tblAccounts[AccountKey],tblAccounts[AccountCategory],"")</f>
        <v>Operating Expense</v>
      </c>
      <c r="M356" s="8" t="str">
        <f>_xlfn.XLOOKUP(tblFinancials[[#This Row],[AccountKey]],tblAccounts[AccountKey],tblAccounts[NormalBalance],"")</f>
        <v>Debit</v>
      </c>
      <c r="N356" s="8" t="str">
        <f>_xlfn.XLOOKUP(tblFinancials[[#This Row],[DepartmentKey]],tblDepartments[DepartmentKey],tblDepartments[DepartmentName],"")</f>
        <v>Sales</v>
      </c>
      <c r="O356" s="8" t="str">
        <f>_xlfn.XLOOKUP(tblFinancials[[#This Row],[BusinessUnitKey]],tblBusinessUnits[BusinessUnitKey],tblBusinessUnits[BusinessUnitName],"")</f>
        <v>Retail</v>
      </c>
      <c r="P356" s="8" t="str">
        <f>_xlfn.XLOOKUP(tblFinancials[[#This Row],[RegionKey]],tblRegions[RegionKey],tblRegions[RegionName],"")</f>
        <v>West</v>
      </c>
    </row>
    <row r="357" spans="1:16">
      <c r="A357">
        <v>20231001</v>
      </c>
      <c r="B357">
        <v>3</v>
      </c>
      <c r="C357">
        <v>2</v>
      </c>
      <c r="D357">
        <v>1</v>
      </c>
      <c r="E357">
        <v>16</v>
      </c>
      <c r="F357" t="s">
        <v>92</v>
      </c>
      <c r="G357">
        <v>-7708.84</v>
      </c>
      <c r="H357">
        <f>_xlfn.XLOOKUP(tblFinancials[[#This Row],[DateKey]],tblCalendar[DateKey],tblCalendar[FullDate],"")</f>
        <v>45200</v>
      </c>
      <c r="I357">
        <f>_xlfn.XLOOKUP(tblFinancials[[#This Row],[AccountKey]],tblAccounts[AccountKey],tblAccounts[AccountNumber],"")</f>
        <v>6110</v>
      </c>
      <c r="J357" t="str">
        <f>_xlfn.XLOOKUP(tblFinancials[[#This Row],[AccountKey]],tblAccounts[AccountKey],tblAccounts[AccountName],"")</f>
        <v>Payroll Taxes</v>
      </c>
      <c r="K357" s="8" t="str">
        <f>_xlfn.XLOOKUP(tblFinancials[[#This Row],[AccountKey]],tblAccounts[AccountKey],tblAccounts[FinancialStatement],"")</f>
        <v>Income Statement</v>
      </c>
      <c r="L357" s="8" t="str">
        <f>_xlfn.XLOOKUP(tblFinancials[[#This Row],[AccountKey]],tblAccounts[AccountKey],tblAccounts[AccountCategory],"")</f>
        <v>Operating Expense</v>
      </c>
      <c r="M357" s="8" t="str">
        <f>_xlfn.XLOOKUP(tblFinancials[[#This Row],[AccountKey]],tblAccounts[AccountKey],tblAccounts[NormalBalance],"")</f>
        <v>Debit</v>
      </c>
      <c r="N357" s="8" t="str">
        <f>_xlfn.XLOOKUP(tblFinancials[[#This Row],[DepartmentKey]],tblDepartments[DepartmentKey],tblDepartments[DepartmentName],"")</f>
        <v>Human Resources</v>
      </c>
      <c r="O357" s="8" t="str">
        <f>_xlfn.XLOOKUP(tblFinancials[[#This Row],[BusinessUnitKey]],tblBusinessUnits[BusinessUnitKey],tblBusinessUnits[BusinessUnitName],"")</f>
        <v>Wholesale</v>
      </c>
      <c r="P357" s="8" t="str">
        <f>_xlfn.XLOOKUP(tblFinancials[[#This Row],[RegionKey]],tblRegions[RegionKey],tblRegions[RegionName],"")</f>
        <v>West</v>
      </c>
    </row>
    <row r="358" spans="1:16">
      <c r="A358">
        <v>20231001</v>
      </c>
      <c r="B358">
        <v>3</v>
      </c>
      <c r="C358">
        <v>1</v>
      </c>
      <c r="D358">
        <v>4</v>
      </c>
      <c r="E358">
        <v>17</v>
      </c>
      <c r="F358" t="s">
        <v>92</v>
      </c>
      <c r="G358">
        <v>-6305.37</v>
      </c>
      <c r="H358">
        <f>_xlfn.XLOOKUP(tblFinancials[[#This Row],[DateKey]],tblCalendar[DateKey],tblCalendar[FullDate],"")</f>
        <v>45200</v>
      </c>
      <c r="I358">
        <f>_xlfn.XLOOKUP(tblFinancials[[#This Row],[AccountKey]],tblAccounts[AccountKey],tblAccounts[AccountNumber],"")</f>
        <v>6120</v>
      </c>
      <c r="J358" t="str">
        <f>_xlfn.XLOOKUP(tblFinancials[[#This Row],[AccountKey]],tblAccounts[AccountKey],tblAccounts[AccountName],"")</f>
        <v>Employee Benefits</v>
      </c>
      <c r="K358" s="8" t="str">
        <f>_xlfn.XLOOKUP(tblFinancials[[#This Row],[AccountKey]],tblAccounts[AccountKey],tblAccounts[FinancialStatement],"")</f>
        <v>Income Statement</v>
      </c>
      <c r="L358" s="8" t="str">
        <f>_xlfn.XLOOKUP(tblFinancials[[#This Row],[AccountKey]],tblAccounts[AccountKey],tblAccounts[AccountCategory],"")</f>
        <v>Operating Expense</v>
      </c>
      <c r="M358" s="8" t="str">
        <f>_xlfn.XLOOKUP(tblFinancials[[#This Row],[AccountKey]],tblAccounts[AccountKey],tblAccounts[NormalBalance],"")</f>
        <v>Debit</v>
      </c>
      <c r="N358" s="8" t="str">
        <f>_xlfn.XLOOKUP(tblFinancials[[#This Row],[DepartmentKey]],tblDepartments[DepartmentKey],tblDepartments[DepartmentName],"")</f>
        <v>Human Resources</v>
      </c>
      <c r="O358" s="8" t="str">
        <f>_xlfn.XLOOKUP(tblFinancials[[#This Row],[BusinessUnitKey]],tblBusinessUnits[BusinessUnitKey],tblBusinessUnits[BusinessUnitName],"")</f>
        <v xml:space="preserve">Manufacturing </v>
      </c>
      <c r="P358" s="8" t="str">
        <f>_xlfn.XLOOKUP(tblFinancials[[#This Row],[RegionKey]],tblRegions[RegionKey],tblRegions[RegionName],"")</f>
        <v>East</v>
      </c>
    </row>
    <row r="359" spans="1:16">
      <c r="A359">
        <v>20231001</v>
      </c>
      <c r="B359">
        <v>6</v>
      </c>
      <c r="C359">
        <v>4</v>
      </c>
      <c r="D359">
        <v>2</v>
      </c>
      <c r="E359">
        <v>20</v>
      </c>
      <c r="F359" t="s">
        <v>92</v>
      </c>
      <c r="G359">
        <v>-7699.85</v>
      </c>
      <c r="H359">
        <f>_xlfn.XLOOKUP(tblFinancials[[#This Row],[DateKey]],tblCalendar[DateKey],tblCalendar[FullDate],"")</f>
        <v>45200</v>
      </c>
      <c r="I359">
        <f>_xlfn.XLOOKUP(tblFinancials[[#This Row],[AccountKey]],tblAccounts[AccountKey],tblAccounts[AccountNumber],"")</f>
        <v>6500</v>
      </c>
      <c r="J359" t="str">
        <f>_xlfn.XLOOKUP(tblFinancials[[#This Row],[AccountKey]],tblAccounts[AccountKey],tblAccounts[AccountName],"")</f>
        <v>Rent Expense</v>
      </c>
      <c r="K359" s="8" t="str">
        <f>_xlfn.XLOOKUP(tblFinancials[[#This Row],[AccountKey]],tblAccounts[AccountKey],tblAccounts[FinancialStatement],"")</f>
        <v>Income Statement</v>
      </c>
      <c r="L359" s="8" t="str">
        <f>_xlfn.XLOOKUP(tblFinancials[[#This Row],[AccountKey]],tblAccounts[AccountKey],tblAccounts[AccountCategory],"")</f>
        <v>Operating Expense</v>
      </c>
      <c r="M359" s="8" t="str">
        <f>_xlfn.XLOOKUP(tblFinancials[[#This Row],[AccountKey]],tblAccounts[AccountKey],tblAccounts[NormalBalance],"")</f>
        <v>Debit</v>
      </c>
      <c r="N359" s="8" t="str">
        <f>_xlfn.XLOOKUP(tblFinancials[[#This Row],[DepartmentKey]],tblDepartments[DepartmentKey],tblDepartments[DepartmentName],"")</f>
        <v>Operations</v>
      </c>
      <c r="O359" s="8" t="str">
        <f>_xlfn.XLOOKUP(tblFinancials[[#This Row],[BusinessUnitKey]],tblBusinessUnits[BusinessUnitKey],tblBusinessUnits[BusinessUnitName],"")</f>
        <v>E-Commerce</v>
      </c>
      <c r="P359" s="8" t="str">
        <f>_xlfn.XLOOKUP(tblFinancials[[#This Row],[RegionKey]],tblRegions[RegionKey],tblRegions[RegionName],"")</f>
        <v>Midwest</v>
      </c>
    </row>
    <row r="360" spans="1:16">
      <c r="A360">
        <v>20231001</v>
      </c>
      <c r="B360">
        <v>8</v>
      </c>
      <c r="C360">
        <v>3</v>
      </c>
      <c r="D360">
        <v>1</v>
      </c>
      <c r="E360">
        <v>24</v>
      </c>
      <c r="F360" t="s">
        <v>92</v>
      </c>
      <c r="G360">
        <v>-6408.27</v>
      </c>
      <c r="H360">
        <f>_xlfn.XLOOKUP(tblFinancials[[#This Row],[DateKey]],tblCalendar[DateKey],tblCalendar[FullDate],"")</f>
        <v>45200</v>
      </c>
      <c r="I360">
        <f>_xlfn.XLOOKUP(tblFinancials[[#This Row],[AccountKey]],tblAccounts[AccountKey],tblAccounts[AccountNumber],"")</f>
        <v>6900</v>
      </c>
      <c r="J360" t="str">
        <f>_xlfn.XLOOKUP(tblFinancials[[#This Row],[AccountKey]],tblAccounts[AccountKey],tblAccounts[AccountName],"")</f>
        <v>Professional Services</v>
      </c>
      <c r="K360" s="8" t="str">
        <f>_xlfn.XLOOKUP(tblFinancials[[#This Row],[AccountKey]],tblAccounts[AccountKey],tblAccounts[FinancialStatement],"")</f>
        <v>Income Statement</v>
      </c>
      <c r="L360" s="8" t="str">
        <f>_xlfn.XLOOKUP(tblFinancials[[#This Row],[AccountKey]],tblAccounts[AccountKey],tblAccounts[AccountCategory],"")</f>
        <v>Operating Expense</v>
      </c>
      <c r="M360" s="8" t="str">
        <f>_xlfn.XLOOKUP(tblFinancials[[#This Row],[AccountKey]],tblAccounts[AccountKey],tblAccounts[NormalBalance],"")</f>
        <v>Debit</v>
      </c>
      <c r="N360" s="8" t="str">
        <f>_xlfn.XLOOKUP(tblFinancials[[#This Row],[DepartmentKey]],tblDepartments[DepartmentKey],tblDepartments[DepartmentName],"")</f>
        <v>Customer Service</v>
      </c>
      <c r="O360" s="8" t="str">
        <f>_xlfn.XLOOKUP(tblFinancials[[#This Row],[BusinessUnitKey]],tblBusinessUnits[BusinessUnitKey],tblBusinessUnits[BusinessUnitName],"")</f>
        <v>Retail</v>
      </c>
      <c r="P360" s="8" t="str">
        <f>_xlfn.XLOOKUP(tblFinancials[[#This Row],[RegionKey]],tblRegions[RegionKey],tblRegions[RegionName],"")</f>
        <v>West</v>
      </c>
    </row>
    <row r="361" spans="1:16">
      <c r="A361">
        <v>20231001</v>
      </c>
      <c r="B361">
        <v>4</v>
      </c>
      <c r="C361">
        <v>2</v>
      </c>
      <c r="D361">
        <v>2</v>
      </c>
      <c r="E361">
        <v>22</v>
      </c>
      <c r="F361" t="s">
        <v>92</v>
      </c>
      <c r="G361">
        <v>-9272.1299999999992</v>
      </c>
      <c r="H361">
        <f>_xlfn.XLOOKUP(tblFinancials[[#This Row],[DateKey]],tblCalendar[DateKey],tblCalendar[FullDate],"")</f>
        <v>45200</v>
      </c>
      <c r="I361">
        <f>_xlfn.XLOOKUP(tblFinancials[[#This Row],[AccountKey]],tblAccounts[AccountKey],tblAccounts[AccountNumber],"")</f>
        <v>6700</v>
      </c>
      <c r="J361" t="str">
        <f>_xlfn.XLOOKUP(tblFinancials[[#This Row],[AccountKey]],tblAccounts[AccountKey],tblAccounts[AccountName],"")</f>
        <v>Insurance Expense</v>
      </c>
      <c r="K361" s="8" t="str">
        <f>_xlfn.XLOOKUP(tblFinancials[[#This Row],[AccountKey]],tblAccounts[AccountKey],tblAccounts[FinancialStatement],"")</f>
        <v>Income Statement</v>
      </c>
      <c r="L361" s="8" t="str">
        <f>_xlfn.XLOOKUP(tblFinancials[[#This Row],[AccountKey]],tblAccounts[AccountKey],tblAccounts[AccountCategory],"")</f>
        <v>Operating Expense</v>
      </c>
      <c r="M361" s="8" t="str">
        <f>_xlfn.XLOOKUP(tblFinancials[[#This Row],[AccountKey]],tblAccounts[AccountKey],tblAccounts[NormalBalance],"")</f>
        <v>Debit</v>
      </c>
      <c r="N361" s="8" t="str">
        <f>_xlfn.XLOOKUP(tblFinancials[[#This Row],[DepartmentKey]],tblDepartments[DepartmentKey],tblDepartments[DepartmentName],"")</f>
        <v>Sales</v>
      </c>
      <c r="O361" s="8" t="str">
        <f>_xlfn.XLOOKUP(tblFinancials[[#This Row],[BusinessUnitKey]],tblBusinessUnits[BusinessUnitKey],tblBusinessUnits[BusinessUnitName],"")</f>
        <v>Wholesale</v>
      </c>
      <c r="P361" s="8" t="str">
        <f>_xlfn.XLOOKUP(tblFinancials[[#This Row],[RegionKey]],tblRegions[RegionKey],tblRegions[RegionName],"")</f>
        <v>Midwest</v>
      </c>
    </row>
    <row r="362" spans="1:16">
      <c r="A362">
        <v>20231101</v>
      </c>
      <c r="B362">
        <v>6</v>
      </c>
      <c r="C362">
        <v>4</v>
      </c>
      <c r="D362">
        <v>3</v>
      </c>
      <c r="E362">
        <v>13</v>
      </c>
      <c r="F362" t="s">
        <v>92</v>
      </c>
      <c r="G362">
        <v>29768.18</v>
      </c>
      <c r="H362">
        <f>_xlfn.XLOOKUP(tblFinancials[[#This Row],[DateKey]],tblCalendar[DateKey],tblCalendar[FullDate],"")</f>
        <v>45231</v>
      </c>
      <c r="I362">
        <f>_xlfn.XLOOKUP(tblFinancials[[#This Row],[AccountKey]],tblAccounts[AccountKey],tblAccounts[AccountNumber],"")</f>
        <v>4020</v>
      </c>
      <c r="J362" t="str">
        <f>_xlfn.XLOOKUP(tblFinancials[[#This Row],[AccountKey]],tblAccounts[AccountKey],tblAccounts[AccountName],"")</f>
        <v>Online Revenue</v>
      </c>
      <c r="K362" s="8" t="str">
        <f>_xlfn.XLOOKUP(tblFinancials[[#This Row],[AccountKey]],tblAccounts[AccountKey],tblAccounts[FinancialStatement],"")</f>
        <v>Income Statement</v>
      </c>
      <c r="L362" s="8" t="str">
        <f>_xlfn.XLOOKUP(tblFinancials[[#This Row],[AccountKey]],tblAccounts[AccountKey],tblAccounts[AccountCategory],"")</f>
        <v>Revenue</v>
      </c>
      <c r="M362" s="8" t="str">
        <f>_xlfn.XLOOKUP(tblFinancials[[#This Row],[AccountKey]],tblAccounts[AccountKey],tblAccounts[NormalBalance],"")</f>
        <v>Credit</v>
      </c>
      <c r="N362" s="8" t="str">
        <f>_xlfn.XLOOKUP(tblFinancials[[#This Row],[DepartmentKey]],tblDepartments[DepartmentKey],tblDepartments[DepartmentName],"")</f>
        <v>Operations</v>
      </c>
      <c r="O362" s="8" t="str">
        <f>_xlfn.XLOOKUP(tblFinancials[[#This Row],[BusinessUnitKey]],tblBusinessUnits[BusinessUnitKey],tblBusinessUnits[BusinessUnitName],"")</f>
        <v>E-Commerce</v>
      </c>
      <c r="P362" s="8" t="str">
        <f>_xlfn.XLOOKUP(tblFinancials[[#This Row],[RegionKey]],tblRegions[RegionKey],tblRegions[RegionName],"")</f>
        <v>South</v>
      </c>
    </row>
    <row r="363" spans="1:16">
      <c r="A363">
        <v>20231101</v>
      </c>
      <c r="B363">
        <v>8</v>
      </c>
      <c r="C363">
        <v>4</v>
      </c>
      <c r="D363">
        <v>2</v>
      </c>
      <c r="E363">
        <v>13</v>
      </c>
      <c r="F363" t="s">
        <v>92</v>
      </c>
      <c r="G363">
        <v>31729.01</v>
      </c>
      <c r="H363">
        <f>_xlfn.XLOOKUP(tblFinancials[[#This Row],[DateKey]],tblCalendar[DateKey],tblCalendar[FullDate],"")</f>
        <v>45231</v>
      </c>
      <c r="I363">
        <f>_xlfn.XLOOKUP(tblFinancials[[#This Row],[AccountKey]],tblAccounts[AccountKey],tblAccounts[AccountNumber],"")</f>
        <v>4020</v>
      </c>
      <c r="J363" t="str">
        <f>_xlfn.XLOOKUP(tblFinancials[[#This Row],[AccountKey]],tblAccounts[AccountKey],tblAccounts[AccountName],"")</f>
        <v>Online Revenue</v>
      </c>
      <c r="K363" s="8" t="str">
        <f>_xlfn.XLOOKUP(tblFinancials[[#This Row],[AccountKey]],tblAccounts[AccountKey],tblAccounts[FinancialStatement],"")</f>
        <v>Income Statement</v>
      </c>
      <c r="L363" s="8" t="str">
        <f>_xlfn.XLOOKUP(tblFinancials[[#This Row],[AccountKey]],tblAccounts[AccountKey],tblAccounts[AccountCategory],"")</f>
        <v>Revenue</v>
      </c>
      <c r="M363" s="8" t="str">
        <f>_xlfn.XLOOKUP(tblFinancials[[#This Row],[AccountKey]],tblAccounts[AccountKey],tblAccounts[NormalBalance],"")</f>
        <v>Credit</v>
      </c>
      <c r="N363" s="8" t="str">
        <f>_xlfn.XLOOKUP(tblFinancials[[#This Row],[DepartmentKey]],tblDepartments[DepartmentKey],tblDepartments[DepartmentName],"")</f>
        <v>Customer Service</v>
      </c>
      <c r="O363" s="8" t="str">
        <f>_xlfn.XLOOKUP(tblFinancials[[#This Row],[BusinessUnitKey]],tblBusinessUnits[BusinessUnitKey],tblBusinessUnits[BusinessUnitName],"")</f>
        <v>E-Commerce</v>
      </c>
      <c r="P363" s="8" t="str">
        <f>_xlfn.XLOOKUP(tblFinancials[[#This Row],[RegionKey]],tblRegions[RegionKey],tblRegions[RegionName],"")</f>
        <v>Midwest</v>
      </c>
    </row>
    <row r="364" spans="1:16">
      <c r="A364">
        <v>20231101</v>
      </c>
      <c r="B364">
        <v>7</v>
      </c>
      <c r="C364">
        <v>3</v>
      </c>
      <c r="D364">
        <v>4</v>
      </c>
      <c r="E364">
        <v>11</v>
      </c>
      <c r="F364" t="s">
        <v>92</v>
      </c>
      <c r="G364">
        <v>30852.84</v>
      </c>
      <c r="H364">
        <f>_xlfn.XLOOKUP(tblFinancials[[#This Row],[DateKey]],tblCalendar[DateKey],tblCalendar[FullDate],"")</f>
        <v>45231</v>
      </c>
      <c r="I364">
        <f>_xlfn.XLOOKUP(tblFinancials[[#This Row],[AccountKey]],tblAccounts[AccountKey],tblAccounts[AccountNumber],"")</f>
        <v>4000</v>
      </c>
      <c r="J364" t="str">
        <f>_xlfn.XLOOKUP(tblFinancials[[#This Row],[AccountKey]],tblAccounts[AccountKey],tblAccounts[AccountName],"")</f>
        <v>Product Revenue</v>
      </c>
      <c r="K364" s="8" t="str">
        <f>_xlfn.XLOOKUP(tblFinancials[[#This Row],[AccountKey]],tblAccounts[AccountKey],tblAccounts[FinancialStatement],"")</f>
        <v>Income Statement</v>
      </c>
      <c r="L364" s="8" t="str">
        <f>_xlfn.XLOOKUP(tblFinancials[[#This Row],[AccountKey]],tblAccounts[AccountKey],tblAccounts[AccountCategory],"")</f>
        <v>Revenue</v>
      </c>
      <c r="M364" s="8" t="str">
        <f>_xlfn.XLOOKUP(tblFinancials[[#This Row],[AccountKey]],tblAccounts[AccountKey],tblAccounts[NormalBalance],"")</f>
        <v>Credit</v>
      </c>
      <c r="N364" s="8" t="str">
        <f>_xlfn.XLOOKUP(tblFinancials[[#This Row],[DepartmentKey]],tblDepartments[DepartmentKey],tblDepartments[DepartmentName],"")</f>
        <v>Information Technology</v>
      </c>
      <c r="O364" s="8" t="str">
        <f>_xlfn.XLOOKUP(tblFinancials[[#This Row],[BusinessUnitKey]],tblBusinessUnits[BusinessUnitKey],tblBusinessUnits[BusinessUnitName],"")</f>
        <v>Retail</v>
      </c>
      <c r="P364" s="8" t="str">
        <f>_xlfn.XLOOKUP(tblFinancials[[#This Row],[RegionKey]],tblRegions[RegionKey],tblRegions[RegionName],"")</f>
        <v>East</v>
      </c>
    </row>
    <row r="365" spans="1:16">
      <c r="A365">
        <v>20231101</v>
      </c>
      <c r="B365">
        <v>2</v>
      </c>
      <c r="C365">
        <v>3</v>
      </c>
      <c r="D365">
        <v>3</v>
      </c>
      <c r="E365">
        <v>11</v>
      </c>
      <c r="F365" t="s">
        <v>92</v>
      </c>
      <c r="G365">
        <v>30317.279999999999</v>
      </c>
      <c r="H365">
        <f>_xlfn.XLOOKUP(tblFinancials[[#This Row],[DateKey]],tblCalendar[DateKey],tblCalendar[FullDate],"")</f>
        <v>45231</v>
      </c>
      <c r="I365">
        <f>_xlfn.XLOOKUP(tblFinancials[[#This Row],[AccountKey]],tblAccounts[AccountKey],tblAccounts[AccountNumber],"")</f>
        <v>4000</v>
      </c>
      <c r="J365" t="str">
        <f>_xlfn.XLOOKUP(tblFinancials[[#This Row],[AccountKey]],tblAccounts[AccountKey],tblAccounts[AccountName],"")</f>
        <v>Product Revenue</v>
      </c>
      <c r="K365" s="8" t="str">
        <f>_xlfn.XLOOKUP(tblFinancials[[#This Row],[AccountKey]],tblAccounts[AccountKey],tblAccounts[FinancialStatement],"")</f>
        <v>Income Statement</v>
      </c>
      <c r="L365" s="8" t="str">
        <f>_xlfn.XLOOKUP(tblFinancials[[#This Row],[AccountKey]],tblAccounts[AccountKey],tblAccounts[AccountCategory],"")</f>
        <v>Revenue</v>
      </c>
      <c r="M365" s="8" t="str">
        <f>_xlfn.XLOOKUP(tblFinancials[[#This Row],[AccountKey]],tblAccounts[AccountKey],tblAccounts[NormalBalance],"")</f>
        <v>Credit</v>
      </c>
      <c r="N365" s="8" t="str">
        <f>_xlfn.XLOOKUP(tblFinancials[[#This Row],[DepartmentKey]],tblDepartments[DepartmentKey],tblDepartments[DepartmentName],"")</f>
        <v>Finance</v>
      </c>
      <c r="O365" s="8" t="str">
        <f>_xlfn.XLOOKUP(tblFinancials[[#This Row],[BusinessUnitKey]],tblBusinessUnits[BusinessUnitKey],tblBusinessUnits[BusinessUnitName],"")</f>
        <v>Retail</v>
      </c>
      <c r="P365" s="8" t="str">
        <f>_xlfn.XLOOKUP(tblFinancials[[#This Row],[RegionKey]],tblRegions[RegionKey],tblRegions[RegionName],"")</f>
        <v>South</v>
      </c>
    </row>
    <row r="366" spans="1:16">
      <c r="A366">
        <v>20231101</v>
      </c>
      <c r="B366">
        <v>5</v>
      </c>
      <c r="C366">
        <v>2</v>
      </c>
      <c r="D366">
        <v>2</v>
      </c>
      <c r="E366">
        <v>11</v>
      </c>
      <c r="F366" t="s">
        <v>92</v>
      </c>
      <c r="G366">
        <v>29612.2</v>
      </c>
      <c r="H366">
        <f>_xlfn.XLOOKUP(tblFinancials[[#This Row],[DateKey]],tblCalendar[DateKey],tblCalendar[FullDate],"")</f>
        <v>45231</v>
      </c>
      <c r="I366">
        <f>_xlfn.XLOOKUP(tblFinancials[[#This Row],[AccountKey]],tblAccounts[AccountKey],tblAccounts[AccountNumber],"")</f>
        <v>4000</v>
      </c>
      <c r="J366" t="str">
        <f>_xlfn.XLOOKUP(tblFinancials[[#This Row],[AccountKey]],tblAccounts[AccountKey],tblAccounts[AccountName],"")</f>
        <v>Product Revenue</v>
      </c>
      <c r="K366" s="8" t="str">
        <f>_xlfn.XLOOKUP(tblFinancials[[#This Row],[AccountKey]],tblAccounts[AccountKey],tblAccounts[FinancialStatement],"")</f>
        <v>Income Statement</v>
      </c>
      <c r="L366" s="8" t="str">
        <f>_xlfn.XLOOKUP(tblFinancials[[#This Row],[AccountKey]],tblAccounts[AccountKey],tblAccounts[AccountCategory],"")</f>
        <v>Revenue</v>
      </c>
      <c r="M366" s="8" t="str">
        <f>_xlfn.XLOOKUP(tblFinancials[[#This Row],[AccountKey]],tblAccounts[AccountKey],tblAccounts[NormalBalance],"")</f>
        <v>Credit</v>
      </c>
      <c r="N366" s="8" t="str">
        <f>_xlfn.XLOOKUP(tblFinancials[[#This Row],[DepartmentKey]],tblDepartments[DepartmentKey],tblDepartments[DepartmentName],"")</f>
        <v>Marketing</v>
      </c>
      <c r="O366" s="8" t="str">
        <f>_xlfn.XLOOKUP(tblFinancials[[#This Row],[BusinessUnitKey]],tblBusinessUnits[BusinessUnitKey],tblBusinessUnits[BusinessUnitName],"")</f>
        <v>Wholesale</v>
      </c>
      <c r="P366" s="8" t="str">
        <f>_xlfn.XLOOKUP(tblFinancials[[#This Row],[RegionKey]],tblRegions[RegionKey],tblRegions[RegionName],"")</f>
        <v>Midwest</v>
      </c>
    </row>
    <row r="367" spans="1:16">
      <c r="A367">
        <v>20231101</v>
      </c>
      <c r="B367">
        <v>1</v>
      </c>
      <c r="C367">
        <v>3</v>
      </c>
      <c r="D367">
        <v>1</v>
      </c>
      <c r="E367">
        <v>12</v>
      </c>
      <c r="F367" t="s">
        <v>92</v>
      </c>
      <c r="G367">
        <v>30105.94</v>
      </c>
      <c r="H367">
        <f>_xlfn.XLOOKUP(tblFinancials[[#This Row],[DateKey]],tblCalendar[DateKey],tblCalendar[FullDate],"")</f>
        <v>45231</v>
      </c>
      <c r="I367">
        <f>_xlfn.XLOOKUP(tblFinancials[[#This Row],[AccountKey]],tblAccounts[AccountKey],tblAccounts[AccountNumber],"")</f>
        <v>4010</v>
      </c>
      <c r="J367" t="str">
        <f>_xlfn.XLOOKUP(tblFinancials[[#This Row],[AccountKey]],tblAccounts[AccountKey],tblAccounts[AccountName],"")</f>
        <v>Service Revenue</v>
      </c>
      <c r="K367" s="8" t="str">
        <f>_xlfn.XLOOKUP(tblFinancials[[#This Row],[AccountKey]],tblAccounts[AccountKey],tblAccounts[FinancialStatement],"")</f>
        <v>Income Statement</v>
      </c>
      <c r="L367" s="8" t="str">
        <f>_xlfn.XLOOKUP(tblFinancials[[#This Row],[AccountKey]],tblAccounts[AccountKey],tblAccounts[AccountCategory],"")</f>
        <v>Revenue</v>
      </c>
      <c r="M367" s="8" t="str">
        <f>_xlfn.XLOOKUP(tblFinancials[[#This Row],[AccountKey]],tblAccounts[AccountKey],tblAccounts[NormalBalance],"")</f>
        <v>Credit</v>
      </c>
      <c r="N367" s="8" t="str">
        <f>_xlfn.XLOOKUP(tblFinancials[[#This Row],[DepartmentKey]],tblDepartments[DepartmentKey],tblDepartments[DepartmentName],"")</f>
        <v>Executive</v>
      </c>
      <c r="O367" s="8" t="str">
        <f>_xlfn.XLOOKUP(tblFinancials[[#This Row],[BusinessUnitKey]],tblBusinessUnits[BusinessUnitKey],tblBusinessUnits[BusinessUnitName],"")</f>
        <v>Retail</v>
      </c>
      <c r="P367" s="8" t="str">
        <f>_xlfn.XLOOKUP(tblFinancials[[#This Row],[RegionKey]],tblRegions[RegionKey],tblRegions[RegionName],"")</f>
        <v>West</v>
      </c>
    </row>
    <row r="368" spans="1:16">
      <c r="A368">
        <v>20231101</v>
      </c>
      <c r="B368">
        <v>3</v>
      </c>
      <c r="C368">
        <v>3</v>
      </c>
      <c r="D368">
        <v>4</v>
      </c>
      <c r="E368">
        <v>11</v>
      </c>
      <c r="F368" t="s">
        <v>92</v>
      </c>
      <c r="G368">
        <v>30870.04</v>
      </c>
      <c r="H368">
        <f>_xlfn.XLOOKUP(tblFinancials[[#This Row],[DateKey]],tblCalendar[DateKey],tblCalendar[FullDate],"")</f>
        <v>45231</v>
      </c>
      <c r="I368">
        <f>_xlfn.XLOOKUP(tblFinancials[[#This Row],[AccountKey]],tblAccounts[AccountKey],tblAccounts[AccountNumber],"")</f>
        <v>4000</v>
      </c>
      <c r="J368" t="str">
        <f>_xlfn.XLOOKUP(tblFinancials[[#This Row],[AccountKey]],tblAccounts[AccountKey],tblAccounts[AccountName],"")</f>
        <v>Product Revenue</v>
      </c>
      <c r="K368" s="8" t="str">
        <f>_xlfn.XLOOKUP(tblFinancials[[#This Row],[AccountKey]],tblAccounts[AccountKey],tblAccounts[FinancialStatement],"")</f>
        <v>Income Statement</v>
      </c>
      <c r="L368" s="8" t="str">
        <f>_xlfn.XLOOKUP(tblFinancials[[#This Row],[AccountKey]],tblAccounts[AccountKey],tblAccounts[AccountCategory],"")</f>
        <v>Revenue</v>
      </c>
      <c r="M368" s="8" t="str">
        <f>_xlfn.XLOOKUP(tblFinancials[[#This Row],[AccountKey]],tblAccounts[AccountKey],tblAccounts[NormalBalance],"")</f>
        <v>Credit</v>
      </c>
      <c r="N368" s="8" t="str">
        <f>_xlfn.XLOOKUP(tblFinancials[[#This Row],[DepartmentKey]],tblDepartments[DepartmentKey],tblDepartments[DepartmentName],"")</f>
        <v>Human Resources</v>
      </c>
      <c r="O368" s="8" t="str">
        <f>_xlfn.XLOOKUP(tblFinancials[[#This Row],[BusinessUnitKey]],tblBusinessUnits[BusinessUnitKey],tblBusinessUnits[BusinessUnitName],"")</f>
        <v>Retail</v>
      </c>
      <c r="P368" s="8" t="str">
        <f>_xlfn.XLOOKUP(tblFinancials[[#This Row],[RegionKey]],tblRegions[RegionKey],tblRegions[RegionName],"")</f>
        <v>East</v>
      </c>
    </row>
    <row r="369" spans="1:16">
      <c r="A369">
        <v>20231101</v>
      </c>
      <c r="B369">
        <v>2</v>
      </c>
      <c r="C369">
        <v>1</v>
      </c>
      <c r="D369">
        <v>1</v>
      </c>
      <c r="E369">
        <v>13</v>
      </c>
      <c r="F369" t="s">
        <v>92</v>
      </c>
      <c r="G369">
        <v>31708.27</v>
      </c>
      <c r="H369">
        <f>_xlfn.XLOOKUP(tblFinancials[[#This Row],[DateKey]],tblCalendar[DateKey],tblCalendar[FullDate],"")</f>
        <v>45231</v>
      </c>
      <c r="I369">
        <f>_xlfn.XLOOKUP(tblFinancials[[#This Row],[AccountKey]],tblAccounts[AccountKey],tblAccounts[AccountNumber],"")</f>
        <v>4020</v>
      </c>
      <c r="J369" t="str">
        <f>_xlfn.XLOOKUP(tblFinancials[[#This Row],[AccountKey]],tblAccounts[AccountKey],tblAccounts[AccountName],"")</f>
        <v>Online Revenue</v>
      </c>
      <c r="K369" s="8" t="str">
        <f>_xlfn.XLOOKUP(tblFinancials[[#This Row],[AccountKey]],tblAccounts[AccountKey],tblAccounts[FinancialStatement],"")</f>
        <v>Income Statement</v>
      </c>
      <c r="L369" s="8" t="str">
        <f>_xlfn.XLOOKUP(tblFinancials[[#This Row],[AccountKey]],tblAccounts[AccountKey],tblAccounts[AccountCategory],"")</f>
        <v>Revenue</v>
      </c>
      <c r="M369" s="8" t="str">
        <f>_xlfn.XLOOKUP(tblFinancials[[#This Row],[AccountKey]],tblAccounts[AccountKey],tblAccounts[NormalBalance],"")</f>
        <v>Credit</v>
      </c>
      <c r="N369" s="8" t="str">
        <f>_xlfn.XLOOKUP(tblFinancials[[#This Row],[DepartmentKey]],tblDepartments[DepartmentKey],tblDepartments[DepartmentName],"")</f>
        <v>Finance</v>
      </c>
      <c r="O369" s="8" t="str">
        <f>_xlfn.XLOOKUP(tblFinancials[[#This Row],[BusinessUnitKey]],tblBusinessUnits[BusinessUnitKey],tblBusinessUnits[BusinessUnitName],"")</f>
        <v xml:space="preserve">Manufacturing </v>
      </c>
      <c r="P369" s="8" t="str">
        <f>_xlfn.XLOOKUP(tblFinancials[[#This Row],[RegionKey]],tblRegions[RegionKey],tblRegions[RegionName],"")</f>
        <v>West</v>
      </c>
    </row>
    <row r="370" spans="1:16">
      <c r="A370">
        <v>20231101</v>
      </c>
      <c r="B370">
        <v>6</v>
      </c>
      <c r="C370">
        <v>1</v>
      </c>
      <c r="D370">
        <v>2</v>
      </c>
      <c r="E370">
        <v>12</v>
      </c>
      <c r="F370" t="s">
        <v>92</v>
      </c>
      <c r="G370">
        <v>31575.38</v>
      </c>
      <c r="H370">
        <f>_xlfn.XLOOKUP(tblFinancials[[#This Row],[DateKey]],tblCalendar[DateKey],tblCalendar[FullDate],"")</f>
        <v>45231</v>
      </c>
      <c r="I370">
        <f>_xlfn.XLOOKUP(tblFinancials[[#This Row],[AccountKey]],tblAccounts[AccountKey],tblAccounts[AccountNumber],"")</f>
        <v>4010</v>
      </c>
      <c r="J370" t="str">
        <f>_xlfn.XLOOKUP(tblFinancials[[#This Row],[AccountKey]],tblAccounts[AccountKey],tblAccounts[AccountName],"")</f>
        <v>Service Revenue</v>
      </c>
      <c r="K370" s="8" t="str">
        <f>_xlfn.XLOOKUP(tblFinancials[[#This Row],[AccountKey]],tblAccounts[AccountKey],tblAccounts[FinancialStatement],"")</f>
        <v>Income Statement</v>
      </c>
      <c r="L370" s="8" t="str">
        <f>_xlfn.XLOOKUP(tblFinancials[[#This Row],[AccountKey]],tblAccounts[AccountKey],tblAccounts[AccountCategory],"")</f>
        <v>Revenue</v>
      </c>
      <c r="M370" s="8" t="str">
        <f>_xlfn.XLOOKUP(tblFinancials[[#This Row],[AccountKey]],tblAccounts[AccountKey],tblAccounts[NormalBalance],"")</f>
        <v>Credit</v>
      </c>
      <c r="N370" s="8" t="str">
        <f>_xlfn.XLOOKUP(tblFinancials[[#This Row],[DepartmentKey]],tblDepartments[DepartmentKey],tblDepartments[DepartmentName],"")</f>
        <v>Operations</v>
      </c>
      <c r="O370" s="8" t="str">
        <f>_xlfn.XLOOKUP(tblFinancials[[#This Row],[BusinessUnitKey]],tblBusinessUnits[BusinessUnitKey],tblBusinessUnits[BusinessUnitName],"")</f>
        <v xml:space="preserve">Manufacturing </v>
      </c>
      <c r="P370" s="8" t="str">
        <f>_xlfn.XLOOKUP(tblFinancials[[#This Row],[RegionKey]],tblRegions[RegionKey],tblRegions[RegionName],"")</f>
        <v>Midwest</v>
      </c>
    </row>
    <row r="371" spans="1:16">
      <c r="A371">
        <v>20231101</v>
      </c>
      <c r="B371">
        <v>2</v>
      </c>
      <c r="C371">
        <v>4</v>
      </c>
      <c r="D371">
        <v>2</v>
      </c>
      <c r="E371">
        <v>12</v>
      </c>
      <c r="F371" t="s">
        <v>92</v>
      </c>
      <c r="G371">
        <v>31136.31</v>
      </c>
      <c r="H371">
        <f>_xlfn.XLOOKUP(tblFinancials[[#This Row],[DateKey]],tblCalendar[DateKey],tblCalendar[FullDate],"")</f>
        <v>45231</v>
      </c>
      <c r="I371">
        <f>_xlfn.XLOOKUP(tblFinancials[[#This Row],[AccountKey]],tblAccounts[AccountKey],tblAccounts[AccountNumber],"")</f>
        <v>4010</v>
      </c>
      <c r="J371" t="str">
        <f>_xlfn.XLOOKUP(tblFinancials[[#This Row],[AccountKey]],tblAccounts[AccountKey],tblAccounts[AccountName],"")</f>
        <v>Service Revenue</v>
      </c>
      <c r="K371" s="8" t="str">
        <f>_xlfn.XLOOKUP(tblFinancials[[#This Row],[AccountKey]],tblAccounts[AccountKey],tblAccounts[FinancialStatement],"")</f>
        <v>Income Statement</v>
      </c>
      <c r="L371" s="8" t="str">
        <f>_xlfn.XLOOKUP(tblFinancials[[#This Row],[AccountKey]],tblAccounts[AccountKey],tblAccounts[AccountCategory],"")</f>
        <v>Revenue</v>
      </c>
      <c r="M371" s="8" t="str">
        <f>_xlfn.XLOOKUP(tblFinancials[[#This Row],[AccountKey]],tblAccounts[AccountKey],tblAccounts[NormalBalance],"")</f>
        <v>Credit</v>
      </c>
      <c r="N371" s="8" t="str">
        <f>_xlfn.XLOOKUP(tblFinancials[[#This Row],[DepartmentKey]],tblDepartments[DepartmentKey],tblDepartments[DepartmentName],"")</f>
        <v>Finance</v>
      </c>
      <c r="O371" s="8" t="str">
        <f>_xlfn.XLOOKUP(tblFinancials[[#This Row],[BusinessUnitKey]],tblBusinessUnits[BusinessUnitKey],tblBusinessUnits[BusinessUnitName],"")</f>
        <v>E-Commerce</v>
      </c>
      <c r="P371" s="8" t="str">
        <f>_xlfn.XLOOKUP(tblFinancials[[#This Row],[RegionKey]],tblRegions[RegionKey],tblRegions[RegionName],"")</f>
        <v>Midwest</v>
      </c>
    </row>
    <row r="372" spans="1:16">
      <c r="A372">
        <v>20231101</v>
      </c>
      <c r="B372">
        <v>4</v>
      </c>
      <c r="C372">
        <v>1</v>
      </c>
      <c r="D372">
        <v>2</v>
      </c>
      <c r="E372">
        <v>13</v>
      </c>
      <c r="F372" t="s">
        <v>92</v>
      </c>
      <c r="G372">
        <v>31914.81</v>
      </c>
      <c r="H372">
        <f>_xlfn.XLOOKUP(tblFinancials[[#This Row],[DateKey]],tblCalendar[DateKey],tblCalendar[FullDate],"")</f>
        <v>45231</v>
      </c>
      <c r="I372">
        <f>_xlfn.XLOOKUP(tblFinancials[[#This Row],[AccountKey]],tblAccounts[AccountKey],tblAccounts[AccountNumber],"")</f>
        <v>4020</v>
      </c>
      <c r="J372" t="str">
        <f>_xlfn.XLOOKUP(tblFinancials[[#This Row],[AccountKey]],tblAccounts[AccountKey],tblAccounts[AccountName],"")</f>
        <v>Online Revenue</v>
      </c>
      <c r="K372" s="8" t="str">
        <f>_xlfn.XLOOKUP(tblFinancials[[#This Row],[AccountKey]],tblAccounts[AccountKey],tblAccounts[FinancialStatement],"")</f>
        <v>Income Statement</v>
      </c>
      <c r="L372" s="8" t="str">
        <f>_xlfn.XLOOKUP(tblFinancials[[#This Row],[AccountKey]],tblAccounts[AccountKey],tblAccounts[AccountCategory],"")</f>
        <v>Revenue</v>
      </c>
      <c r="M372" s="8" t="str">
        <f>_xlfn.XLOOKUP(tblFinancials[[#This Row],[AccountKey]],tblAccounts[AccountKey],tblAccounts[NormalBalance],"")</f>
        <v>Credit</v>
      </c>
      <c r="N372" s="8" t="str">
        <f>_xlfn.XLOOKUP(tblFinancials[[#This Row],[DepartmentKey]],tblDepartments[DepartmentKey],tblDepartments[DepartmentName],"")</f>
        <v>Sales</v>
      </c>
      <c r="O372" s="8" t="str">
        <f>_xlfn.XLOOKUP(tblFinancials[[#This Row],[BusinessUnitKey]],tblBusinessUnits[BusinessUnitKey],tblBusinessUnits[BusinessUnitName],"")</f>
        <v xml:space="preserve">Manufacturing </v>
      </c>
      <c r="P372" s="8" t="str">
        <f>_xlfn.XLOOKUP(tblFinancials[[#This Row],[RegionKey]],tblRegions[RegionKey],tblRegions[RegionName],"")</f>
        <v>Midwest</v>
      </c>
    </row>
    <row r="373" spans="1:16">
      <c r="A373">
        <v>20231101</v>
      </c>
      <c r="B373">
        <v>5</v>
      </c>
      <c r="C373">
        <v>3</v>
      </c>
      <c r="D373">
        <v>2</v>
      </c>
      <c r="E373">
        <v>11</v>
      </c>
      <c r="F373" t="s">
        <v>92</v>
      </c>
      <c r="G373">
        <v>29053.24</v>
      </c>
      <c r="H373">
        <f>_xlfn.XLOOKUP(tblFinancials[[#This Row],[DateKey]],tblCalendar[DateKey],tblCalendar[FullDate],"")</f>
        <v>45231</v>
      </c>
      <c r="I373">
        <f>_xlfn.XLOOKUP(tblFinancials[[#This Row],[AccountKey]],tblAccounts[AccountKey],tblAccounts[AccountNumber],"")</f>
        <v>4000</v>
      </c>
      <c r="J373" t="str">
        <f>_xlfn.XLOOKUP(tblFinancials[[#This Row],[AccountKey]],tblAccounts[AccountKey],tblAccounts[AccountName],"")</f>
        <v>Product Revenue</v>
      </c>
      <c r="K373" s="8" t="str">
        <f>_xlfn.XLOOKUP(tblFinancials[[#This Row],[AccountKey]],tblAccounts[AccountKey],tblAccounts[FinancialStatement],"")</f>
        <v>Income Statement</v>
      </c>
      <c r="L373" s="8" t="str">
        <f>_xlfn.XLOOKUP(tblFinancials[[#This Row],[AccountKey]],tblAccounts[AccountKey],tblAccounts[AccountCategory],"")</f>
        <v>Revenue</v>
      </c>
      <c r="M373" s="8" t="str">
        <f>_xlfn.XLOOKUP(tblFinancials[[#This Row],[AccountKey]],tblAccounts[AccountKey],tblAccounts[NormalBalance],"")</f>
        <v>Credit</v>
      </c>
      <c r="N373" s="8" t="str">
        <f>_xlfn.XLOOKUP(tblFinancials[[#This Row],[DepartmentKey]],tblDepartments[DepartmentKey],tblDepartments[DepartmentName],"")</f>
        <v>Marketing</v>
      </c>
      <c r="O373" s="8" t="str">
        <f>_xlfn.XLOOKUP(tblFinancials[[#This Row],[BusinessUnitKey]],tblBusinessUnits[BusinessUnitKey],tblBusinessUnits[BusinessUnitName],"")</f>
        <v>Retail</v>
      </c>
      <c r="P373" s="8" t="str">
        <f>_xlfn.XLOOKUP(tblFinancials[[#This Row],[RegionKey]],tblRegions[RegionKey],tblRegions[RegionName],"")</f>
        <v>Midwest</v>
      </c>
    </row>
    <row r="374" spans="1:16">
      <c r="A374">
        <v>20231101</v>
      </c>
      <c r="B374">
        <v>8</v>
      </c>
      <c r="C374">
        <v>1</v>
      </c>
      <c r="D374">
        <v>2</v>
      </c>
      <c r="E374">
        <v>14</v>
      </c>
      <c r="F374" t="s">
        <v>92</v>
      </c>
      <c r="G374">
        <v>-17751.98</v>
      </c>
      <c r="H374">
        <f>_xlfn.XLOOKUP(tblFinancials[[#This Row],[DateKey]],tblCalendar[DateKey],tblCalendar[FullDate],"")</f>
        <v>45231</v>
      </c>
      <c r="I374">
        <f>_xlfn.XLOOKUP(tblFinancials[[#This Row],[AccountKey]],tblAccounts[AccountKey],tblAccounts[AccountNumber],"")</f>
        <v>5000</v>
      </c>
      <c r="J374" t="str">
        <f>_xlfn.XLOOKUP(tblFinancials[[#This Row],[AccountKey]],tblAccounts[AccountKey],tblAccounts[AccountName],"")</f>
        <v>Cost of Goods Sold</v>
      </c>
      <c r="K374" s="8" t="str">
        <f>_xlfn.XLOOKUP(tblFinancials[[#This Row],[AccountKey]],tblAccounts[AccountKey],tblAccounts[FinancialStatement],"")</f>
        <v>Income Statement</v>
      </c>
      <c r="L374" s="8" t="str">
        <f>_xlfn.XLOOKUP(tblFinancials[[#This Row],[AccountKey]],tblAccounts[AccountKey],tblAccounts[AccountCategory],"")</f>
        <v>Cost of Sales</v>
      </c>
      <c r="M374" s="8" t="str">
        <f>_xlfn.XLOOKUP(tblFinancials[[#This Row],[AccountKey]],tblAccounts[AccountKey],tblAccounts[NormalBalance],"")</f>
        <v>Debit</v>
      </c>
      <c r="N374" s="8" t="str">
        <f>_xlfn.XLOOKUP(tblFinancials[[#This Row],[DepartmentKey]],tblDepartments[DepartmentKey],tblDepartments[DepartmentName],"")</f>
        <v>Customer Service</v>
      </c>
      <c r="O374" s="8" t="str">
        <f>_xlfn.XLOOKUP(tblFinancials[[#This Row],[BusinessUnitKey]],tblBusinessUnits[BusinessUnitKey],tblBusinessUnits[BusinessUnitName],"")</f>
        <v xml:space="preserve">Manufacturing </v>
      </c>
      <c r="P374" s="8" t="str">
        <f>_xlfn.XLOOKUP(tblFinancials[[#This Row],[RegionKey]],tblRegions[RegionKey],tblRegions[RegionName],"")</f>
        <v>Midwest</v>
      </c>
    </row>
    <row r="375" spans="1:16">
      <c r="A375">
        <v>20231101</v>
      </c>
      <c r="B375">
        <v>1</v>
      </c>
      <c r="C375">
        <v>4</v>
      </c>
      <c r="D375">
        <v>2</v>
      </c>
      <c r="E375">
        <v>14</v>
      </c>
      <c r="F375" t="s">
        <v>92</v>
      </c>
      <c r="G375">
        <v>-17488.919999999998</v>
      </c>
      <c r="H375">
        <f>_xlfn.XLOOKUP(tblFinancials[[#This Row],[DateKey]],tblCalendar[DateKey],tblCalendar[FullDate],"")</f>
        <v>45231</v>
      </c>
      <c r="I375">
        <f>_xlfn.XLOOKUP(tblFinancials[[#This Row],[AccountKey]],tblAccounts[AccountKey],tblAccounts[AccountNumber],"")</f>
        <v>5000</v>
      </c>
      <c r="J375" t="str">
        <f>_xlfn.XLOOKUP(tblFinancials[[#This Row],[AccountKey]],tblAccounts[AccountKey],tblAccounts[AccountName],"")</f>
        <v>Cost of Goods Sold</v>
      </c>
      <c r="K375" s="8" t="str">
        <f>_xlfn.XLOOKUP(tblFinancials[[#This Row],[AccountKey]],tblAccounts[AccountKey],tblAccounts[FinancialStatement],"")</f>
        <v>Income Statement</v>
      </c>
      <c r="L375" s="8" t="str">
        <f>_xlfn.XLOOKUP(tblFinancials[[#This Row],[AccountKey]],tblAccounts[AccountKey],tblAccounts[AccountCategory],"")</f>
        <v>Cost of Sales</v>
      </c>
      <c r="M375" s="8" t="str">
        <f>_xlfn.XLOOKUP(tblFinancials[[#This Row],[AccountKey]],tblAccounts[AccountKey],tblAccounts[NormalBalance],"")</f>
        <v>Debit</v>
      </c>
      <c r="N375" s="8" t="str">
        <f>_xlfn.XLOOKUP(tblFinancials[[#This Row],[DepartmentKey]],tblDepartments[DepartmentKey],tblDepartments[DepartmentName],"")</f>
        <v>Executive</v>
      </c>
      <c r="O375" s="8" t="str">
        <f>_xlfn.XLOOKUP(tblFinancials[[#This Row],[BusinessUnitKey]],tblBusinessUnits[BusinessUnitKey],tblBusinessUnits[BusinessUnitName],"")</f>
        <v>E-Commerce</v>
      </c>
      <c r="P375" s="8" t="str">
        <f>_xlfn.XLOOKUP(tblFinancials[[#This Row],[RegionKey]],tblRegions[RegionKey],tblRegions[RegionName],"")</f>
        <v>Midwest</v>
      </c>
    </row>
    <row r="376" spans="1:16">
      <c r="A376">
        <v>20231101</v>
      </c>
      <c r="B376">
        <v>5</v>
      </c>
      <c r="C376">
        <v>4</v>
      </c>
      <c r="D376">
        <v>3</v>
      </c>
      <c r="E376">
        <v>14</v>
      </c>
      <c r="F376" t="s">
        <v>92</v>
      </c>
      <c r="G376">
        <v>-19139.04</v>
      </c>
      <c r="H376">
        <f>_xlfn.XLOOKUP(tblFinancials[[#This Row],[DateKey]],tblCalendar[DateKey],tblCalendar[FullDate],"")</f>
        <v>45231</v>
      </c>
      <c r="I376">
        <f>_xlfn.XLOOKUP(tblFinancials[[#This Row],[AccountKey]],tblAccounts[AccountKey],tblAccounts[AccountNumber],"")</f>
        <v>5000</v>
      </c>
      <c r="J376" t="str">
        <f>_xlfn.XLOOKUP(tblFinancials[[#This Row],[AccountKey]],tblAccounts[AccountKey],tblAccounts[AccountName],"")</f>
        <v>Cost of Goods Sold</v>
      </c>
      <c r="K376" s="8" t="str">
        <f>_xlfn.XLOOKUP(tblFinancials[[#This Row],[AccountKey]],tblAccounts[AccountKey],tblAccounts[FinancialStatement],"")</f>
        <v>Income Statement</v>
      </c>
      <c r="L376" s="8" t="str">
        <f>_xlfn.XLOOKUP(tblFinancials[[#This Row],[AccountKey]],tblAccounts[AccountKey],tblAccounts[AccountCategory],"")</f>
        <v>Cost of Sales</v>
      </c>
      <c r="M376" s="8" t="str">
        <f>_xlfn.XLOOKUP(tblFinancials[[#This Row],[AccountKey]],tblAccounts[AccountKey],tblAccounts[NormalBalance],"")</f>
        <v>Debit</v>
      </c>
      <c r="N376" s="8" t="str">
        <f>_xlfn.XLOOKUP(tblFinancials[[#This Row],[DepartmentKey]],tblDepartments[DepartmentKey],tblDepartments[DepartmentName],"")</f>
        <v>Marketing</v>
      </c>
      <c r="O376" s="8" t="str">
        <f>_xlfn.XLOOKUP(tblFinancials[[#This Row],[BusinessUnitKey]],tblBusinessUnits[BusinessUnitKey],tblBusinessUnits[BusinessUnitName],"")</f>
        <v>E-Commerce</v>
      </c>
      <c r="P376" s="8" t="str">
        <f>_xlfn.XLOOKUP(tblFinancials[[#This Row],[RegionKey]],tblRegions[RegionKey],tblRegions[RegionName],"")</f>
        <v>South</v>
      </c>
    </row>
    <row r="377" spans="1:16">
      <c r="A377">
        <v>20231101</v>
      </c>
      <c r="B377">
        <v>4</v>
      </c>
      <c r="C377">
        <v>3</v>
      </c>
      <c r="D377">
        <v>2</v>
      </c>
      <c r="E377">
        <v>14</v>
      </c>
      <c r="F377" t="s">
        <v>92</v>
      </c>
      <c r="G377">
        <v>-18351.8</v>
      </c>
      <c r="H377">
        <f>_xlfn.XLOOKUP(tblFinancials[[#This Row],[DateKey]],tblCalendar[DateKey],tblCalendar[FullDate],"")</f>
        <v>45231</v>
      </c>
      <c r="I377">
        <f>_xlfn.XLOOKUP(tblFinancials[[#This Row],[AccountKey]],tblAccounts[AccountKey],tblAccounts[AccountNumber],"")</f>
        <v>5000</v>
      </c>
      <c r="J377" t="str">
        <f>_xlfn.XLOOKUP(tblFinancials[[#This Row],[AccountKey]],tblAccounts[AccountKey],tblAccounts[AccountName],"")</f>
        <v>Cost of Goods Sold</v>
      </c>
      <c r="K377" s="8" t="str">
        <f>_xlfn.XLOOKUP(tblFinancials[[#This Row],[AccountKey]],tblAccounts[AccountKey],tblAccounts[FinancialStatement],"")</f>
        <v>Income Statement</v>
      </c>
      <c r="L377" s="8" t="str">
        <f>_xlfn.XLOOKUP(tblFinancials[[#This Row],[AccountKey]],tblAccounts[AccountKey],tblAccounts[AccountCategory],"")</f>
        <v>Cost of Sales</v>
      </c>
      <c r="M377" s="8" t="str">
        <f>_xlfn.XLOOKUP(tblFinancials[[#This Row],[AccountKey]],tblAccounts[AccountKey],tblAccounts[NormalBalance],"")</f>
        <v>Debit</v>
      </c>
      <c r="N377" s="8" t="str">
        <f>_xlfn.XLOOKUP(tblFinancials[[#This Row],[DepartmentKey]],tblDepartments[DepartmentKey],tblDepartments[DepartmentName],"")</f>
        <v>Sales</v>
      </c>
      <c r="O377" s="8" t="str">
        <f>_xlfn.XLOOKUP(tblFinancials[[#This Row],[BusinessUnitKey]],tblBusinessUnits[BusinessUnitKey],tblBusinessUnits[BusinessUnitName],"")</f>
        <v>Retail</v>
      </c>
      <c r="P377" s="8" t="str">
        <f>_xlfn.XLOOKUP(tblFinancials[[#This Row],[RegionKey]],tblRegions[RegionKey],tblRegions[RegionName],"")</f>
        <v>Midwest</v>
      </c>
    </row>
    <row r="378" spans="1:16">
      <c r="A378">
        <v>20231101</v>
      </c>
      <c r="B378">
        <v>1</v>
      </c>
      <c r="C378">
        <v>4</v>
      </c>
      <c r="D378">
        <v>4</v>
      </c>
      <c r="E378">
        <v>14</v>
      </c>
      <c r="F378" t="s">
        <v>92</v>
      </c>
      <c r="G378">
        <v>-17583.73</v>
      </c>
      <c r="H378">
        <f>_xlfn.XLOOKUP(tblFinancials[[#This Row],[DateKey]],tblCalendar[DateKey],tblCalendar[FullDate],"")</f>
        <v>45231</v>
      </c>
      <c r="I378">
        <f>_xlfn.XLOOKUP(tblFinancials[[#This Row],[AccountKey]],tblAccounts[AccountKey],tblAccounts[AccountNumber],"")</f>
        <v>5000</v>
      </c>
      <c r="J378" t="str">
        <f>_xlfn.XLOOKUP(tblFinancials[[#This Row],[AccountKey]],tblAccounts[AccountKey],tblAccounts[AccountName],"")</f>
        <v>Cost of Goods Sold</v>
      </c>
      <c r="K378" s="8" t="str">
        <f>_xlfn.XLOOKUP(tblFinancials[[#This Row],[AccountKey]],tblAccounts[AccountKey],tblAccounts[FinancialStatement],"")</f>
        <v>Income Statement</v>
      </c>
      <c r="L378" s="8" t="str">
        <f>_xlfn.XLOOKUP(tblFinancials[[#This Row],[AccountKey]],tblAccounts[AccountKey],tblAccounts[AccountCategory],"")</f>
        <v>Cost of Sales</v>
      </c>
      <c r="M378" s="8" t="str">
        <f>_xlfn.XLOOKUP(tblFinancials[[#This Row],[AccountKey]],tblAccounts[AccountKey],tblAccounts[NormalBalance],"")</f>
        <v>Debit</v>
      </c>
      <c r="N378" s="8" t="str">
        <f>_xlfn.XLOOKUP(tblFinancials[[#This Row],[DepartmentKey]],tblDepartments[DepartmentKey],tblDepartments[DepartmentName],"")</f>
        <v>Executive</v>
      </c>
      <c r="O378" s="8" t="str">
        <f>_xlfn.XLOOKUP(tblFinancials[[#This Row],[BusinessUnitKey]],tblBusinessUnits[BusinessUnitKey],tblBusinessUnits[BusinessUnitName],"")</f>
        <v>E-Commerce</v>
      </c>
      <c r="P378" s="8" t="str">
        <f>_xlfn.XLOOKUP(tblFinancials[[#This Row],[RegionKey]],tblRegions[RegionKey],tblRegions[RegionName],"")</f>
        <v>East</v>
      </c>
    </row>
    <row r="379" spans="1:16">
      <c r="A379">
        <v>20231101</v>
      </c>
      <c r="B379">
        <v>6</v>
      </c>
      <c r="C379">
        <v>4</v>
      </c>
      <c r="D379">
        <v>2</v>
      </c>
      <c r="E379">
        <v>14</v>
      </c>
      <c r="F379" t="s">
        <v>92</v>
      </c>
      <c r="G379">
        <v>-17094.57</v>
      </c>
      <c r="H379">
        <f>_xlfn.XLOOKUP(tblFinancials[[#This Row],[DateKey]],tblCalendar[DateKey],tblCalendar[FullDate],"")</f>
        <v>45231</v>
      </c>
      <c r="I379">
        <f>_xlfn.XLOOKUP(tblFinancials[[#This Row],[AccountKey]],tblAccounts[AccountKey],tblAccounts[AccountNumber],"")</f>
        <v>5000</v>
      </c>
      <c r="J379" t="str">
        <f>_xlfn.XLOOKUP(tblFinancials[[#This Row],[AccountKey]],tblAccounts[AccountKey],tblAccounts[AccountName],"")</f>
        <v>Cost of Goods Sold</v>
      </c>
      <c r="K379" s="8" t="str">
        <f>_xlfn.XLOOKUP(tblFinancials[[#This Row],[AccountKey]],tblAccounts[AccountKey],tblAccounts[FinancialStatement],"")</f>
        <v>Income Statement</v>
      </c>
      <c r="L379" s="8" t="str">
        <f>_xlfn.XLOOKUP(tblFinancials[[#This Row],[AccountKey]],tblAccounts[AccountKey],tblAccounts[AccountCategory],"")</f>
        <v>Cost of Sales</v>
      </c>
      <c r="M379" s="8" t="str">
        <f>_xlfn.XLOOKUP(tblFinancials[[#This Row],[AccountKey]],tblAccounts[AccountKey],tblAccounts[NormalBalance],"")</f>
        <v>Debit</v>
      </c>
      <c r="N379" s="8" t="str">
        <f>_xlfn.XLOOKUP(tblFinancials[[#This Row],[DepartmentKey]],tblDepartments[DepartmentKey],tblDepartments[DepartmentName],"")</f>
        <v>Operations</v>
      </c>
      <c r="O379" s="8" t="str">
        <f>_xlfn.XLOOKUP(tblFinancials[[#This Row],[BusinessUnitKey]],tblBusinessUnits[BusinessUnitKey],tblBusinessUnits[BusinessUnitName],"")</f>
        <v>E-Commerce</v>
      </c>
      <c r="P379" s="8" t="str">
        <f>_xlfn.XLOOKUP(tblFinancials[[#This Row],[RegionKey]],tblRegions[RegionKey],tblRegions[RegionName],"")</f>
        <v>Midwest</v>
      </c>
    </row>
    <row r="380" spans="1:16">
      <c r="A380">
        <v>20231101</v>
      </c>
      <c r="B380">
        <v>2</v>
      </c>
      <c r="C380">
        <v>4</v>
      </c>
      <c r="D380">
        <v>3</v>
      </c>
      <c r="E380">
        <v>14</v>
      </c>
      <c r="F380" t="s">
        <v>92</v>
      </c>
      <c r="G380">
        <v>-18304.240000000002</v>
      </c>
      <c r="H380">
        <f>_xlfn.XLOOKUP(tblFinancials[[#This Row],[DateKey]],tblCalendar[DateKey],tblCalendar[FullDate],"")</f>
        <v>45231</v>
      </c>
      <c r="I380">
        <f>_xlfn.XLOOKUP(tblFinancials[[#This Row],[AccountKey]],tblAccounts[AccountKey],tblAccounts[AccountNumber],"")</f>
        <v>5000</v>
      </c>
      <c r="J380" t="str">
        <f>_xlfn.XLOOKUP(tblFinancials[[#This Row],[AccountKey]],tblAccounts[AccountKey],tblAccounts[AccountName],"")</f>
        <v>Cost of Goods Sold</v>
      </c>
      <c r="K380" s="8" t="str">
        <f>_xlfn.XLOOKUP(tblFinancials[[#This Row],[AccountKey]],tblAccounts[AccountKey],tblAccounts[FinancialStatement],"")</f>
        <v>Income Statement</v>
      </c>
      <c r="L380" s="8" t="str">
        <f>_xlfn.XLOOKUP(tblFinancials[[#This Row],[AccountKey]],tblAccounts[AccountKey],tblAccounts[AccountCategory],"")</f>
        <v>Cost of Sales</v>
      </c>
      <c r="M380" s="8" t="str">
        <f>_xlfn.XLOOKUP(tblFinancials[[#This Row],[AccountKey]],tblAccounts[AccountKey],tblAccounts[NormalBalance],"")</f>
        <v>Debit</v>
      </c>
      <c r="N380" s="8" t="str">
        <f>_xlfn.XLOOKUP(tblFinancials[[#This Row],[DepartmentKey]],tblDepartments[DepartmentKey],tblDepartments[DepartmentName],"")</f>
        <v>Finance</v>
      </c>
      <c r="O380" s="8" t="str">
        <f>_xlfn.XLOOKUP(tblFinancials[[#This Row],[BusinessUnitKey]],tblBusinessUnits[BusinessUnitKey],tblBusinessUnits[BusinessUnitName],"")</f>
        <v>E-Commerce</v>
      </c>
      <c r="P380" s="8" t="str">
        <f>_xlfn.XLOOKUP(tblFinancials[[#This Row],[RegionKey]],tblRegions[RegionKey],tblRegions[RegionName],"")</f>
        <v>South</v>
      </c>
    </row>
    <row r="381" spans="1:16">
      <c r="A381">
        <v>20231101</v>
      </c>
      <c r="B381">
        <v>5</v>
      </c>
      <c r="C381">
        <v>1</v>
      </c>
      <c r="D381">
        <v>4</v>
      </c>
      <c r="E381">
        <v>14</v>
      </c>
      <c r="F381" t="s">
        <v>92</v>
      </c>
      <c r="G381">
        <v>-17559.97</v>
      </c>
      <c r="H381">
        <f>_xlfn.XLOOKUP(tblFinancials[[#This Row],[DateKey]],tblCalendar[DateKey],tblCalendar[FullDate],"")</f>
        <v>45231</v>
      </c>
      <c r="I381">
        <f>_xlfn.XLOOKUP(tblFinancials[[#This Row],[AccountKey]],tblAccounts[AccountKey],tblAccounts[AccountNumber],"")</f>
        <v>5000</v>
      </c>
      <c r="J381" t="str">
        <f>_xlfn.XLOOKUP(tblFinancials[[#This Row],[AccountKey]],tblAccounts[AccountKey],tblAccounts[AccountName],"")</f>
        <v>Cost of Goods Sold</v>
      </c>
      <c r="K381" s="8" t="str">
        <f>_xlfn.XLOOKUP(tblFinancials[[#This Row],[AccountKey]],tblAccounts[AccountKey],tblAccounts[FinancialStatement],"")</f>
        <v>Income Statement</v>
      </c>
      <c r="L381" s="8" t="str">
        <f>_xlfn.XLOOKUP(tblFinancials[[#This Row],[AccountKey]],tblAccounts[AccountKey],tblAccounts[AccountCategory],"")</f>
        <v>Cost of Sales</v>
      </c>
      <c r="M381" s="8" t="str">
        <f>_xlfn.XLOOKUP(tblFinancials[[#This Row],[AccountKey]],tblAccounts[AccountKey],tblAccounts[NormalBalance],"")</f>
        <v>Debit</v>
      </c>
      <c r="N381" s="8" t="str">
        <f>_xlfn.XLOOKUP(tblFinancials[[#This Row],[DepartmentKey]],tblDepartments[DepartmentKey],tblDepartments[DepartmentName],"")</f>
        <v>Marketing</v>
      </c>
      <c r="O381" s="8" t="str">
        <f>_xlfn.XLOOKUP(tblFinancials[[#This Row],[BusinessUnitKey]],tblBusinessUnits[BusinessUnitKey],tblBusinessUnits[BusinessUnitName],"")</f>
        <v xml:space="preserve">Manufacturing </v>
      </c>
      <c r="P381" s="8" t="str">
        <f>_xlfn.XLOOKUP(tblFinancials[[#This Row],[RegionKey]],tblRegions[RegionKey],tblRegions[RegionName],"")</f>
        <v>East</v>
      </c>
    </row>
    <row r="382" spans="1:16">
      <c r="A382">
        <v>20231101</v>
      </c>
      <c r="B382">
        <v>3</v>
      </c>
      <c r="C382">
        <v>1</v>
      </c>
      <c r="D382">
        <v>1</v>
      </c>
      <c r="E382">
        <v>14</v>
      </c>
      <c r="F382" t="s">
        <v>92</v>
      </c>
      <c r="G382">
        <v>-18491.2</v>
      </c>
      <c r="H382">
        <f>_xlfn.XLOOKUP(tblFinancials[[#This Row],[DateKey]],tblCalendar[DateKey],tblCalendar[FullDate],"")</f>
        <v>45231</v>
      </c>
      <c r="I382">
        <f>_xlfn.XLOOKUP(tblFinancials[[#This Row],[AccountKey]],tblAccounts[AccountKey],tblAccounts[AccountNumber],"")</f>
        <v>5000</v>
      </c>
      <c r="J382" t="str">
        <f>_xlfn.XLOOKUP(tblFinancials[[#This Row],[AccountKey]],tblAccounts[AccountKey],tblAccounts[AccountName],"")</f>
        <v>Cost of Goods Sold</v>
      </c>
      <c r="K382" s="8" t="str">
        <f>_xlfn.XLOOKUP(tblFinancials[[#This Row],[AccountKey]],tblAccounts[AccountKey],tblAccounts[FinancialStatement],"")</f>
        <v>Income Statement</v>
      </c>
      <c r="L382" s="8" t="str">
        <f>_xlfn.XLOOKUP(tblFinancials[[#This Row],[AccountKey]],tblAccounts[AccountKey],tblAccounts[AccountCategory],"")</f>
        <v>Cost of Sales</v>
      </c>
      <c r="M382" s="8" t="str">
        <f>_xlfn.XLOOKUP(tblFinancials[[#This Row],[AccountKey]],tblAccounts[AccountKey],tblAccounts[NormalBalance],"")</f>
        <v>Debit</v>
      </c>
      <c r="N382" s="8" t="str">
        <f>_xlfn.XLOOKUP(tblFinancials[[#This Row],[DepartmentKey]],tblDepartments[DepartmentKey],tblDepartments[DepartmentName],"")</f>
        <v>Human Resources</v>
      </c>
      <c r="O382" s="8" t="str">
        <f>_xlfn.XLOOKUP(tblFinancials[[#This Row],[BusinessUnitKey]],tblBusinessUnits[BusinessUnitKey],tblBusinessUnits[BusinessUnitName],"")</f>
        <v xml:space="preserve">Manufacturing </v>
      </c>
      <c r="P382" s="8" t="str">
        <f>_xlfn.XLOOKUP(tblFinancials[[#This Row],[RegionKey]],tblRegions[RegionKey],tblRegions[RegionName],"")</f>
        <v>West</v>
      </c>
    </row>
    <row r="383" spans="1:16">
      <c r="A383">
        <v>20231101</v>
      </c>
      <c r="B383">
        <v>5</v>
      </c>
      <c r="C383">
        <v>3</v>
      </c>
      <c r="D383">
        <v>2</v>
      </c>
      <c r="E383">
        <v>14</v>
      </c>
      <c r="F383" t="s">
        <v>92</v>
      </c>
      <c r="G383">
        <v>-17357.88</v>
      </c>
      <c r="H383">
        <f>_xlfn.XLOOKUP(tblFinancials[[#This Row],[DateKey]],tblCalendar[DateKey],tblCalendar[FullDate],"")</f>
        <v>45231</v>
      </c>
      <c r="I383">
        <f>_xlfn.XLOOKUP(tblFinancials[[#This Row],[AccountKey]],tblAccounts[AccountKey],tblAccounts[AccountNumber],"")</f>
        <v>5000</v>
      </c>
      <c r="J383" t="str">
        <f>_xlfn.XLOOKUP(tblFinancials[[#This Row],[AccountKey]],tblAccounts[AccountKey],tblAccounts[AccountName],"")</f>
        <v>Cost of Goods Sold</v>
      </c>
      <c r="K383" s="8" t="str">
        <f>_xlfn.XLOOKUP(tblFinancials[[#This Row],[AccountKey]],tblAccounts[AccountKey],tblAccounts[FinancialStatement],"")</f>
        <v>Income Statement</v>
      </c>
      <c r="L383" s="8" t="str">
        <f>_xlfn.XLOOKUP(tblFinancials[[#This Row],[AccountKey]],tblAccounts[AccountKey],tblAccounts[AccountCategory],"")</f>
        <v>Cost of Sales</v>
      </c>
      <c r="M383" s="8" t="str">
        <f>_xlfn.XLOOKUP(tblFinancials[[#This Row],[AccountKey]],tblAccounts[AccountKey],tblAccounts[NormalBalance],"")</f>
        <v>Debit</v>
      </c>
      <c r="N383" s="8" t="str">
        <f>_xlfn.XLOOKUP(tblFinancials[[#This Row],[DepartmentKey]],tblDepartments[DepartmentKey],tblDepartments[DepartmentName],"")</f>
        <v>Marketing</v>
      </c>
      <c r="O383" s="8" t="str">
        <f>_xlfn.XLOOKUP(tblFinancials[[#This Row],[BusinessUnitKey]],tblBusinessUnits[BusinessUnitKey],tblBusinessUnits[BusinessUnitName],"")</f>
        <v>Retail</v>
      </c>
      <c r="P383" s="8" t="str">
        <f>_xlfn.XLOOKUP(tblFinancials[[#This Row],[RegionKey]],tblRegions[RegionKey],tblRegions[RegionName],"")</f>
        <v>Midwest</v>
      </c>
    </row>
    <row r="384" spans="1:16">
      <c r="A384">
        <v>20231101</v>
      </c>
      <c r="B384">
        <v>7</v>
      </c>
      <c r="C384">
        <v>2</v>
      </c>
      <c r="D384">
        <v>1</v>
      </c>
      <c r="E384">
        <v>14</v>
      </c>
      <c r="F384" t="s">
        <v>92</v>
      </c>
      <c r="G384">
        <v>-18094.29</v>
      </c>
      <c r="H384">
        <f>_xlfn.XLOOKUP(tblFinancials[[#This Row],[DateKey]],tblCalendar[DateKey],tblCalendar[FullDate],"")</f>
        <v>45231</v>
      </c>
      <c r="I384">
        <f>_xlfn.XLOOKUP(tblFinancials[[#This Row],[AccountKey]],tblAccounts[AccountKey],tblAccounts[AccountNumber],"")</f>
        <v>5000</v>
      </c>
      <c r="J384" t="str">
        <f>_xlfn.XLOOKUP(tblFinancials[[#This Row],[AccountKey]],tblAccounts[AccountKey],tblAccounts[AccountName],"")</f>
        <v>Cost of Goods Sold</v>
      </c>
      <c r="K384" s="8" t="str">
        <f>_xlfn.XLOOKUP(tblFinancials[[#This Row],[AccountKey]],tblAccounts[AccountKey],tblAccounts[FinancialStatement],"")</f>
        <v>Income Statement</v>
      </c>
      <c r="L384" s="8" t="str">
        <f>_xlfn.XLOOKUP(tblFinancials[[#This Row],[AccountKey]],tblAccounts[AccountKey],tblAccounts[AccountCategory],"")</f>
        <v>Cost of Sales</v>
      </c>
      <c r="M384" s="8" t="str">
        <f>_xlfn.XLOOKUP(tblFinancials[[#This Row],[AccountKey]],tblAccounts[AccountKey],tblAccounts[NormalBalance],"")</f>
        <v>Debit</v>
      </c>
      <c r="N384" s="8" t="str">
        <f>_xlfn.XLOOKUP(tblFinancials[[#This Row],[DepartmentKey]],tblDepartments[DepartmentKey],tblDepartments[DepartmentName],"")</f>
        <v>Information Technology</v>
      </c>
      <c r="O384" s="8" t="str">
        <f>_xlfn.XLOOKUP(tblFinancials[[#This Row],[BusinessUnitKey]],tblBusinessUnits[BusinessUnitKey],tblBusinessUnits[BusinessUnitName],"")</f>
        <v>Wholesale</v>
      </c>
      <c r="P384" s="8" t="str">
        <f>_xlfn.XLOOKUP(tblFinancials[[#This Row],[RegionKey]],tblRegions[RegionKey],tblRegions[RegionName],"")</f>
        <v>West</v>
      </c>
    </row>
    <row r="385" spans="1:16">
      <c r="A385">
        <v>20231101</v>
      </c>
      <c r="B385">
        <v>2</v>
      </c>
      <c r="C385">
        <v>4</v>
      </c>
      <c r="D385">
        <v>1</v>
      </c>
      <c r="E385">
        <v>14</v>
      </c>
      <c r="F385" t="s">
        <v>92</v>
      </c>
      <c r="G385">
        <v>-18438.830000000002</v>
      </c>
      <c r="H385">
        <f>_xlfn.XLOOKUP(tblFinancials[[#This Row],[DateKey]],tblCalendar[DateKey],tblCalendar[FullDate],"")</f>
        <v>45231</v>
      </c>
      <c r="I385">
        <f>_xlfn.XLOOKUP(tblFinancials[[#This Row],[AccountKey]],tblAccounts[AccountKey],tblAccounts[AccountNumber],"")</f>
        <v>5000</v>
      </c>
      <c r="J385" t="str">
        <f>_xlfn.XLOOKUP(tblFinancials[[#This Row],[AccountKey]],tblAccounts[AccountKey],tblAccounts[AccountName],"")</f>
        <v>Cost of Goods Sold</v>
      </c>
      <c r="K385" s="8" t="str">
        <f>_xlfn.XLOOKUP(tblFinancials[[#This Row],[AccountKey]],tblAccounts[AccountKey],tblAccounts[FinancialStatement],"")</f>
        <v>Income Statement</v>
      </c>
      <c r="L385" s="8" t="str">
        <f>_xlfn.XLOOKUP(tblFinancials[[#This Row],[AccountKey]],tblAccounts[AccountKey],tblAccounts[AccountCategory],"")</f>
        <v>Cost of Sales</v>
      </c>
      <c r="M385" s="8" t="str">
        <f>_xlfn.XLOOKUP(tblFinancials[[#This Row],[AccountKey]],tblAccounts[AccountKey],tblAccounts[NormalBalance],"")</f>
        <v>Debit</v>
      </c>
      <c r="N385" s="8" t="str">
        <f>_xlfn.XLOOKUP(tblFinancials[[#This Row],[DepartmentKey]],tblDepartments[DepartmentKey],tblDepartments[DepartmentName],"")</f>
        <v>Finance</v>
      </c>
      <c r="O385" s="8" t="str">
        <f>_xlfn.XLOOKUP(tblFinancials[[#This Row],[BusinessUnitKey]],tblBusinessUnits[BusinessUnitKey],tblBusinessUnits[BusinessUnitName],"")</f>
        <v>E-Commerce</v>
      </c>
      <c r="P385" s="8" t="str">
        <f>_xlfn.XLOOKUP(tblFinancials[[#This Row],[RegionKey]],tblRegions[RegionKey],tblRegions[RegionName],"")</f>
        <v>West</v>
      </c>
    </row>
    <row r="386" spans="1:16">
      <c r="A386">
        <v>20231101</v>
      </c>
      <c r="B386">
        <v>6</v>
      </c>
      <c r="C386">
        <v>1</v>
      </c>
      <c r="D386">
        <v>4</v>
      </c>
      <c r="E386">
        <v>25</v>
      </c>
      <c r="F386" t="s">
        <v>92</v>
      </c>
      <c r="G386">
        <v>-6985.05</v>
      </c>
      <c r="H386">
        <f>_xlfn.XLOOKUP(tblFinancials[[#This Row],[DateKey]],tblCalendar[DateKey],tblCalendar[FullDate],"")</f>
        <v>45231</v>
      </c>
      <c r="I386">
        <f>_xlfn.XLOOKUP(tblFinancials[[#This Row],[AccountKey]],tblAccounts[AccountKey],tblAccounts[AccountNumber],"")</f>
        <v>8200</v>
      </c>
      <c r="J386" t="str">
        <f>_xlfn.XLOOKUP(tblFinancials[[#This Row],[AccountKey]],tblAccounts[AccountKey],tblAccounts[AccountName],"")</f>
        <v>Income Tax Expense</v>
      </c>
      <c r="K386" s="8" t="str">
        <f>_xlfn.XLOOKUP(tblFinancials[[#This Row],[AccountKey]],tblAccounts[AccountKey],tblAccounts[FinancialStatement],"")</f>
        <v>Income Statement</v>
      </c>
      <c r="L386" s="8" t="str">
        <f>_xlfn.XLOOKUP(tblFinancials[[#This Row],[AccountKey]],tblAccounts[AccountKey],tblAccounts[AccountCategory],"")</f>
        <v>Tax Expense</v>
      </c>
      <c r="M386" s="8" t="str">
        <f>_xlfn.XLOOKUP(tblFinancials[[#This Row],[AccountKey]],tblAccounts[AccountKey],tblAccounts[NormalBalance],"")</f>
        <v>Debit</v>
      </c>
      <c r="N386" s="8" t="str">
        <f>_xlfn.XLOOKUP(tblFinancials[[#This Row],[DepartmentKey]],tblDepartments[DepartmentKey],tblDepartments[DepartmentName],"")</f>
        <v>Operations</v>
      </c>
      <c r="O386" s="8" t="str">
        <f>_xlfn.XLOOKUP(tblFinancials[[#This Row],[BusinessUnitKey]],tblBusinessUnits[BusinessUnitKey],tblBusinessUnits[BusinessUnitName],"")</f>
        <v xml:space="preserve">Manufacturing </v>
      </c>
      <c r="P386" s="8" t="str">
        <f>_xlfn.XLOOKUP(tblFinancials[[#This Row],[RegionKey]],tblRegions[RegionKey],tblRegions[RegionName],"")</f>
        <v>East</v>
      </c>
    </row>
    <row r="387" spans="1:16">
      <c r="A387">
        <v>20231101</v>
      </c>
      <c r="B387">
        <v>8</v>
      </c>
      <c r="C387">
        <v>3</v>
      </c>
      <c r="D387">
        <v>1</v>
      </c>
      <c r="E387">
        <v>15</v>
      </c>
      <c r="F387" t="s">
        <v>92</v>
      </c>
      <c r="G387">
        <v>-6343.77</v>
      </c>
      <c r="H387">
        <f>_xlfn.XLOOKUP(tblFinancials[[#This Row],[DateKey]],tblCalendar[DateKey],tblCalendar[FullDate],"")</f>
        <v>45231</v>
      </c>
      <c r="I387">
        <f>_xlfn.XLOOKUP(tblFinancials[[#This Row],[AccountKey]],tblAccounts[AccountKey],tblAccounts[AccountNumber],"")</f>
        <v>6100</v>
      </c>
      <c r="J387" t="str">
        <f>_xlfn.XLOOKUP(tblFinancials[[#This Row],[AccountKey]],tblAccounts[AccountKey],tblAccounts[AccountName],"")</f>
        <v>Salaries Expense</v>
      </c>
      <c r="K387" s="8" t="str">
        <f>_xlfn.XLOOKUP(tblFinancials[[#This Row],[AccountKey]],tblAccounts[AccountKey],tblAccounts[FinancialStatement],"")</f>
        <v>Income Statement</v>
      </c>
      <c r="L387" s="8" t="str">
        <f>_xlfn.XLOOKUP(tblFinancials[[#This Row],[AccountKey]],tblAccounts[AccountKey],tblAccounts[AccountCategory],"")</f>
        <v>Operating Expense</v>
      </c>
      <c r="M387" s="8" t="str">
        <f>_xlfn.XLOOKUP(tblFinancials[[#This Row],[AccountKey]],tblAccounts[AccountKey],tblAccounts[NormalBalance],"")</f>
        <v>Debit</v>
      </c>
      <c r="N387" s="8" t="str">
        <f>_xlfn.XLOOKUP(tblFinancials[[#This Row],[DepartmentKey]],tblDepartments[DepartmentKey],tblDepartments[DepartmentName],"")</f>
        <v>Customer Service</v>
      </c>
      <c r="O387" s="8" t="str">
        <f>_xlfn.XLOOKUP(tblFinancials[[#This Row],[BusinessUnitKey]],tblBusinessUnits[BusinessUnitKey],tblBusinessUnits[BusinessUnitName],"")</f>
        <v>Retail</v>
      </c>
      <c r="P387" s="8" t="str">
        <f>_xlfn.XLOOKUP(tblFinancials[[#This Row],[RegionKey]],tblRegions[RegionKey],tblRegions[RegionName],"")</f>
        <v>West</v>
      </c>
    </row>
    <row r="388" spans="1:16">
      <c r="A388">
        <v>20231101</v>
      </c>
      <c r="B388">
        <v>6</v>
      </c>
      <c r="C388">
        <v>2</v>
      </c>
      <c r="D388">
        <v>2</v>
      </c>
      <c r="E388">
        <v>19</v>
      </c>
      <c r="F388" t="s">
        <v>92</v>
      </c>
      <c r="G388">
        <v>-8107.37</v>
      </c>
      <c r="H388">
        <f>_xlfn.XLOOKUP(tblFinancials[[#This Row],[DateKey]],tblCalendar[DateKey],tblCalendar[FullDate],"")</f>
        <v>45231</v>
      </c>
      <c r="I388">
        <f>_xlfn.XLOOKUP(tblFinancials[[#This Row],[AccountKey]],tblAccounts[AccountKey],tblAccounts[AccountNumber],"")</f>
        <v>6300</v>
      </c>
      <c r="J388" t="str">
        <f>_xlfn.XLOOKUP(tblFinancials[[#This Row],[AccountKey]],tblAccounts[AccountKey],tblAccounts[AccountName],"")</f>
        <v>Software Expense</v>
      </c>
      <c r="K388" s="8" t="str">
        <f>_xlfn.XLOOKUP(tblFinancials[[#This Row],[AccountKey]],tblAccounts[AccountKey],tblAccounts[FinancialStatement],"")</f>
        <v>Income Statement</v>
      </c>
      <c r="L388" s="8" t="str">
        <f>_xlfn.XLOOKUP(tblFinancials[[#This Row],[AccountKey]],tblAccounts[AccountKey],tblAccounts[AccountCategory],"")</f>
        <v>Operating Expense</v>
      </c>
      <c r="M388" s="8" t="str">
        <f>_xlfn.XLOOKUP(tblFinancials[[#This Row],[AccountKey]],tblAccounts[AccountKey],tblAccounts[NormalBalance],"")</f>
        <v>Debit</v>
      </c>
      <c r="N388" s="8" t="str">
        <f>_xlfn.XLOOKUP(tblFinancials[[#This Row],[DepartmentKey]],tblDepartments[DepartmentKey],tblDepartments[DepartmentName],"")</f>
        <v>Operations</v>
      </c>
      <c r="O388" s="8" t="str">
        <f>_xlfn.XLOOKUP(tblFinancials[[#This Row],[BusinessUnitKey]],tblBusinessUnits[BusinessUnitKey],tblBusinessUnits[BusinessUnitName],"")</f>
        <v>Wholesale</v>
      </c>
      <c r="P388" s="8" t="str">
        <f>_xlfn.XLOOKUP(tblFinancials[[#This Row],[RegionKey]],tblRegions[RegionKey],tblRegions[RegionName],"")</f>
        <v>Midwest</v>
      </c>
    </row>
    <row r="389" spans="1:16">
      <c r="A389">
        <v>20231101</v>
      </c>
      <c r="B389">
        <v>5</v>
      </c>
      <c r="C389">
        <v>2</v>
      </c>
      <c r="D389">
        <v>2</v>
      </c>
      <c r="E389">
        <v>21</v>
      </c>
      <c r="F389" t="s">
        <v>92</v>
      </c>
      <c r="G389">
        <v>-7864.81</v>
      </c>
      <c r="H389">
        <f>_xlfn.XLOOKUP(tblFinancials[[#This Row],[DateKey]],tblCalendar[DateKey],tblCalendar[FullDate],"")</f>
        <v>45231</v>
      </c>
      <c r="I389">
        <f>_xlfn.XLOOKUP(tblFinancials[[#This Row],[AccountKey]],tblAccounts[AccountKey],tblAccounts[AccountNumber],"")</f>
        <v>6600</v>
      </c>
      <c r="J389" t="str">
        <f>_xlfn.XLOOKUP(tblFinancials[[#This Row],[AccountKey]],tblAccounts[AccountKey],tblAccounts[AccountName],"")</f>
        <v>Utilities Expense</v>
      </c>
      <c r="K389" s="8" t="str">
        <f>_xlfn.XLOOKUP(tblFinancials[[#This Row],[AccountKey]],tblAccounts[AccountKey],tblAccounts[FinancialStatement],"")</f>
        <v>Income Statement</v>
      </c>
      <c r="L389" s="8" t="str">
        <f>_xlfn.XLOOKUP(tblFinancials[[#This Row],[AccountKey]],tblAccounts[AccountKey],tblAccounts[AccountCategory],"")</f>
        <v>Operating Expense</v>
      </c>
      <c r="M389" s="8" t="str">
        <f>_xlfn.XLOOKUP(tblFinancials[[#This Row],[AccountKey]],tblAccounts[AccountKey],tblAccounts[NormalBalance],"")</f>
        <v>Debit</v>
      </c>
      <c r="N389" s="8" t="str">
        <f>_xlfn.XLOOKUP(tblFinancials[[#This Row],[DepartmentKey]],tblDepartments[DepartmentKey],tblDepartments[DepartmentName],"")</f>
        <v>Marketing</v>
      </c>
      <c r="O389" s="8" t="str">
        <f>_xlfn.XLOOKUP(tblFinancials[[#This Row],[BusinessUnitKey]],tblBusinessUnits[BusinessUnitKey],tblBusinessUnits[BusinessUnitName],"")</f>
        <v>Wholesale</v>
      </c>
      <c r="P389" s="8" t="str">
        <f>_xlfn.XLOOKUP(tblFinancials[[#This Row],[RegionKey]],tblRegions[RegionKey],tblRegions[RegionName],"")</f>
        <v>Midwest</v>
      </c>
    </row>
    <row r="390" spans="1:16">
      <c r="A390">
        <v>20231101</v>
      </c>
      <c r="B390">
        <v>4</v>
      </c>
      <c r="C390">
        <v>2</v>
      </c>
      <c r="D390">
        <v>4</v>
      </c>
      <c r="E390">
        <v>23</v>
      </c>
      <c r="F390" t="s">
        <v>92</v>
      </c>
      <c r="G390">
        <v>-6361.69</v>
      </c>
      <c r="H390">
        <f>_xlfn.XLOOKUP(tblFinancials[[#This Row],[DateKey]],tblCalendar[DateKey],tblCalendar[FullDate],"")</f>
        <v>45231</v>
      </c>
      <c r="I390">
        <f>_xlfn.XLOOKUP(tblFinancials[[#This Row],[AccountKey]],tblAccounts[AccountKey],tblAccounts[AccountNumber],"")</f>
        <v>6800</v>
      </c>
      <c r="J390" t="str">
        <f>_xlfn.XLOOKUP(tblFinancials[[#This Row],[AccountKey]],tblAccounts[AccountKey],tblAccounts[AccountName],"")</f>
        <v>Travel Expense</v>
      </c>
      <c r="K390" s="8" t="str">
        <f>_xlfn.XLOOKUP(tblFinancials[[#This Row],[AccountKey]],tblAccounts[AccountKey],tblAccounts[FinancialStatement],"")</f>
        <v>Income Statement</v>
      </c>
      <c r="L390" s="8" t="str">
        <f>_xlfn.XLOOKUP(tblFinancials[[#This Row],[AccountKey]],tblAccounts[AccountKey],tblAccounts[AccountCategory],"")</f>
        <v>Operating Expense</v>
      </c>
      <c r="M390" s="8" t="str">
        <f>_xlfn.XLOOKUP(tblFinancials[[#This Row],[AccountKey]],tblAccounts[AccountKey],tblAccounts[NormalBalance],"")</f>
        <v>Debit</v>
      </c>
      <c r="N390" s="8" t="str">
        <f>_xlfn.XLOOKUP(tblFinancials[[#This Row],[DepartmentKey]],tblDepartments[DepartmentKey],tblDepartments[DepartmentName],"")</f>
        <v>Sales</v>
      </c>
      <c r="O390" s="8" t="str">
        <f>_xlfn.XLOOKUP(tblFinancials[[#This Row],[BusinessUnitKey]],tblBusinessUnits[BusinessUnitKey],tblBusinessUnits[BusinessUnitName],"")</f>
        <v>Wholesale</v>
      </c>
      <c r="P390" s="8" t="str">
        <f>_xlfn.XLOOKUP(tblFinancials[[#This Row],[RegionKey]],tblRegions[RegionKey],tblRegions[RegionName],"")</f>
        <v>East</v>
      </c>
    </row>
    <row r="391" spans="1:16">
      <c r="A391">
        <v>20231101</v>
      </c>
      <c r="B391">
        <v>1</v>
      </c>
      <c r="C391">
        <v>1</v>
      </c>
      <c r="D391">
        <v>2</v>
      </c>
      <c r="E391">
        <v>19</v>
      </c>
      <c r="F391" t="s">
        <v>92</v>
      </c>
      <c r="G391">
        <v>-7793.98</v>
      </c>
      <c r="H391">
        <f>_xlfn.XLOOKUP(tblFinancials[[#This Row],[DateKey]],tblCalendar[DateKey],tblCalendar[FullDate],"")</f>
        <v>45231</v>
      </c>
      <c r="I391">
        <f>_xlfn.XLOOKUP(tblFinancials[[#This Row],[AccountKey]],tblAccounts[AccountKey],tblAccounts[AccountNumber],"")</f>
        <v>6300</v>
      </c>
      <c r="J391" t="str">
        <f>_xlfn.XLOOKUP(tblFinancials[[#This Row],[AccountKey]],tblAccounts[AccountKey],tblAccounts[AccountName],"")</f>
        <v>Software Expense</v>
      </c>
      <c r="K391" s="8" t="str">
        <f>_xlfn.XLOOKUP(tblFinancials[[#This Row],[AccountKey]],tblAccounts[AccountKey],tblAccounts[FinancialStatement],"")</f>
        <v>Income Statement</v>
      </c>
      <c r="L391" s="8" t="str">
        <f>_xlfn.XLOOKUP(tblFinancials[[#This Row],[AccountKey]],tblAccounts[AccountKey],tblAccounts[AccountCategory],"")</f>
        <v>Operating Expense</v>
      </c>
      <c r="M391" s="8" t="str">
        <f>_xlfn.XLOOKUP(tblFinancials[[#This Row],[AccountKey]],tblAccounts[AccountKey],tblAccounts[NormalBalance],"")</f>
        <v>Debit</v>
      </c>
      <c r="N391" s="8" t="str">
        <f>_xlfn.XLOOKUP(tblFinancials[[#This Row],[DepartmentKey]],tblDepartments[DepartmentKey],tblDepartments[DepartmentName],"")</f>
        <v>Executive</v>
      </c>
      <c r="O391" s="8" t="str">
        <f>_xlfn.XLOOKUP(tblFinancials[[#This Row],[BusinessUnitKey]],tblBusinessUnits[BusinessUnitKey],tblBusinessUnits[BusinessUnitName],"")</f>
        <v xml:space="preserve">Manufacturing </v>
      </c>
      <c r="P391" s="8" t="str">
        <f>_xlfn.XLOOKUP(tblFinancials[[#This Row],[RegionKey]],tblRegions[RegionKey],tblRegions[RegionName],"")</f>
        <v>Midwest</v>
      </c>
    </row>
    <row r="392" spans="1:16">
      <c r="A392">
        <v>20231101</v>
      </c>
      <c r="B392">
        <v>7</v>
      </c>
      <c r="C392">
        <v>1</v>
      </c>
      <c r="D392">
        <v>3</v>
      </c>
      <c r="E392">
        <v>18</v>
      </c>
      <c r="F392" t="s">
        <v>92</v>
      </c>
      <c r="G392">
        <v>-7807.52</v>
      </c>
      <c r="H392">
        <f>_xlfn.XLOOKUP(tblFinancials[[#This Row],[DateKey]],tblCalendar[DateKey],tblCalendar[FullDate],"")</f>
        <v>45231</v>
      </c>
      <c r="I392">
        <f>_xlfn.XLOOKUP(tblFinancials[[#This Row],[AccountKey]],tblAccounts[AccountKey],tblAccounts[AccountNumber],"")</f>
        <v>6200</v>
      </c>
      <c r="J392" t="str">
        <f>_xlfn.XLOOKUP(tblFinancials[[#This Row],[AccountKey]],tblAccounts[AccountKey],tblAccounts[AccountName],"")</f>
        <v>Marketing Expense</v>
      </c>
      <c r="K392" s="8" t="str">
        <f>_xlfn.XLOOKUP(tblFinancials[[#This Row],[AccountKey]],tblAccounts[AccountKey],tblAccounts[FinancialStatement],"")</f>
        <v>Income Statement</v>
      </c>
      <c r="L392" s="8" t="str">
        <f>_xlfn.XLOOKUP(tblFinancials[[#This Row],[AccountKey]],tblAccounts[AccountKey],tblAccounts[AccountCategory],"")</f>
        <v>Operating Expense</v>
      </c>
      <c r="M392" s="8" t="str">
        <f>_xlfn.XLOOKUP(tblFinancials[[#This Row],[AccountKey]],tblAccounts[AccountKey],tblAccounts[NormalBalance],"")</f>
        <v>Debit</v>
      </c>
      <c r="N392" s="8" t="str">
        <f>_xlfn.XLOOKUP(tblFinancials[[#This Row],[DepartmentKey]],tblDepartments[DepartmentKey],tblDepartments[DepartmentName],"")</f>
        <v>Information Technology</v>
      </c>
      <c r="O392" s="8" t="str">
        <f>_xlfn.XLOOKUP(tblFinancials[[#This Row],[BusinessUnitKey]],tblBusinessUnits[BusinessUnitKey],tblBusinessUnits[BusinessUnitName],"")</f>
        <v xml:space="preserve">Manufacturing </v>
      </c>
      <c r="P392" s="8" t="str">
        <f>_xlfn.XLOOKUP(tblFinancials[[#This Row],[RegionKey]],tblRegions[RegionKey],tblRegions[RegionName],"")</f>
        <v>South</v>
      </c>
    </row>
    <row r="393" spans="1:16">
      <c r="A393">
        <v>20231101</v>
      </c>
      <c r="B393">
        <v>1</v>
      </c>
      <c r="C393">
        <v>1</v>
      </c>
      <c r="D393">
        <v>1</v>
      </c>
      <c r="E393">
        <v>21</v>
      </c>
      <c r="F393" t="s">
        <v>92</v>
      </c>
      <c r="G393">
        <v>-6765.07</v>
      </c>
      <c r="H393">
        <f>_xlfn.XLOOKUP(tblFinancials[[#This Row],[DateKey]],tblCalendar[DateKey],tblCalendar[FullDate],"")</f>
        <v>45231</v>
      </c>
      <c r="I393">
        <f>_xlfn.XLOOKUP(tblFinancials[[#This Row],[AccountKey]],tblAccounts[AccountKey],tblAccounts[AccountNumber],"")</f>
        <v>6600</v>
      </c>
      <c r="J393" t="str">
        <f>_xlfn.XLOOKUP(tblFinancials[[#This Row],[AccountKey]],tblAccounts[AccountKey],tblAccounts[AccountName],"")</f>
        <v>Utilities Expense</v>
      </c>
      <c r="K393" s="8" t="str">
        <f>_xlfn.XLOOKUP(tblFinancials[[#This Row],[AccountKey]],tblAccounts[AccountKey],tblAccounts[FinancialStatement],"")</f>
        <v>Income Statement</v>
      </c>
      <c r="L393" s="8" t="str">
        <f>_xlfn.XLOOKUP(tblFinancials[[#This Row],[AccountKey]],tblAccounts[AccountKey],tblAccounts[AccountCategory],"")</f>
        <v>Operating Expense</v>
      </c>
      <c r="M393" s="8" t="str">
        <f>_xlfn.XLOOKUP(tblFinancials[[#This Row],[AccountKey]],tblAccounts[AccountKey],tblAccounts[NormalBalance],"")</f>
        <v>Debit</v>
      </c>
      <c r="N393" s="8" t="str">
        <f>_xlfn.XLOOKUP(tblFinancials[[#This Row],[DepartmentKey]],tblDepartments[DepartmentKey],tblDepartments[DepartmentName],"")</f>
        <v>Executive</v>
      </c>
      <c r="O393" s="8" t="str">
        <f>_xlfn.XLOOKUP(tblFinancials[[#This Row],[BusinessUnitKey]],tblBusinessUnits[BusinessUnitKey],tblBusinessUnits[BusinessUnitName],"")</f>
        <v xml:space="preserve">Manufacturing </v>
      </c>
      <c r="P393" s="8" t="str">
        <f>_xlfn.XLOOKUP(tblFinancials[[#This Row],[RegionKey]],tblRegions[RegionKey],tblRegions[RegionName],"")</f>
        <v>West</v>
      </c>
    </row>
    <row r="394" spans="1:16">
      <c r="A394">
        <v>20231101</v>
      </c>
      <c r="B394">
        <v>6</v>
      </c>
      <c r="C394">
        <v>1</v>
      </c>
      <c r="D394">
        <v>4</v>
      </c>
      <c r="E394">
        <v>24</v>
      </c>
      <c r="F394" t="s">
        <v>92</v>
      </c>
      <c r="G394">
        <v>-7682.64</v>
      </c>
      <c r="H394">
        <f>_xlfn.XLOOKUP(tblFinancials[[#This Row],[DateKey]],tblCalendar[DateKey],tblCalendar[FullDate],"")</f>
        <v>45231</v>
      </c>
      <c r="I394">
        <f>_xlfn.XLOOKUP(tblFinancials[[#This Row],[AccountKey]],tblAccounts[AccountKey],tblAccounts[AccountNumber],"")</f>
        <v>6900</v>
      </c>
      <c r="J394" t="str">
        <f>_xlfn.XLOOKUP(tblFinancials[[#This Row],[AccountKey]],tblAccounts[AccountKey],tblAccounts[AccountName],"")</f>
        <v>Professional Services</v>
      </c>
      <c r="K394" s="8" t="str">
        <f>_xlfn.XLOOKUP(tblFinancials[[#This Row],[AccountKey]],tblAccounts[AccountKey],tblAccounts[FinancialStatement],"")</f>
        <v>Income Statement</v>
      </c>
      <c r="L394" s="8" t="str">
        <f>_xlfn.XLOOKUP(tblFinancials[[#This Row],[AccountKey]],tblAccounts[AccountKey],tblAccounts[AccountCategory],"")</f>
        <v>Operating Expense</v>
      </c>
      <c r="M394" s="8" t="str">
        <f>_xlfn.XLOOKUP(tblFinancials[[#This Row],[AccountKey]],tblAccounts[AccountKey],tblAccounts[NormalBalance],"")</f>
        <v>Debit</v>
      </c>
      <c r="N394" s="8" t="str">
        <f>_xlfn.XLOOKUP(tblFinancials[[#This Row],[DepartmentKey]],tblDepartments[DepartmentKey],tblDepartments[DepartmentName],"")</f>
        <v>Operations</v>
      </c>
      <c r="O394" s="8" t="str">
        <f>_xlfn.XLOOKUP(tblFinancials[[#This Row],[BusinessUnitKey]],tblBusinessUnits[BusinessUnitKey],tblBusinessUnits[BusinessUnitName],"")</f>
        <v xml:space="preserve">Manufacturing </v>
      </c>
      <c r="P394" s="8" t="str">
        <f>_xlfn.XLOOKUP(tblFinancials[[#This Row],[RegionKey]],tblRegions[RegionKey],tblRegions[RegionName],"")</f>
        <v>East</v>
      </c>
    </row>
    <row r="395" spans="1:16">
      <c r="A395">
        <v>20231101</v>
      </c>
      <c r="B395">
        <v>4</v>
      </c>
      <c r="C395">
        <v>4</v>
      </c>
      <c r="D395">
        <v>3</v>
      </c>
      <c r="E395">
        <v>19</v>
      </c>
      <c r="F395" t="s">
        <v>92</v>
      </c>
      <c r="G395">
        <v>-7635.31</v>
      </c>
      <c r="H395">
        <f>_xlfn.XLOOKUP(tblFinancials[[#This Row],[DateKey]],tblCalendar[DateKey],tblCalendar[FullDate],"")</f>
        <v>45231</v>
      </c>
      <c r="I395">
        <f>_xlfn.XLOOKUP(tblFinancials[[#This Row],[AccountKey]],tblAccounts[AccountKey],tblAccounts[AccountNumber],"")</f>
        <v>6300</v>
      </c>
      <c r="J395" t="str">
        <f>_xlfn.XLOOKUP(tblFinancials[[#This Row],[AccountKey]],tblAccounts[AccountKey],tblAccounts[AccountName],"")</f>
        <v>Software Expense</v>
      </c>
      <c r="K395" s="8" t="str">
        <f>_xlfn.XLOOKUP(tblFinancials[[#This Row],[AccountKey]],tblAccounts[AccountKey],tblAccounts[FinancialStatement],"")</f>
        <v>Income Statement</v>
      </c>
      <c r="L395" s="8" t="str">
        <f>_xlfn.XLOOKUP(tblFinancials[[#This Row],[AccountKey]],tblAccounts[AccountKey],tblAccounts[AccountCategory],"")</f>
        <v>Operating Expense</v>
      </c>
      <c r="M395" s="8" t="str">
        <f>_xlfn.XLOOKUP(tblFinancials[[#This Row],[AccountKey]],tblAccounts[AccountKey],tblAccounts[NormalBalance],"")</f>
        <v>Debit</v>
      </c>
      <c r="N395" s="8" t="str">
        <f>_xlfn.XLOOKUP(tblFinancials[[#This Row],[DepartmentKey]],tblDepartments[DepartmentKey],tblDepartments[DepartmentName],"")</f>
        <v>Sales</v>
      </c>
      <c r="O395" s="8" t="str">
        <f>_xlfn.XLOOKUP(tblFinancials[[#This Row],[BusinessUnitKey]],tblBusinessUnits[BusinessUnitKey],tblBusinessUnits[BusinessUnitName],"")</f>
        <v>E-Commerce</v>
      </c>
      <c r="P395" s="8" t="str">
        <f>_xlfn.XLOOKUP(tblFinancials[[#This Row],[RegionKey]],tblRegions[RegionKey],tblRegions[RegionName],"")</f>
        <v>South</v>
      </c>
    </row>
    <row r="396" spans="1:16">
      <c r="A396">
        <v>20231101</v>
      </c>
      <c r="B396">
        <v>5</v>
      </c>
      <c r="C396">
        <v>4</v>
      </c>
      <c r="D396">
        <v>3</v>
      </c>
      <c r="E396">
        <v>22</v>
      </c>
      <c r="F396" t="s">
        <v>92</v>
      </c>
      <c r="G396">
        <v>-8403.8799999999992</v>
      </c>
      <c r="H396">
        <f>_xlfn.XLOOKUP(tblFinancials[[#This Row],[DateKey]],tblCalendar[DateKey],tblCalendar[FullDate],"")</f>
        <v>45231</v>
      </c>
      <c r="I396">
        <f>_xlfn.XLOOKUP(tblFinancials[[#This Row],[AccountKey]],tblAccounts[AccountKey],tblAccounts[AccountNumber],"")</f>
        <v>6700</v>
      </c>
      <c r="J396" t="str">
        <f>_xlfn.XLOOKUP(tblFinancials[[#This Row],[AccountKey]],tblAccounts[AccountKey],tblAccounts[AccountName],"")</f>
        <v>Insurance Expense</v>
      </c>
      <c r="K396" s="8" t="str">
        <f>_xlfn.XLOOKUP(tblFinancials[[#This Row],[AccountKey]],tblAccounts[AccountKey],tblAccounts[FinancialStatement],"")</f>
        <v>Income Statement</v>
      </c>
      <c r="L396" s="8" t="str">
        <f>_xlfn.XLOOKUP(tblFinancials[[#This Row],[AccountKey]],tblAccounts[AccountKey],tblAccounts[AccountCategory],"")</f>
        <v>Operating Expense</v>
      </c>
      <c r="M396" s="8" t="str">
        <f>_xlfn.XLOOKUP(tblFinancials[[#This Row],[AccountKey]],tblAccounts[AccountKey],tblAccounts[NormalBalance],"")</f>
        <v>Debit</v>
      </c>
      <c r="N396" s="8" t="str">
        <f>_xlfn.XLOOKUP(tblFinancials[[#This Row],[DepartmentKey]],tblDepartments[DepartmentKey],tblDepartments[DepartmentName],"")</f>
        <v>Marketing</v>
      </c>
      <c r="O396" s="8" t="str">
        <f>_xlfn.XLOOKUP(tblFinancials[[#This Row],[BusinessUnitKey]],tblBusinessUnits[BusinessUnitKey],tblBusinessUnits[BusinessUnitName],"")</f>
        <v>E-Commerce</v>
      </c>
      <c r="P396" s="8" t="str">
        <f>_xlfn.XLOOKUP(tblFinancials[[#This Row],[RegionKey]],tblRegions[RegionKey],tblRegions[RegionName],"")</f>
        <v>South</v>
      </c>
    </row>
    <row r="397" spans="1:16">
      <c r="A397">
        <v>20231101</v>
      </c>
      <c r="B397">
        <v>5</v>
      </c>
      <c r="C397">
        <v>1</v>
      </c>
      <c r="D397">
        <v>4</v>
      </c>
      <c r="E397">
        <v>20</v>
      </c>
      <c r="F397" t="s">
        <v>92</v>
      </c>
      <c r="G397">
        <v>-4880.13</v>
      </c>
      <c r="H397">
        <f>_xlfn.XLOOKUP(tblFinancials[[#This Row],[DateKey]],tblCalendar[DateKey],tblCalendar[FullDate],"")</f>
        <v>45231</v>
      </c>
      <c r="I397">
        <f>_xlfn.XLOOKUP(tblFinancials[[#This Row],[AccountKey]],tblAccounts[AccountKey],tblAccounts[AccountNumber],"")</f>
        <v>6500</v>
      </c>
      <c r="J397" t="str">
        <f>_xlfn.XLOOKUP(tblFinancials[[#This Row],[AccountKey]],tblAccounts[AccountKey],tblAccounts[AccountName],"")</f>
        <v>Rent Expense</v>
      </c>
      <c r="K397" s="8" t="str">
        <f>_xlfn.XLOOKUP(tblFinancials[[#This Row],[AccountKey]],tblAccounts[AccountKey],tblAccounts[FinancialStatement],"")</f>
        <v>Income Statement</v>
      </c>
      <c r="L397" s="8" t="str">
        <f>_xlfn.XLOOKUP(tblFinancials[[#This Row],[AccountKey]],tblAccounts[AccountKey],tblAccounts[AccountCategory],"")</f>
        <v>Operating Expense</v>
      </c>
      <c r="M397" s="8" t="str">
        <f>_xlfn.XLOOKUP(tblFinancials[[#This Row],[AccountKey]],tblAccounts[AccountKey],tblAccounts[NormalBalance],"")</f>
        <v>Debit</v>
      </c>
      <c r="N397" s="8" t="str">
        <f>_xlfn.XLOOKUP(tblFinancials[[#This Row],[DepartmentKey]],tblDepartments[DepartmentKey],tblDepartments[DepartmentName],"")</f>
        <v>Marketing</v>
      </c>
      <c r="O397" s="8" t="str">
        <f>_xlfn.XLOOKUP(tblFinancials[[#This Row],[BusinessUnitKey]],tblBusinessUnits[BusinessUnitKey],tblBusinessUnits[BusinessUnitName],"")</f>
        <v xml:space="preserve">Manufacturing </v>
      </c>
      <c r="P397" s="8" t="str">
        <f>_xlfn.XLOOKUP(tblFinancials[[#This Row],[RegionKey]],tblRegions[RegionKey],tblRegions[RegionName],"")</f>
        <v>East</v>
      </c>
    </row>
    <row r="398" spans="1:16">
      <c r="A398">
        <v>20231201</v>
      </c>
      <c r="B398">
        <v>2</v>
      </c>
      <c r="C398">
        <v>2</v>
      </c>
      <c r="D398">
        <v>3</v>
      </c>
      <c r="E398">
        <v>11</v>
      </c>
      <c r="F398" t="s">
        <v>92</v>
      </c>
      <c r="G398">
        <v>33659.72</v>
      </c>
      <c r="H398">
        <f>_xlfn.XLOOKUP(tblFinancials[[#This Row],[DateKey]],tblCalendar[DateKey],tblCalendar[FullDate],"")</f>
        <v>45261</v>
      </c>
      <c r="I398">
        <f>_xlfn.XLOOKUP(tblFinancials[[#This Row],[AccountKey]],tblAccounts[AccountKey],tblAccounts[AccountNumber],"")</f>
        <v>4000</v>
      </c>
      <c r="J398" t="str">
        <f>_xlfn.XLOOKUP(tblFinancials[[#This Row],[AccountKey]],tblAccounts[AccountKey],tblAccounts[AccountName],"")</f>
        <v>Product Revenue</v>
      </c>
      <c r="K398" s="8" t="str">
        <f>_xlfn.XLOOKUP(tblFinancials[[#This Row],[AccountKey]],tblAccounts[AccountKey],tblAccounts[FinancialStatement],"")</f>
        <v>Income Statement</v>
      </c>
      <c r="L398" s="8" t="str">
        <f>_xlfn.XLOOKUP(tblFinancials[[#This Row],[AccountKey]],tblAccounts[AccountKey],tblAccounts[AccountCategory],"")</f>
        <v>Revenue</v>
      </c>
      <c r="M398" s="8" t="str">
        <f>_xlfn.XLOOKUP(tblFinancials[[#This Row],[AccountKey]],tblAccounts[AccountKey],tblAccounts[NormalBalance],"")</f>
        <v>Credit</v>
      </c>
      <c r="N398" s="8" t="str">
        <f>_xlfn.XLOOKUP(tblFinancials[[#This Row],[DepartmentKey]],tblDepartments[DepartmentKey],tblDepartments[DepartmentName],"")</f>
        <v>Finance</v>
      </c>
      <c r="O398" s="8" t="str">
        <f>_xlfn.XLOOKUP(tblFinancials[[#This Row],[BusinessUnitKey]],tblBusinessUnits[BusinessUnitKey],tblBusinessUnits[BusinessUnitName],"")</f>
        <v>Wholesale</v>
      </c>
      <c r="P398" s="8" t="str">
        <f>_xlfn.XLOOKUP(tblFinancials[[#This Row],[RegionKey]],tblRegions[RegionKey],tblRegions[RegionName],"")</f>
        <v>South</v>
      </c>
    </row>
    <row r="399" spans="1:16">
      <c r="A399">
        <v>20231201</v>
      </c>
      <c r="B399">
        <v>7</v>
      </c>
      <c r="C399">
        <v>3</v>
      </c>
      <c r="D399">
        <v>1</v>
      </c>
      <c r="E399">
        <v>12</v>
      </c>
      <c r="F399" t="s">
        <v>92</v>
      </c>
      <c r="G399">
        <v>33003.199999999997</v>
      </c>
      <c r="H399">
        <f>_xlfn.XLOOKUP(tblFinancials[[#This Row],[DateKey]],tblCalendar[DateKey],tblCalendar[FullDate],"")</f>
        <v>45261</v>
      </c>
      <c r="I399">
        <f>_xlfn.XLOOKUP(tblFinancials[[#This Row],[AccountKey]],tblAccounts[AccountKey],tblAccounts[AccountNumber],"")</f>
        <v>4010</v>
      </c>
      <c r="J399" t="str">
        <f>_xlfn.XLOOKUP(tblFinancials[[#This Row],[AccountKey]],tblAccounts[AccountKey],tblAccounts[AccountName],"")</f>
        <v>Service Revenue</v>
      </c>
      <c r="K399" s="8" t="str">
        <f>_xlfn.XLOOKUP(tblFinancials[[#This Row],[AccountKey]],tblAccounts[AccountKey],tblAccounts[FinancialStatement],"")</f>
        <v>Income Statement</v>
      </c>
      <c r="L399" s="8" t="str">
        <f>_xlfn.XLOOKUP(tblFinancials[[#This Row],[AccountKey]],tblAccounts[AccountKey],tblAccounts[AccountCategory],"")</f>
        <v>Revenue</v>
      </c>
      <c r="M399" s="8" t="str">
        <f>_xlfn.XLOOKUP(tblFinancials[[#This Row],[AccountKey]],tblAccounts[AccountKey],tblAccounts[NormalBalance],"")</f>
        <v>Credit</v>
      </c>
      <c r="N399" s="8" t="str">
        <f>_xlfn.XLOOKUP(tblFinancials[[#This Row],[DepartmentKey]],tblDepartments[DepartmentKey],tblDepartments[DepartmentName],"")</f>
        <v>Information Technology</v>
      </c>
      <c r="O399" s="8" t="str">
        <f>_xlfn.XLOOKUP(tblFinancials[[#This Row],[BusinessUnitKey]],tblBusinessUnits[BusinessUnitKey],tblBusinessUnits[BusinessUnitName],"")</f>
        <v>Retail</v>
      </c>
      <c r="P399" s="8" t="str">
        <f>_xlfn.XLOOKUP(tblFinancials[[#This Row],[RegionKey]],tblRegions[RegionKey],tblRegions[RegionName],"")</f>
        <v>West</v>
      </c>
    </row>
    <row r="400" spans="1:16">
      <c r="A400">
        <v>20231201</v>
      </c>
      <c r="B400">
        <v>2</v>
      </c>
      <c r="C400">
        <v>3</v>
      </c>
      <c r="D400">
        <v>1</v>
      </c>
      <c r="E400">
        <v>13</v>
      </c>
      <c r="F400" t="s">
        <v>92</v>
      </c>
      <c r="G400">
        <v>32980.93</v>
      </c>
      <c r="H400">
        <f>_xlfn.XLOOKUP(tblFinancials[[#This Row],[DateKey]],tblCalendar[DateKey],tblCalendar[FullDate],"")</f>
        <v>45261</v>
      </c>
      <c r="I400">
        <f>_xlfn.XLOOKUP(tblFinancials[[#This Row],[AccountKey]],tblAccounts[AccountKey],tblAccounts[AccountNumber],"")</f>
        <v>4020</v>
      </c>
      <c r="J400" t="str">
        <f>_xlfn.XLOOKUP(tblFinancials[[#This Row],[AccountKey]],tblAccounts[AccountKey],tblAccounts[AccountName],"")</f>
        <v>Online Revenue</v>
      </c>
      <c r="K400" s="8" t="str">
        <f>_xlfn.XLOOKUP(tblFinancials[[#This Row],[AccountKey]],tblAccounts[AccountKey],tblAccounts[FinancialStatement],"")</f>
        <v>Income Statement</v>
      </c>
      <c r="L400" s="8" t="str">
        <f>_xlfn.XLOOKUP(tblFinancials[[#This Row],[AccountKey]],tblAccounts[AccountKey],tblAccounts[AccountCategory],"")</f>
        <v>Revenue</v>
      </c>
      <c r="M400" s="8" t="str">
        <f>_xlfn.XLOOKUP(tblFinancials[[#This Row],[AccountKey]],tblAccounts[AccountKey],tblAccounts[NormalBalance],"")</f>
        <v>Credit</v>
      </c>
      <c r="N400" s="8" t="str">
        <f>_xlfn.XLOOKUP(tblFinancials[[#This Row],[DepartmentKey]],tblDepartments[DepartmentKey],tblDepartments[DepartmentName],"")</f>
        <v>Finance</v>
      </c>
      <c r="O400" s="8" t="str">
        <f>_xlfn.XLOOKUP(tblFinancials[[#This Row],[BusinessUnitKey]],tblBusinessUnits[BusinessUnitKey],tblBusinessUnits[BusinessUnitName],"")</f>
        <v>Retail</v>
      </c>
      <c r="P400" s="8" t="str">
        <f>_xlfn.XLOOKUP(tblFinancials[[#This Row],[RegionKey]],tblRegions[RegionKey],tblRegions[RegionName],"")</f>
        <v>West</v>
      </c>
    </row>
    <row r="401" spans="1:16">
      <c r="A401">
        <v>20231201</v>
      </c>
      <c r="B401">
        <v>1</v>
      </c>
      <c r="C401">
        <v>1</v>
      </c>
      <c r="D401">
        <v>2</v>
      </c>
      <c r="E401">
        <v>13</v>
      </c>
      <c r="F401" t="s">
        <v>92</v>
      </c>
      <c r="G401">
        <v>34549.599999999999</v>
      </c>
      <c r="H401">
        <f>_xlfn.XLOOKUP(tblFinancials[[#This Row],[DateKey]],tblCalendar[DateKey],tblCalendar[FullDate],"")</f>
        <v>45261</v>
      </c>
      <c r="I401">
        <f>_xlfn.XLOOKUP(tblFinancials[[#This Row],[AccountKey]],tblAccounts[AccountKey],tblAccounts[AccountNumber],"")</f>
        <v>4020</v>
      </c>
      <c r="J401" t="str">
        <f>_xlfn.XLOOKUP(tblFinancials[[#This Row],[AccountKey]],tblAccounts[AccountKey],tblAccounts[AccountName],"")</f>
        <v>Online Revenue</v>
      </c>
      <c r="K401" s="8" t="str">
        <f>_xlfn.XLOOKUP(tblFinancials[[#This Row],[AccountKey]],tblAccounts[AccountKey],tblAccounts[FinancialStatement],"")</f>
        <v>Income Statement</v>
      </c>
      <c r="L401" s="8" t="str">
        <f>_xlfn.XLOOKUP(tblFinancials[[#This Row],[AccountKey]],tblAccounts[AccountKey],tblAccounts[AccountCategory],"")</f>
        <v>Revenue</v>
      </c>
      <c r="M401" s="8" t="str">
        <f>_xlfn.XLOOKUP(tblFinancials[[#This Row],[AccountKey]],tblAccounts[AccountKey],tblAccounts[NormalBalance],"")</f>
        <v>Credit</v>
      </c>
      <c r="N401" s="8" t="str">
        <f>_xlfn.XLOOKUP(tblFinancials[[#This Row],[DepartmentKey]],tblDepartments[DepartmentKey],tblDepartments[DepartmentName],"")</f>
        <v>Executive</v>
      </c>
      <c r="O401" s="8" t="str">
        <f>_xlfn.XLOOKUP(tblFinancials[[#This Row],[BusinessUnitKey]],tblBusinessUnits[BusinessUnitKey],tblBusinessUnits[BusinessUnitName],"")</f>
        <v xml:space="preserve">Manufacturing </v>
      </c>
      <c r="P401" s="8" t="str">
        <f>_xlfn.XLOOKUP(tblFinancials[[#This Row],[RegionKey]],tblRegions[RegionKey],tblRegions[RegionName],"")</f>
        <v>Midwest</v>
      </c>
    </row>
    <row r="402" spans="1:16">
      <c r="A402">
        <v>20231201</v>
      </c>
      <c r="B402">
        <v>1</v>
      </c>
      <c r="C402">
        <v>1</v>
      </c>
      <c r="D402">
        <v>1</v>
      </c>
      <c r="E402">
        <v>11</v>
      </c>
      <c r="F402" t="s">
        <v>92</v>
      </c>
      <c r="G402">
        <v>32695.5</v>
      </c>
      <c r="H402">
        <f>_xlfn.XLOOKUP(tblFinancials[[#This Row],[DateKey]],tblCalendar[DateKey],tblCalendar[FullDate],"")</f>
        <v>45261</v>
      </c>
      <c r="I402">
        <f>_xlfn.XLOOKUP(tblFinancials[[#This Row],[AccountKey]],tblAccounts[AccountKey],tblAccounts[AccountNumber],"")</f>
        <v>4000</v>
      </c>
      <c r="J402" t="str">
        <f>_xlfn.XLOOKUP(tblFinancials[[#This Row],[AccountKey]],tblAccounts[AccountKey],tblAccounts[AccountName],"")</f>
        <v>Product Revenue</v>
      </c>
      <c r="K402" s="8" t="str">
        <f>_xlfn.XLOOKUP(tblFinancials[[#This Row],[AccountKey]],tblAccounts[AccountKey],tblAccounts[FinancialStatement],"")</f>
        <v>Income Statement</v>
      </c>
      <c r="L402" s="8" t="str">
        <f>_xlfn.XLOOKUP(tblFinancials[[#This Row],[AccountKey]],tblAccounts[AccountKey],tblAccounts[AccountCategory],"")</f>
        <v>Revenue</v>
      </c>
      <c r="M402" s="8" t="str">
        <f>_xlfn.XLOOKUP(tblFinancials[[#This Row],[AccountKey]],tblAccounts[AccountKey],tblAccounts[NormalBalance],"")</f>
        <v>Credit</v>
      </c>
      <c r="N402" s="8" t="str">
        <f>_xlfn.XLOOKUP(tblFinancials[[#This Row],[DepartmentKey]],tblDepartments[DepartmentKey],tblDepartments[DepartmentName],"")</f>
        <v>Executive</v>
      </c>
      <c r="O402" s="8" t="str">
        <f>_xlfn.XLOOKUP(tblFinancials[[#This Row],[BusinessUnitKey]],tblBusinessUnits[BusinessUnitKey],tblBusinessUnits[BusinessUnitName],"")</f>
        <v xml:space="preserve">Manufacturing </v>
      </c>
      <c r="P402" s="8" t="str">
        <f>_xlfn.XLOOKUP(tblFinancials[[#This Row],[RegionKey]],tblRegions[RegionKey],tblRegions[RegionName],"")</f>
        <v>West</v>
      </c>
    </row>
    <row r="403" spans="1:16">
      <c r="A403">
        <v>20231201</v>
      </c>
      <c r="B403">
        <v>7</v>
      </c>
      <c r="C403">
        <v>1</v>
      </c>
      <c r="D403">
        <v>4</v>
      </c>
      <c r="E403">
        <v>11</v>
      </c>
      <c r="F403" t="s">
        <v>92</v>
      </c>
      <c r="G403">
        <v>34149.68</v>
      </c>
      <c r="H403">
        <f>_xlfn.XLOOKUP(tblFinancials[[#This Row],[DateKey]],tblCalendar[DateKey],tblCalendar[FullDate],"")</f>
        <v>45261</v>
      </c>
      <c r="I403">
        <f>_xlfn.XLOOKUP(tblFinancials[[#This Row],[AccountKey]],tblAccounts[AccountKey],tblAccounts[AccountNumber],"")</f>
        <v>4000</v>
      </c>
      <c r="J403" t="str">
        <f>_xlfn.XLOOKUP(tblFinancials[[#This Row],[AccountKey]],tblAccounts[AccountKey],tblAccounts[AccountName],"")</f>
        <v>Product Revenue</v>
      </c>
      <c r="K403" s="8" t="str">
        <f>_xlfn.XLOOKUP(tblFinancials[[#This Row],[AccountKey]],tblAccounts[AccountKey],tblAccounts[FinancialStatement],"")</f>
        <v>Income Statement</v>
      </c>
      <c r="L403" s="8" t="str">
        <f>_xlfn.XLOOKUP(tblFinancials[[#This Row],[AccountKey]],tblAccounts[AccountKey],tblAccounts[AccountCategory],"")</f>
        <v>Revenue</v>
      </c>
      <c r="M403" s="8" t="str">
        <f>_xlfn.XLOOKUP(tblFinancials[[#This Row],[AccountKey]],tblAccounts[AccountKey],tblAccounts[NormalBalance],"")</f>
        <v>Credit</v>
      </c>
      <c r="N403" s="8" t="str">
        <f>_xlfn.XLOOKUP(tblFinancials[[#This Row],[DepartmentKey]],tblDepartments[DepartmentKey],tblDepartments[DepartmentName],"")</f>
        <v>Information Technology</v>
      </c>
      <c r="O403" s="8" t="str">
        <f>_xlfn.XLOOKUP(tblFinancials[[#This Row],[BusinessUnitKey]],tblBusinessUnits[BusinessUnitKey],tblBusinessUnits[BusinessUnitName],"")</f>
        <v xml:space="preserve">Manufacturing </v>
      </c>
      <c r="P403" s="8" t="str">
        <f>_xlfn.XLOOKUP(tblFinancials[[#This Row],[RegionKey]],tblRegions[RegionKey],tblRegions[RegionName],"")</f>
        <v>East</v>
      </c>
    </row>
    <row r="404" spans="1:16">
      <c r="A404">
        <v>20231201</v>
      </c>
      <c r="B404">
        <v>7</v>
      </c>
      <c r="C404">
        <v>4</v>
      </c>
      <c r="D404">
        <v>3</v>
      </c>
      <c r="E404">
        <v>13</v>
      </c>
      <c r="F404" t="s">
        <v>92</v>
      </c>
      <c r="G404">
        <v>34526.57</v>
      </c>
      <c r="H404">
        <f>_xlfn.XLOOKUP(tblFinancials[[#This Row],[DateKey]],tblCalendar[DateKey],tblCalendar[FullDate],"")</f>
        <v>45261</v>
      </c>
      <c r="I404">
        <f>_xlfn.XLOOKUP(tblFinancials[[#This Row],[AccountKey]],tblAccounts[AccountKey],tblAccounts[AccountNumber],"")</f>
        <v>4020</v>
      </c>
      <c r="J404" t="str">
        <f>_xlfn.XLOOKUP(tblFinancials[[#This Row],[AccountKey]],tblAccounts[AccountKey],tblAccounts[AccountName],"")</f>
        <v>Online Revenue</v>
      </c>
      <c r="K404" s="8" t="str">
        <f>_xlfn.XLOOKUP(tblFinancials[[#This Row],[AccountKey]],tblAccounts[AccountKey],tblAccounts[FinancialStatement],"")</f>
        <v>Income Statement</v>
      </c>
      <c r="L404" s="8" t="str">
        <f>_xlfn.XLOOKUP(tblFinancials[[#This Row],[AccountKey]],tblAccounts[AccountKey],tblAccounts[AccountCategory],"")</f>
        <v>Revenue</v>
      </c>
      <c r="M404" s="8" t="str">
        <f>_xlfn.XLOOKUP(tblFinancials[[#This Row],[AccountKey]],tblAccounts[AccountKey],tblAccounts[NormalBalance],"")</f>
        <v>Credit</v>
      </c>
      <c r="N404" s="8" t="str">
        <f>_xlfn.XLOOKUP(tblFinancials[[#This Row],[DepartmentKey]],tblDepartments[DepartmentKey],tblDepartments[DepartmentName],"")</f>
        <v>Information Technology</v>
      </c>
      <c r="O404" s="8" t="str">
        <f>_xlfn.XLOOKUP(tblFinancials[[#This Row],[BusinessUnitKey]],tblBusinessUnits[BusinessUnitKey],tblBusinessUnits[BusinessUnitName],"")</f>
        <v>E-Commerce</v>
      </c>
      <c r="P404" s="8" t="str">
        <f>_xlfn.XLOOKUP(tblFinancials[[#This Row],[RegionKey]],tblRegions[RegionKey],tblRegions[RegionName],"")</f>
        <v>South</v>
      </c>
    </row>
    <row r="405" spans="1:16">
      <c r="A405">
        <v>20231201</v>
      </c>
      <c r="B405">
        <v>2</v>
      </c>
      <c r="C405">
        <v>4</v>
      </c>
      <c r="D405">
        <v>3</v>
      </c>
      <c r="E405">
        <v>12</v>
      </c>
      <c r="F405" t="s">
        <v>92</v>
      </c>
      <c r="G405">
        <v>34165.17</v>
      </c>
      <c r="H405">
        <f>_xlfn.XLOOKUP(tblFinancials[[#This Row],[DateKey]],tblCalendar[DateKey],tblCalendar[FullDate],"")</f>
        <v>45261</v>
      </c>
      <c r="I405">
        <f>_xlfn.XLOOKUP(tblFinancials[[#This Row],[AccountKey]],tblAccounts[AccountKey],tblAccounts[AccountNumber],"")</f>
        <v>4010</v>
      </c>
      <c r="J405" t="str">
        <f>_xlfn.XLOOKUP(tblFinancials[[#This Row],[AccountKey]],tblAccounts[AccountKey],tblAccounts[AccountName],"")</f>
        <v>Service Revenue</v>
      </c>
      <c r="K405" s="8" t="str">
        <f>_xlfn.XLOOKUP(tblFinancials[[#This Row],[AccountKey]],tblAccounts[AccountKey],tblAccounts[FinancialStatement],"")</f>
        <v>Income Statement</v>
      </c>
      <c r="L405" s="8" t="str">
        <f>_xlfn.XLOOKUP(tblFinancials[[#This Row],[AccountKey]],tblAccounts[AccountKey],tblAccounts[AccountCategory],"")</f>
        <v>Revenue</v>
      </c>
      <c r="M405" s="8" t="str">
        <f>_xlfn.XLOOKUP(tblFinancials[[#This Row],[AccountKey]],tblAccounts[AccountKey],tblAccounts[NormalBalance],"")</f>
        <v>Credit</v>
      </c>
      <c r="N405" s="8" t="str">
        <f>_xlfn.XLOOKUP(tblFinancials[[#This Row],[DepartmentKey]],tblDepartments[DepartmentKey],tblDepartments[DepartmentName],"")</f>
        <v>Finance</v>
      </c>
      <c r="O405" s="8" t="str">
        <f>_xlfn.XLOOKUP(tblFinancials[[#This Row],[BusinessUnitKey]],tblBusinessUnits[BusinessUnitKey],tblBusinessUnits[BusinessUnitName],"")</f>
        <v>E-Commerce</v>
      </c>
      <c r="P405" s="8" t="str">
        <f>_xlfn.XLOOKUP(tblFinancials[[#This Row],[RegionKey]],tblRegions[RegionKey],tblRegions[RegionName],"")</f>
        <v>South</v>
      </c>
    </row>
    <row r="406" spans="1:16">
      <c r="A406">
        <v>20231201</v>
      </c>
      <c r="B406">
        <v>2</v>
      </c>
      <c r="C406">
        <v>1</v>
      </c>
      <c r="D406">
        <v>4</v>
      </c>
      <c r="E406">
        <v>12</v>
      </c>
      <c r="F406" t="s">
        <v>92</v>
      </c>
      <c r="G406">
        <v>33362.379999999997</v>
      </c>
      <c r="H406">
        <f>_xlfn.XLOOKUP(tblFinancials[[#This Row],[DateKey]],tblCalendar[DateKey],tblCalendar[FullDate],"")</f>
        <v>45261</v>
      </c>
      <c r="I406">
        <f>_xlfn.XLOOKUP(tblFinancials[[#This Row],[AccountKey]],tblAccounts[AccountKey],tblAccounts[AccountNumber],"")</f>
        <v>4010</v>
      </c>
      <c r="J406" t="str">
        <f>_xlfn.XLOOKUP(tblFinancials[[#This Row],[AccountKey]],tblAccounts[AccountKey],tblAccounts[AccountName],"")</f>
        <v>Service Revenue</v>
      </c>
      <c r="K406" s="8" t="str">
        <f>_xlfn.XLOOKUP(tblFinancials[[#This Row],[AccountKey]],tblAccounts[AccountKey],tblAccounts[FinancialStatement],"")</f>
        <v>Income Statement</v>
      </c>
      <c r="L406" s="8" t="str">
        <f>_xlfn.XLOOKUP(tblFinancials[[#This Row],[AccountKey]],tblAccounts[AccountKey],tblAccounts[AccountCategory],"")</f>
        <v>Revenue</v>
      </c>
      <c r="M406" s="8" t="str">
        <f>_xlfn.XLOOKUP(tblFinancials[[#This Row],[AccountKey]],tblAccounts[AccountKey],tblAccounts[NormalBalance],"")</f>
        <v>Credit</v>
      </c>
      <c r="N406" s="8" t="str">
        <f>_xlfn.XLOOKUP(tblFinancials[[#This Row],[DepartmentKey]],tblDepartments[DepartmentKey],tblDepartments[DepartmentName],"")</f>
        <v>Finance</v>
      </c>
      <c r="O406" s="8" t="str">
        <f>_xlfn.XLOOKUP(tblFinancials[[#This Row],[BusinessUnitKey]],tblBusinessUnits[BusinessUnitKey],tblBusinessUnits[BusinessUnitName],"")</f>
        <v xml:space="preserve">Manufacturing </v>
      </c>
      <c r="P406" s="8" t="str">
        <f>_xlfn.XLOOKUP(tblFinancials[[#This Row],[RegionKey]],tblRegions[RegionKey],tblRegions[RegionName],"")</f>
        <v>East</v>
      </c>
    </row>
    <row r="407" spans="1:16">
      <c r="A407">
        <v>20231201</v>
      </c>
      <c r="B407">
        <v>5</v>
      </c>
      <c r="C407">
        <v>4</v>
      </c>
      <c r="D407">
        <v>2</v>
      </c>
      <c r="E407">
        <v>12</v>
      </c>
      <c r="F407" t="s">
        <v>92</v>
      </c>
      <c r="G407">
        <v>33185.89</v>
      </c>
      <c r="H407">
        <f>_xlfn.XLOOKUP(tblFinancials[[#This Row],[DateKey]],tblCalendar[DateKey],tblCalendar[FullDate],"")</f>
        <v>45261</v>
      </c>
      <c r="I407">
        <f>_xlfn.XLOOKUP(tblFinancials[[#This Row],[AccountKey]],tblAccounts[AccountKey],tblAccounts[AccountNumber],"")</f>
        <v>4010</v>
      </c>
      <c r="J407" t="str">
        <f>_xlfn.XLOOKUP(tblFinancials[[#This Row],[AccountKey]],tblAccounts[AccountKey],tblAccounts[AccountName],"")</f>
        <v>Service Revenue</v>
      </c>
      <c r="K407" s="8" t="str">
        <f>_xlfn.XLOOKUP(tblFinancials[[#This Row],[AccountKey]],tblAccounts[AccountKey],tblAccounts[FinancialStatement],"")</f>
        <v>Income Statement</v>
      </c>
      <c r="L407" s="8" t="str">
        <f>_xlfn.XLOOKUP(tblFinancials[[#This Row],[AccountKey]],tblAccounts[AccountKey],tblAccounts[AccountCategory],"")</f>
        <v>Revenue</v>
      </c>
      <c r="M407" s="8" t="str">
        <f>_xlfn.XLOOKUP(tblFinancials[[#This Row],[AccountKey]],tblAccounts[AccountKey],tblAccounts[NormalBalance],"")</f>
        <v>Credit</v>
      </c>
      <c r="N407" s="8" t="str">
        <f>_xlfn.XLOOKUP(tblFinancials[[#This Row],[DepartmentKey]],tblDepartments[DepartmentKey],tblDepartments[DepartmentName],"")</f>
        <v>Marketing</v>
      </c>
      <c r="O407" s="8" t="str">
        <f>_xlfn.XLOOKUP(tblFinancials[[#This Row],[BusinessUnitKey]],tblBusinessUnits[BusinessUnitKey],tblBusinessUnits[BusinessUnitName],"")</f>
        <v>E-Commerce</v>
      </c>
      <c r="P407" s="8" t="str">
        <f>_xlfn.XLOOKUP(tblFinancials[[#This Row],[RegionKey]],tblRegions[RegionKey],tblRegions[RegionName],"")</f>
        <v>Midwest</v>
      </c>
    </row>
    <row r="408" spans="1:16">
      <c r="A408">
        <v>20231201</v>
      </c>
      <c r="B408">
        <v>2</v>
      </c>
      <c r="C408">
        <v>2</v>
      </c>
      <c r="D408">
        <v>3</v>
      </c>
      <c r="E408">
        <v>12</v>
      </c>
      <c r="F408" t="s">
        <v>92</v>
      </c>
      <c r="G408">
        <v>33407.019999999997</v>
      </c>
      <c r="H408">
        <f>_xlfn.XLOOKUP(tblFinancials[[#This Row],[DateKey]],tblCalendar[DateKey],tblCalendar[FullDate],"")</f>
        <v>45261</v>
      </c>
      <c r="I408">
        <f>_xlfn.XLOOKUP(tblFinancials[[#This Row],[AccountKey]],tblAccounts[AccountKey],tblAccounts[AccountNumber],"")</f>
        <v>4010</v>
      </c>
      <c r="J408" t="str">
        <f>_xlfn.XLOOKUP(tblFinancials[[#This Row],[AccountKey]],tblAccounts[AccountKey],tblAccounts[AccountName],"")</f>
        <v>Service Revenue</v>
      </c>
      <c r="K408" s="8" t="str">
        <f>_xlfn.XLOOKUP(tblFinancials[[#This Row],[AccountKey]],tblAccounts[AccountKey],tblAccounts[FinancialStatement],"")</f>
        <v>Income Statement</v>
      </c>
      <c r="L408" s="8" t="str">
        <f>_xlfn.XLOOKUP(tblFinancials[[#This Row],[AccountKey]],tblAccounts[AccountKey],tblAccounts[AccountCategory],"")</f>
        <v>Revenue</v>
      </c>
      <c r="M408" s="8" t="str">
        <f>_xlfn.XLOOKUP(tblFinancials[[#This Row],[AccountKey]],tblAccounts[AccountKey],tblAccounts[NormalBalance],"")</f>
        <v>Credit</v>
      </c>
      <c r="N408" s="8" t="str">
        <f>_xlfn.XLOOKUP(tblFinancials[[#This Row],[DepartmentKey]],tblDepartments[DepartmentKey],tblDepartments[DepartmentName],"")</f>
        <v>Finance</v>
      </c>
      <c r="O408" s="8" t="str">
        <f>_xlfn.XLOOKUP(tblFinancials[[#This Row],[BusinessUnitKey]],tblBusinessUnits[BusinessUnitKey],tblBusinessUnits[BusinessUnitName],"")</f>
        <v>Wholesale</v>
      </c>
      <c r="P408" s="8" t="str">
        <f>_xlfn.XLOOKUP(tblFinancials[[#This Row],[RegionKey]],tblRegions[RegionKey],tblRegions[RegionName],"")</f>
        <v>South</v>
      </c>
    </row>
    <row r="409" spans="1:16">
      <c r="A409">
        <v>20231201</v>
      </c>
      <c r="B409">
        <v>6</v>
      </c>
      <c r="C409">
        <v>2</v>
      </c>
      <c r="D409">
        <v>3</v>
      </c>
      <c r="E409">
        <v>11</v>
      </c>
      <c r="F409" t="s">
        <v>92</v>
      </c>
      <c r="G409">
        <v>34528.730000000003</v>
      </c>
      <c r="H409">
        <f>_xlfn.XLOOKUP(tblFinancials[[#This Row],[DateKey]],tblCalendar[DateKey],tblCalendar[FullDate],"")</f>
        <v>45261</v>
      </c>
      <c r="I409">
        <f>_xlfn.XLOOKUP(tblFinancials[[#This Row],[AccountKey]],tblAccounts[AccountKey],tblAccounts[AccountNumber],"")</f>
        <v>4000</v>
      </c>
      <c r="J409" t="str">
        <f>_xlfn.XLOOKUP(tblFinancials[[#This Row],[AccountKey]],tblAccounts[AccountKey],tblAccounts[AccountName],"")</f>
        <v>Product Revenue</v>
      </c>
      <c r="K409" s="8" t="str">
        <f>_xlfn.XLOOKUP(tblFinancials[[#This Row],[AccountKey]],tblAccounts[AccountKey],tblAccounts[FinancialStatement],"")</f>
        <v>Income Statement</v>
      </c>
      <c r="L409" s="8" t="str">
        <f>_xlfn.XLOOKUP(tblFinancials[[#This Row],[AccountKey]],tblAccounts[AccountKey],tblAccounts[AccountCategory],"")</f>
        <v>Revenue</v>
      </c>
      <c r="M409" s="8" t="str">
        <f>_xlfn.XLOOKUP(tblFinancials[[#This Row],[AccountKey]],tblAccounts[AccountKey],tblAccounts[NormalBalance],"")</f>
        <v>Credit</v>
      </c>
      <c r="N409" s="8" t="str">
        <f>_xlfn.XLOOKUP(tblFinancials[[#This Row],[DepartmentKey]],tblDepartments[DepartmentKey],tblDepartments[DepartmentName],"")</f>
        <v>Operations</v>
      </c>
      <c r="O409" s="8" t="str">
        <f>_xlfn.XLOOKUP(tblFinancials[[#This Row],[BusinessUnitKey]],tblBusinessUnits[BusinessUnitKey],tblBusinessUnits[BusinessUnitName],"")</f>
        <v>Wholesale</v>
      </c>
      <c r="P409" s="8" t="str">
        <f>_xlfn.XLOOKUP(tblFinancials[[#This Row],[RegionKey]],tblRegions[RegionKey],tblRegions[RegionName],"")</f>
        <v>South</v>
      </c>
    </row>
    <row r="410" spans="1:16">
      <c r="A410">
        <v>20231201</v>
      </c>
      <c r="B410">
        <v>1</v>
      </c>
      <c r="C410">
        <v>3</v>
      </c>
      <c r="D410">
        <v>3</v>
      </c>
      <c r="E410">
        <v>14</v>
      </c>
      <c r="F410" t="s">
        <v>92</v>
      </c>
      <c r="G410">
        <v>-20199.86</v>
      </c>
      <c r="H410">
        <f>_xlfn.XLOOKUP(tblFinancials[[#This Row],[DateKey]],tblCalendar[DateKey],tblCalendar[FullDate],"")</f>
        <v>45261</v>
      </c>
      <c r="I410">
        <f>_xlfn.XLOOKUP(tblFinancials[[#This Row],[AccountKey]],tblAccounts[AccountKey],tblAccounts[AccountNumber],"")</f>
        <v>5000</v>
      </c>
      <c r="J410" t="str">
        <f>_xlfn.XLOOKUP(tblFinancials[[#This Row],[AccountKey]],tblAccounts[AccountKey],tblAccounts[AccountName],"")</f>
        <v>Cost of Goods Sold</v>
      </c>
      <c r="K410" s="8" t="str">
        <f>_xlfn.XLOOKUP(tblFinancials[[#This Row],[AccountKey]],tblAccounts[AccountKey],tblAccounts[FinancialStatement],"")</f>
        <v>Income Statement</v>
      </c>
      <c r="L410" s="8" t="str">
        <f>_xlfn.XLOOKUP(tblFinancials[[#This Row],[AccountKey]],tblAccounts[AccountKey],tblAccounts[AccountCategory],"")</f>
        <v>Cost of Sales</v>
      </c>
      <c r="M410" s="8" t="str">
        <f>_xlfn.XLOOKUP(tblFinancials[[#This Row],[AccountKey]],tblAccounts[AccountKey],tblAccounts[NormalBalance],"")</f>
        <v>Debit</v>
      </c>
      <c r="N410" s="8" t="str">
        <f>_xlfn.XLOOKUP(tblFinancials[[#This Row],[DepartmentKey]],tblDepartments[DepartmentKey],tblDepartments[DepartmentName],"")</f>
        <v>Executive</v>
      </c>
      <c r="O410" s="8" t="str">
        <f>_xlfn.XLOOKUP(tblFinancials[[#This Row],[BusinessUnitKey]],tblBusinessUnits[BusinessUnitKey],tblBusinessUnits[BusinessUnitName],"")</f>
        <v>Retail</v>
      </c>
      <c r="P410" s="8" t="str">
        <f>_xlfn.XLOOKUP(tblFinancials[[#This Row],[RegionKey]],tblRegions[RegionKey],tblRegions[RegionName],"")</f>
        <v>South</v>
      </c>
    </row>
    <row r="411" spans="1:16">
      <c r="A411">
        <v>20231201</v>
      </c>
      <c r="B411">
        <v>6</v>
      </c>
      <c r="C411">
        <v>1</v>
      </c>
      <c r="D411">
        <v>1</v>
      </c>
      <c r="E411">
        <v>14</v>
      </c>
      <c r="F411" t="s">
        <v>92</v>
      </c>
      <c r="G411">
        <v>-18540.490000000002</v>
      </c>
      <c r="H411">
        <f>_xlfn.XLOOKUP(tblFinancials[[#This Row],[DateKey]],tblCalendar[DateKey],tblCalendar[FullDate],"")</f>
        <v>45261</v>
      </c>
      <c r="I411">
        <f>_xlfn.XLOOKUP(tblFinancials[[#This Row],[AccountKey]],tblAccounts[AccountKey],tblAccounts[AccountNumber],"")</f>
        <v>5000</v>
      </c>
      <c r="J411" t="str">
        <f>_xlfn.XLOOKUP(tblFinancials[[#This Row],[AccountKey]],tblAccounts[AccountKey],tblAccounts[AccountName],"")</f>
        <v>Cost of Goods Sold</v>
      </c>
      <c r="K411" s="8" t="str">
        <f>_xlfn.XLOOKUP(tblFinancials[[#This Row],[AccountKey]],tblAccounts[AccountKey],tblAccounts[FinancialStatement],"")</f>
        <v>Income Statement</v>
      </c>
      <c r="L411" s="8" t="str">
        <f>_xlfn.XLOOKUP(tblFinancials[[#This Row],[AccountKey]],tblAccounts[AccountKey],tblAccounts[AccountCategory],"")</f>
        <v>Cost of Sales</v>
      </c>
      <c r="M411" s="8" t="str">
        <f>_xlfn.XLOOKUP(tblFinancials[[#This Row],[AccountKey]],tblAccounts[AccountKey],tblAccounts[NormalBalance],"")</f>
        <v>Debit</v>
      </c>
      <c r="N411" s="8" t="str">
        <f>_xlfn.XLOOKUP(tblFinancials[[#This Row],[DepartmentKey]],tblDepartments[DepartmentKey],tblDepartments[DepartmentName],"")</f>
        <v>Operations</v>
      </c>
      <c r="O411" s="8" t="str">
        <f>_xlfn.XLOOKUP(tblFinancials[[#This Row],[BusinessUnitKey]],tblBusinessUnits[BusinessUnitKey],tblBusinessUnits[BusinessUnitName],"")</f>
        <v xml:space="preserve">Manufacturing </v>
      </c>
      <c r="P411" s="8" t="str">
        <f>_xlfn.XLOOKUP(tblFinancials[[#This Row],[RegionKey]],tblRegions[RegionKey],tblRegions[RegionName],"")</f>
        <v>West</v>
      </c>
    </row>
    <row r="412" spans="1:16">
      <c r="A412">
        <v>20231201</v>
      </c>
      <c r="B412">
        <v>7</v>
      </c>
      <c r="C412">
        <v>4</v>
      </c>
      <c r="D412">
        <v>2</v>
      </c>
      <c r="E412">
        <v>14</v>
      </c>
      <c r="F412" t="s">
        <v>92</v>
      </c>
      <c r="G412">
        <v>-19540.78</v>
      </c>
      <c r="H412">
        <f>_xlfn.XLOOKUP(tblFinancials[[#This Row],[DateKey]],tblCalendar[DateKey],tblCalendar[FullDate],"")</f>
        <v>45261</v>
      </c>
      <c r="I412">
        <f>_xlfn.XLOOKUP(tblFinancials[[#This Row],[AccountKey]],tblAccounts[AccountKey],tblAccounts[AccountNumber],"")</f>
        <v>5000</v>
      </c>
      <c r="J412" t="str">
        <f>_xlfn.XLOOKUP(tblFinancials[[#This Row],[AccountKey]],tblAccounts[AccountKey],tblAccounts[AccountName],"")</f>
        <v>Cost of Goods Sold</v>
      </c>
      <c r="K412" s="8" t="str">
        <f>_xlfn.XLOOKUP(tblFinancials[[#This Row],[AccountKey]],tblAccounts[AccountKey],tblAccounts[FinancialStatement],"")</f>
        <v>Income Statement</v>
      </c>
      <c r="L412" s="8" t="str">
        <f>_xlfn.XLOOKUP(tblFinancials[[#This Row],[AccountKey]],tblAccounts[AccountKey],tblAccounts[AccountCategory],"")</f>
        <v>Cost of Sales</v>
      </c>
      <c r="M412" s="8" t="str">
        <f>_xlfn.XLOOKUP(tblFinancials[[#This Row],[AccountKey]],tblAccounts[AccountKey],tblAccounts[NormalBalance],"")</f>
        <v>Debit</v>
      </c>
      <c r="N412" s="8" t="str">
        <f>_xlfn.XLOOKUP(tblFinancials[[#This Row],[DepartmentKey]],tblDepartments[DepartmentKey],tblDepartments[DepartmentName],"")</f>
        <v>Information Technology</v>
      </c>
      <c r="O412" s="8" t="str">
        <f>_xlfn.XLOOKUP(tblFinancials[[#This Row],[BusinessUnitKey]],tblBusinessUnits[BusinessUnitKey],tblBusinessUnits[BusinessUnitName],"")</f>
        <v>E-Commerce</v>
      </c>
      <c r="P412" s="8" t="str">
        <f>_xlfn.XLOOKUP(tblFinancials[[#This Row],[RegionKey]],tblRegions[RegionKey],tblRegions[RegionName],"")</f>
        <v>Midwest</v>
      </c>
    </row>
    <row r="413" spans="1:16">
      <c r="A413">
        <v>20231201</v>
      </c>
      <c r="B413">
        <v>1</v>
      </c>
      <c r="C413">
        <v>1</v>
      </c>
      <c r="D413">
        <v>4</v>
      </c>
      <c r="E413">
        <v>14</v>
      </c>
      <c r="F413" t="s">
        <v>92</v>
      </c>
      <c r="G413">
        <v>-19439.419999999998</v>
      </c>
      <c r="H413">
        <f>_xlfn.XLOOKUP(tblFinancials[[#This Row],[DateKey]],tblCalendar[DateKey],tblCalendar[FullDate],"")</f>
        <v>45261</v>
      </c>
      <c r="I413">
        <f>_xlfn.XLOOKUP(tblFinancials[[#This Row],[AccountKey]],tblAccounts[AccountKey],tblAccounts[AccountNumber],"")</f>
        <v>5000</v>
      </c>
      <c r="J413" t="str">
        <f>_xlfn.XLOOKUP(tblFinancials[[#This Row],[AccountKey]],tblAccounts[AccountKey],tblAccounts[AccountName],"")</f>
        <v>Cost of Goods Sold</v>
      </c>
      <c r="K413" s="8" t="str">
        <f>_xlfn.XLOOKUP(tblFinancials[[#This Row],[AccountKey]],tblAccounts[AccountKey],tblAccounts[FinancialStatement],"")</f>
        <v>Income Statement</v>
      </c>
      <c r="L413" s="8" t="str">
        <f>_xlfn.XLOOKUP(tblFinancials[[#This Row],[AccountKey]],tblAccounts[AccountKey],tblAccounts[AccountCategory],"")</f>
        <v>Cost of Sales</v>
      </c>
      <c r="M413" s="8" t="str">
        <f>_xlfn.XLOOKUP(tblFinancials[[#This Row],[AccountKey]],tblAccounts[AccountKey],tblAccounts[NormalBalance],"")</f>
        <v>Debit</v>
      </c>
      <c r="N413" s="8" t="str">
        <f>_xlfn.XLOOKUP(tblFinancials[[#This Row],[DepartmentKey]],tblDepartments[DepartmentKey],tblDepartments[DepartmentName],"")</f>
        <v>Executive</v>
      </c>
      <c r="O413" s="8" t="str">
        <f>_xlfn.XLOOKUP(tblFinancials[[#This Row],[BusinessUnitKey]],tblBusinessUnits[BusinessUnitKey],tblBusinessUnits[BusinessUnitName],"")</f>
        <v xml:space="preserve">Manufacturing </v>
      </c>
      <c r="P413" s="8" t="str">
        <f>_xlfn.XLOOKUP(tblFinancials[[#This Row],[RegionKey]],tblRegions[RegionKey],tblRegions[RegionName],"")</f>
        <v>East</v>
      </c>
    </row>
    <row r="414" spans="1:16">
      <c r="A414">
        <v>20231201</v>
      </c>
      <c r="B414">
        <v>2</v>
      </c>
      <c r="C414">
        <v>3</v>
      </c>
      <c r="D414">
        <v>4</v>
      </c>
      <c r="E414">
        <v>14</v>
      </c>
      <c r="F414" t="s">
        <v>92</v>
      </c>
      <c r="G414">
        <v>-19055.59</v>
      </c>
      <c r="H414">
        <f>_xlfn.XLOOKUP(tblFinancials[[#This Row],[DateKey]],tblCalendar[DateKey],tblCalendar[FullDate],"")</f>
        <v>45261</v>
      </c>
      <c r="I414">
        <f>_xlfn.XLOOKUP(tblFinancials[[#This Row],[AccountKey]],tblAccounts[AccountKey],tblAccounts[AccountNumber],"")</f>
        <v>5000</v>
      </c>
      <c r="J414" t="str">
        <f>_xlfn.XLOOKUP(tblFinancials[[#This Row],[AccountKey]],tblAccounts[AccountKey],tblAccounts[AccountName],"")</f>
        <v>Cost of Goods Sold</v>
      </c>
      <c r="K414" s="8" t="str">
        <f>_xlfn.XLOOKUP(tblFinancials[[#This Row],[AccountKey]],tblAccounts[AccountKey],tblAccounts[FinancialStatement],"")</f>
        <v>Income Statement</v>
      </c>
      <c r="L414" s="8" t="str">
        <f>_xlfn.XLOOKUP(tblFinancials[[#This Row],[AccountKey]],tblAccounts[AccountKey],tblAccounts[AccountCategory],"")</f>
        <v>Cost of Sales</v>
      </c>
      <c r="M414" s="8" t="str">
        <f>_xlfn.XLOOKUP(tblFinancials[[#This Row],[AccountKey]],tblAccounts[AccountKey],tblAccounts[NormalBalance],"")</f>
        <v>Debit</v>
      </c>
      <c r="N414" s="8" t="str">
        <f>_xlfn.XLOOKUP(tblFinancials[[#This Row],[DepartmentKey]],tblDepartments[DepartmentKey],tblDepartments[DepartmentName],"")</f>
        <v>Finance</v>
      </c>
      <c r="O414" s="8" t="str">
        <f>_xlfn.XLOOKUP(tblFinancials[[#This Row],[BusinessUnitKey]],tblBusinessUnits[BusinessUnitKey],tblBusinessUnits[BusinessUnitName],"")</f>
        <v>Retail</v>
      </c>
      <c r="P414" s="8" t="str">
        <f>_xlfn.XLOOKUP(tblFinancials[[#This Row],[RegionKey]],tblRegions[RegionKey],tblRegions[RegionName],"")</f>
        <v>East</v>
      </c>
    </row>
    <row r="415" spans="1:16">
      <c r="A415">
        <v>20231201</v>
      </c>
      <c r="B415">
        <v>4</v>
      </c>
      <c r="C415">
        <v>4</v>
      </c>
      <c r="D415">
        <v>4</v>
      </c>
      <c r="E415">
        <v>14</v>
      </c>
      <c r="F415" t="s">
        <v>92</v>
      </c>
      <c r="G415">
        <v>-19774.86</v>
      </c>
      <c r="H415">
        <f>_xlfn.XLOOKUP(tblFinancials[[#This Row],[DateKey]],tblCalendar[DateKey],tblCalendar[FullDate],"")</f>
        <v>45261</v>
      </c>
      <c r="I415">
        <f>_xlfn.XLOOKUP(tblFinancials[[#This Row],[AccountKey]],tblAccounts[AccountKey],tblAccounts[AccountNumber],"")</f>
        <v>5000</v>
      </c>
      <c r="J415" t="str">
        <f>_xlfn.XLOOKUP(tblFinancials[[#This Row],[AccountKey]],tblAccounts[AccountKey],tblAccounts[AccountName],"")</f>
        <v>Cost of Goods Sold</v>
      </c>
      <c r="K415" s="8" t="str">
        <f>_xlfn.XLOOKUP(tblFinancials[[#This Row],[AccountKey]],tblAccounts[AccountKey],tblAccounts[FinancialStatement],"")</f>
        <v>Income Statement</v>
      </c>
      <c r="L415" s="8" t="str">
        <f>_xlfn.XLOOKUP(tblFinancials[[#This Row],[AccountKey]],tblAccounts[AccountKey],tblAccounts[AccountCategory],"")</f>
        <v>Cost of Sales</v>
      </c>
      <c r="M415" s="8" t="str">
        <f>_xlfn.XLOOKUP(tblFinancials[[#This Row],[AccountKey]],tblAccounts[AccountKey],tblAccounts[NormalBalance],"")</f>
        <v>Debit</v>
      </c>
      <c r="N415" s="8" t="str">
        <f>_xlfn.XLOOKUP(tblFinancials[[#This Row],[DepartmentKey]],tblDepartments[DepartmentKey],tblDepartments[DepartmentName],"")</f>
        <v>Sales</v>
      </c>
      <c r="O415" s="8" t="str">
        <f>_xlfn.XLOOKUP(tblFinancials[[#This Row],[BusinessUnitKey]],tblBusinessUnits[BusinessUnitKey],tblBusinessUnits[BusinessUnitName],"")</f>
        <v>E-Commerce</v>
      </c>
      <c r="P415" s="8" t="str">
        <f>_xlfn.XLOOKUP(tblFinancials[[#This Row],[RegionKey]],tblRegions[RegionKey],tblRegions[RegionName],"")</f>
        <v>East</v>
      </c>
    </row>
    <row r="416" spans="1:16">
      <c r="A416">
        <v>20231201</v>
      </c>
      <c r="B416">
        <v>6</v>
      </c>
      <c r="C416">
        <v>4</v>
      </c>
      <c r="D416">
        <v>3</v>
      </c>
      <c r="E416">
        <v>14</v>
      </c>
      <c r="F416" t="s">
        <v>92</v>
      </c>
      <c r="G416">
        <v>-20889.03</v>
      </c>
      <c r="H416">
        <f>_xlfn.XLOOKUP(tblFinancials[[#This Row],[DateKey]],tblCalendar[DateKey],tblCalendar[FullDate],"")</f>
        <v>45261</v>
      </c>
      <c r="I416">
        <f>_xlfn.XLOOKUP(tblFinancials[[#This Row],[AccountKey]],tblAccounts[AccountKey],tblAccounts[AccountNumber],"")</f>
        <v>5000</v>
      </c>
      <c r="J416" t="str">
        <f>_xlfn.XLOOKUP(tblFinancials[[#This Row],[AccountKey]],tblAccounts[AccountKey],tblAccounts[AccountName],"")</f>
        <v>Cost of Goods Sold</v>
      </c>
      <c r="K416" s="8" t="str">
        <f>_xlfn.XLOOKUP(tblFinancials[[#This Row],[AccountKey]],tblAccounts[AccountKey],tblAccounts[FinancialStatement],"")</f>
        <v>Income Statement</v>
      </c>
      <c r="L416" s="8" t="str">
        <f>_xlfn.XLOOKUP(tblFinancials[[#This Row],[AccountKey]],tblAccounts[AccountKey],tblAccounts[AccountCategory],"")</f>
        <v>Cost of Sales</v>
      </c>
      <c r="M416" s="8" t="str">
        <f>_xlfn.XLOOKUP(tblFinancials[[#This Row],[AccountKey]],tblAccounts[AccountKey],tblAccounts[NormalBalance],"")</f>
        <v>Debit</v>
      </c>
      <c r="N416" s="8" t="str">
        <f>_xlfn.XLOOKUP(tblFinancials[[#This Row],[DepartmentKey]],tblDepartments[DepartmentKey],tblDepartments[DepartmentName],"")</f>
        <v>Operations</v>
      </c>
      <c r="O416" s="8" t="str">
        <f>_xlfn.XLOOKUP(tblFinancials[[#This Row],[BusinessUnitKey]],tblBusinessUnits[BusinessUnitKey],tblBusinessUnits[BusinessUnitName],"")</f>
        <v>E-Commerce</v>
      </c>
      <c r="P416" s="8" t="str">
        <f>_xlfn.XLOOKUP(tblFinancials[[#This Row],[RegionKey]],tblRegions[RegionKey],tblRegions[RegionName],"")</f>
        <v>South</v>
      </c>
    </row>
    <row r="417" spans="1:16">
      <c r="A417">
        <v>20231201</v>
      </c>
      <c r="B417">
        <v>4</v>
      </c>
      <c r="C417">
        <v>2</v>
      </c>
      <c r="D417">
        <v>3</v>
      </c>
      <c r="E417">
        <v>14</v>
      </c>
      <c r="F417" t="s">
        <v>92</v>
      </c>
      <c r="G417">
        <v>-19107.22</v>
      </c>
      <c r="H417">
        <f>_xlfn.XLOOKUP(tblFinancials[[#This Row],[DateKey]],tblCalendar[DateKey],tblCalendar[FullDate],"")</f>
        <v>45261</v>
      </c>
      <c r="I417">
        <f>_xlfn.XLOOKUP(tblFinancials[[#This Row],[AccountKey]],tblAccounts[AccountKey],tblAccounts[AccountNumber],"")</f>
        <v>5000</v>
      </c>
      <c r="J417" t="str">
        <f>_xlfn.XLOOKUP(tblFinancials[[#This Row],[AccountKey]],tblAccounts[AccountKey],tblAccounts[AccountName],"")</f>
        <v>Cost of Goods Sold</v>
      </c>
      <c r="K417" s="8" t="str">
        <f>_xlfn.XLOOKUP(tblFinancials[[#This Row],[AccountKey]],tblAccounts[AccountKey],tblAccounts[FinancialStatement],"")</f>
        <v>Income Statement</v>
      </c>
      <c r="L417" s="8" t="str">
        <f>_xlfn.XLOOKUP(tblFinancials[[#This Row],[AccountKey]],tblAccounts[AccountKey],tblAccounts[AccountCategory],"")</f>
        <v>Cost of Sales</v>
      </c>
      <c r="M417" s="8" t="str">
        <f>_xlfn.XLOOKUP(tblFinancials[[#This Row],[AccountKey]],tblAccounts[AccountKey],tblAccounts[NormalBalance],"")</f>
        <v>Debit</v>
      </c>
      <c r="N417" s="8" t="str">
        <f>_xlfn.XLOOKUP(tblFinancials[[#This Row],[DepartmentKey]],tblDepartments[DepartmentKey],tblDepartments[DepartmentName],"")</f>
        <v>Sales</v>
      </c>
      <c r="O417" s="8" t="str">
        <f>_xlfn.XLOOKUP(tblFinancials[[#This Row],[BusinessUnitKey]],tblBusinessUnits[BusinessUnitKey],tblBusinessUnits[BusinessUnitName],"")</f>
        <v>Wholesale</v>
      </c>
      <c r="P417" s="8" t="str">
        <f>_xlfn.XLOOKUP(tblFinancials[[#This Row],[RegionKey]],tblRegions[RegionKey],tblRegions[RegionName],"")</f>
        <v>South</v>
      </c>
    </row>
    <row r="418" spans="1:16">
      <c r="A418">
        <v>20231201</v>
      </c>
      <c r="B418">
        <v>8</v>
      </c>
      <c r="C418">
        <v>1</v>
      </c>
      <c r="D418">
        <v>1</v>
      </c>
      <c r="E418">
        <v>14</v>
      </c>
      <c r="F418" t="s">
        <v>92</v>
      </c>
      <c r="G418">
        <v>-19607.52</v>
      </c>
      <c r="H418">
        <f>_xlfn.XLOOKUP(tblFinancials[[#This Row],[DateKey]],tblCalendar[DateKey],tblCalendar[FullDate],"")</f>
        <v>45261</v>
      </c>
      <c r="I418">
        <f>_xlfn.XLOOKUP(tblFinancials[[#This Row],[AccountKey]],tblAccounts[AccountKey],tblAccounts[AccountNumber],"")</f>
        <v>5000</v>
      </c>
      <c r="J418" t="str">
        <f>_xlfn.XLOOKUP(tblFinancials[[#This Row],[AccountKey]],tblAccounts[AccountKey],tblAccounts[AccountName],"")</f>
        <v>Cost of Goods Sold</v>
      </c>
      <c r="K418" s="8" t="str">
        <f>_xlfn.XLOOKUP(tblFinancials[[#This Row],[AccountKey]],tblAccounts[AccountKey],tblAccounts[FinancialStatement],"")</f>
        <v>Income Statement</v>
      </c>
      <c r="L418" s="8" t="str">
        <f>_xlfn.XLOOKUP(tblFinancials[[#This Row],[AccountKey]],tblAccounts[AccountKey],tblAccounts[AccountCategory],"")</f>
        <v>Cost of Sales</v>
      </c>
      <c r="M418" s="8" t="str">
        <f>_xlfn.XLOOKUP(tblFinancials[[#This Row],[AccountKey]],tblAccounts[AccountKey],tblAccounts[NormalBalance],"")</f>
        <v>Debit</v>
      </c>
      <c r="N418" s="8" t="str">
        <f>_xlfn.XLOOKUP(tblFinancials[[#This Row],[DepartmentKey]],tblDepartments[DepartmentKey],tblDepartments[DepartmentName],"")</f>
        <v>Customer Service</v>
      </c>
      <c r="O418" s="8" t="str">
        <f>_xlfn.XLOOKUP(tblFinancials[[#This Row],[BusinessUnitKey]],tblBusinessUnits[BusinessUnitKey],tblBusinessUnits[BusinessUnitName],"")</f>
        <v xml:space="preserve">Manufacturing </v>
      </c>
      <c r="P418" s="8" t="str">
        <f>_xlfn.XLOOKUP(tblFinancials[[#This Row],[RegionKey]],tblRegions[RegionKey],tblRegions[RegionName],"")</f>
        <v>West</v>
      </c>
    </row>
    <row r="419" spans="1:16">
      <c r="A419">
        <v>20231201</v>
      </c>
      <c r="B419">
        <v>8</v>
      </c>
      <c r="C419">
        <v>1</v>
      </c>
      <c r="D419">
        <v>4</v>
      </c>
      <c r="E419">
        <v>14</v>
      </c>
      <c r="F419" t="s">
        <v>92</v>
      </c>
      <c r="G419">
        <v>-19687</v>
      </c>
      <c r="H419">
        <f>_xlfn.XLOOKUP(tblFinancials[[#This Row],[DateKey]],tblCalendar[DateKey],tblCalendar[FullDate],"")</f>
        <v>45261</v>
      </c>
      <c r="I419">
        <f>_xlfn.XLOOKUP(tblFinancials[[#This Row],[AccountKey]],tblAccounts[AccountKey],tblAccounts[AccountNumber],"")</f>
        <v>5000</v>
      </c>
      <c r="J419" t="str">
        <f>_xlfn.XLOOKUP(tblFinancials[[#This Row],[AccountKey]],tblAccounts[AccountKey],tblAccounts[AccountName],"")</f>
        <v>Cost of Goods Sold</v>
      </c>
      <c r="K419" s="8" t="str">
        <f>_xlfn.XLOOKUP(tblFinancials[[#This Row],[AccountKey]],tblAccounts[AccountKey],tblAccounts[FinancialStatement],"")</f>
        <v>Income Statement</v>
      </c>
      <c r="L419" s="8" t="str">
        <f>_xlfn.XLOOKUP(tblFinancials[[#This Row],[AccountKey]],tblAccounts[AccountKey],tblAccounts[AccountCategory],"")</f>
        <v>Cost of Sales</v>
      </c>
      <c r="M419" s="8" t="str">
        <f>_xlfn.XLOOKUP(tblFinancials[[#This Row],[AccountKey]],tblAccounts[AccountKey],tblAccounts[NormalBalance],"")</f>
        <v>Debit</v>
      </c>
      <c r="N419" s="8" t="str">
        <f>_xlfn.XLOOKUP(tblFinancials[[#This Row],[DepartmentKey]],tblDepartments[DepartmentKey],tblDepartments[DepartmentName],"")</f>
        <v>Customer Service</v>
      </c>
      <c r="O419" s="8" t="str">
        <f>_xlfn.XLOOKUP(tblFinancials[[#This Row],[BusinessUnitKey]],tblBusinessUnits[BusinessUnitKey],tblBusinessUnits[BusinessUnitName],"")</f>
        <v xml:space="preserve">Manufacturing </v>
      </c>
      <c r="P419" s="8" t="str">
        <f>_xlfn.XLOOKUP(tblFinancials[[#This Row],[RegionKey]],tblRegions[RegionKey],tblRegions[RegionName],"")</f>
        <v>East</v>
      </c>
    </row>
    <row r="420" spans="1:16">
      <c r="A420">
        <v>20231201</v>
      </c>
      <c r="B420">
        <v>1</v>
      </c>
      <c r="C420">
        <v>1</v>
      </c>
      <c r="D420">
        <v>4</v>
      </c>
      <c r="E420">
        <v>14</v>
      </c>
      <c r="F420" t="s">
        <v>92</v>
      </c>
      <c r="G420">
        <v>-19474.09</v>
      </c>
      <c r="H420">
        <f>_xlfn.XLOOKUP(tblFinancials[[#This Row],[DateKey]],tblCalendar[DateKey],tblCalendar[FullDate],"")</f>
        <v>45261</v>
      </c>
      <c r="I420">
        <f>_xlfn.XLOOKUP(tblFinancials[[#This Row],[AccountKey]],tblAccounts[AccountKey],tblAccounts[AccountNumber],"")</f>
        <v>5000</v>
      </c>
      <c r="J420" t="str">
        <f>_xlfn.XLOOKUP(tblFinancials[[#This Row],[AccountKey]],tblAccounts[AccountKey],tblAccounts[AccountName],"")</f>
        <v>Cost of Goods Sold</v>
      </c>
      <c r="K420" s="8" t="str">
        <f>_xlfn.XLOOKUP(tblFinancials[[#This Row],[AccountKey]],tblAccounts[AccountKey],tblAccounts[FinancialStatement],"")</f>
        <v>Income Statement</v>
      </c>
      <c r="L420" s="8" t="str">
        <f>_xlfn.XLOOKUP(tblFinancials[[#This Row],[AccountKey]],tblAccounts[AccountKey],tblAccounts[AccountCategory],"")</f>
        <v>Cost of Sales</v>
      </c>
      <c r="M420" s="8" t="str">
        <f>_xlfn.XLOOKUP(tblFinancials[[#This Row],[AccountKey]],tblAccounts[AccountKey],tblAccounts[NormalBalance],"")</f>
        <v>Debit</v>
      </c>
      <c r="N420" s="8" t="str">
        <f>_xlfn.XLOOKUP(tblFinancials[[#This Row],[DepartmentKey]],tblDepartments[DepartmentKey],tblDepartments[DepartmentName],"")</f>
        <v>Executive</v>
      </c>
      <c r="O420" s="8" t="str">
        <f>_xlfn.XLOOKUP(tblFinancials[[#This Row],[BusinessUnitKey]],tblBusinessUnits[BusinessUnitKey],tblBusinessUnits[BusinessUnitName],"")</f>
        <v xml:space="preserve">Manufacturing </v>
      </c>
      <c r="P420" s="8" t="str">
        <f>_xlfn.XLOOKUP(tblFinancials[[#This Row],[RegionKey]],tblRegions[RegionKey],tblRegions[RegionName],"")</f>
        <v>East</v>
      </c>
    </row>
    <row r="421" spans="1:16">
      <c r="A421">
        <v>20231201</v>
      </c>
      <c r="B421">
        <v>6</v>
      </c>
      <c r="C421">
        <v>2</v>
      </c>
      <c r="D421">
        <v>1</v>
      </c>
      <c r="E421">
        <v>14</v>
      </c>
      <c r="F421" t="s">
        <v>92</v>
      </c>
      <c r="G421">
        <v>-21149.56</v>
      </c>
      <c r="H421">
        <f>_xlfn.XLOOKUP(tblFinancials[[#This Row],[DateKey]],tblCalendar[DateKey],tblCalendar[FullDate],"")</f>
        <v>45261</v>
      </c>
      <c r="I421">
        <f>_xlfn.XLOOKUP(tblFinancials[[#This Row],[AccountKey]],tblAccounts[AccountKey],tblAccounts[AccountNumber],"")</f>
        <v>5000</v>
      </c>
      <c r="J421" t="str">
        <f>_xlfn.XLOOKUP(tblFinancials[[#This Row],[AccountKey]],tblAccounts[AccountKey],tblAccounts[AccountName],"")</f>
        <v>Cost of Goods Sold</v>
      </c>
      <c r="K421" s="8" t="str">
        <f>_xlfn.XLOOKUP(tblFinancials[[#This Row],[AccountKey]],tblAccounts[AccountKey],tblAccounts[FinancialStatement],"")</f>
        <v>Income Statement</v>
      </c>
      <c r="L421" s="8" t="str">
        <f>_xlfn.XLOOKUP(tblFinancials[[#This Row],[AccountKey]],tblAccounts[AccountKey],tblAccounts[AccountCategory],"")</f>
        <v>Cost of Sales</v>
      </c>
      <c r="M421" s="8" t="str">
        <f>_xlfn.XLOOKUP(tblFinancials[[#This Row],[AccountKey]],tblAccounts[AccountKey],tblAccounts[NormalBalance],"")</f>
        <v>Debit</v>
      </c>
      <c r="N421" s="8" t="str">
        <f>_xlfn.XLOOKUP(tblFinancials[[#This Row],[DepartmentKey]],tblDepartments[DepartmentKey],tblDepartments[DepartmentName],"")</f>
        <v>Operations</v>
      </c>
      <c r="O421" s="8" t="str">
        <f>_xlfn.XLOOKUP(tblFinancials[[#This Row],[BusinessUnitKey]],tblBusinessUnits[BusinessUnitKey],tblBusinessUnits[BusinessUnitName],"")</f>
        <v>Wholesale</v>
      </c>
      <c r="P421" s="8" t="str">
        <f>_xlfn.XLOOKUP(tblFinancials[[#This Row],[RegionKey]],tblRegions[RegionKey],tblRegions[RegionName],"")</f>
        <v>West</v>
      </c>
    </row>
    <row r="422" spans="1:16">
      <c r="A422">
        <v>20231201</v>
      </c>
      <c r="B422">
        <v>4</v>
      </c>
      <c r="C422">
        <v>2</v>
      </c>
      <c r="D422">
        <v>2</v>
      </c>
      <c r="E422">
        <v>25</v>
      </c>
      <c r="F422" t="s">
        <v>92</v>
      </c>
      <c r="G422">
        <v>-8066.89</v>
      </c>
      <c r="H422">
        <f>_xlfn.XLOOKUP(tblFinancials[[#This Row],[DateKey]],tblCalendar[DateKey],tblCalendar[FullDate],"")</f>
        <v>45261</v>
      </c>
      <c r="I422">
        <f>_xlfn.XLOOKUP(tblFinancials[[#This Row],[AccountKey]],tblAccounts[AccountKey],tblAccounts[AccountNumber],"")</f>
        <v>8200</v>
      </c>
      <c r="J422" t="str">
        <f>_xlfn.XLOOKUP(tblFinancials[[#This Row],[AccountKey]],tblAccounts[AccountKey],tblAccounts[AccountName],"")</f>
        <v>Income Tax Expense</v>
      </c>
      <c r="K422" s="8" t="str">
        <f>_xlfn.XLOOKUP(tblFinancials[[#This Row],[AccountKey]],tblAccounts[AccountKey],tblAccounts[FinancialStatement],"")</f>
        <v>Income Statement</v>
      </c>
      <c r="L422" s="8" t="str">
        <f>_xlfn.XLOOKUP(tblFinancials[[#This Row],[AccountKey]],tblAccounts[AccountKey],tblAccounts[AccountCategory],"")</f>
        <v>Tax Expense</v>
      </c>
      <c r="M422" s="8" t="str">
        <f>_xlfn.XLOOKUP(tblFinancials[[#This Row],[AccountKey]],tblAccounts[AccountKey],tblAccounts[NormalBalance],"")</f>
        <v>Debit</v>
      </c>
      <c r="N422" s="8" t="str">
        <f>_xlfn.XLOOKUP(tblFinancials[[#This Row],[DepartmentKey]],tblDepartments[DepartmentKey],tblDepartments[DepartmentName],"")</f>
        <v>Sales</v>
      </c>
      <c r="O422" s="8" t="str">
        <f>_xlfn.XLOOKUP(tblFinancials[[#This Row],[BusinessUnitKey]],tblBusinessUnits[BusinessUnitKey],tblBusinessUnits[BusinessUnitName],"")</f>
        <v>Wholesale</v>
      </c>
      <c r="P422" s="8" t="str">
        <f>_xlfn.XLOOKUP(tblFinancials[[#This Row],[RegionKey]],tblRegions[RegionKey],tblRegions[RegionName],"")</f>
        <v>Midwest</v>
      </c>
    </row>
    <row r="423" spans="1:16">
      <c r="A423">
        <v>20231201</v>
      </c>
      <c r="B423">
        <v>8</v>
      </c>
      <c r="C423">
        <v>4</v>
      </c>
      <c r="D423">
        <v>2</v>
      </c>
      <c r="E423">
        <v>24</v>
      </c>
      <c r="F423" t="s">
        <v>92</v>
      </c>
      <c r="G423">
        <v>-7329.26</v>
      </c>
      <c r="H423">
        <f>_xlfn.XLOOKUP(tblFinancials[[#This Row],[DateKey]],tblCalendar[DateKey],tblCalendar[FullDate],"")</f>
        <v>45261</v>
      </c>
      <c r="I423">
        <f>_xlfn.XLOOKUP(tblFinancials[[#This Row],[AccountKey]],tblAccounts[AccountKey],tblAccounts[AccountNumber],"")</f>
        <v>6900</v>
      </c>
      <c r="J423" t="str">
        <f>_xlfn.XLOOKUP(tblFinancials[[#This Row],[AccountKey]],tblAccounts[AccountKey],tblAccounts[AccountName],"")</f>
        <v>Professional Services</v>
      </c>
      <c r="K423" s="8" t="str">
        <f>_xlfn.XLOOKUP(tblFinancials[[#This Row],[AccountKey]],tblAccounts[AccountKey],tblAccounts[FinancialStatement],"")</f>
        <v>Income Statement</v>
      </c>
      <c r="L423" s="8" t="str">
        <f>_xlfn.XLOOKUP(tblFinancials[[#This Row],[AccountKey]],tblAccounts[AccountKey],tblAccounts[AccountCategory],"")</f>
        <v>Operating Expense</v>
      </c>
      <c r="M423" s="8" t="str">
        <f>_xlfn.XLOOKUP(tblFinancials[[#This Row],[AccountKey]],tblAccounts[AccountKey],tblAccounts[NormalBalance],"")</f>
        <v>Debit</v>
      </c>
      <c r="N423" s="8" t="str">
        <f>_xlfn.XLOOKUP(tblFinancials[[#This Row],[DepartmentKey]],tblDepartments[DepartmentKey],tblDepartments[DepartmentName],"")</f>
        <v>Customer Service</v>
      </c>
      <c r="O423" s="8" t="str">
        <f>_xlfn.XLOOKUP(tblFinancials[[#This Row],[BusinessUnitKey]],tblBusinessUnits[BusinessUnitKey],tblBusinessUnits[BusinessUnitName],"")</f>
        <v>E-Commerce</v>
      </c>
      <c r="P423" s="8" t="str">
        <f>_xlfn.XLOOKUP(tblFinancials[[#This Row],[RegionKey]],tblRegions[RegionKey],tblRegions[RegionName],"")</f>
        <v>Midwest</v>
      </c>
    </row>
    <row r="424" spans="1:16">
      <c r="A424">
        <v>20231201</v>
      </c>
      <c r="B424">
        <v>4</v>
      </c>
      <c r="C424">
        <v>2</v>
      </c>
      <c r="D424">
        <v>1</v>
      </c>
      <c r="E424">
        <v>18</v>
      </c>
      <c r="F424" t="s">
        <v>92</v>
      </c>
      <c r="G424">
        <v>-7280.38</v>
      </c>
      <c r="H424">
        <f>_xlfn.XLOOKUP(tblFinancials[[#This Row],[DateKey]],tblCalendar[DateKey],tblCalendar[FullDate],"")</f>
        <v>45261</v>
      </c>
      <c r="I424">
        <f>_xlfn.XLOOKUP(tblFinancials[[#This Row],[AccountKey]],tblAccounts[AccountKey],tblAccounts[AccountNumber],"")</f>
        <v>6200</v>
      </c>
      <c r="J424" t="str">
        <f>_xlfn.XLOOKUP(tblFinancials[[#This Row],[AccountKey]],tblAccounts[AccountKey],tblAccounts[AccountName],"")</f>
        <v>Marketing Expense</v>
      </c>
      <c r="K424" s="8" t="str">
        <f>_xlfn.XLOOKUP(tblFinancials[[#This Row],[AccountKey]],tblAccounts[AccountKey],tblAccounts[FinancialStatement],"")</f>
        <v>Income Statement</v>
      </c>
      <c r="L424" s="8" t="str">
        <f>_xlfn.XLOOKUP(tblFinancials[[#This Row],[AccountKey]],tblAccounts[AccountKey],tblAccounts[AccountCategory],"")</f>
        <v>Operating Expense</v>
      </c>
      <c r="M424" s="8" t="str">
        <f>_xlfn.XLOOKUP(tblFinancials[[#This Row],[AccountKey]],tblAccounts[AccountKey],tblAccounts[NormalBalance],"")</f>
        <v>Debit</v>
      </c>
      <c r="N424" s="8" t="str">
        <f>_xlfn.XLOOKUP(tblFinancials[[#This Row],[DepartmentKey]],tblDepartments[DepartmentKey],tblDepartments[DepartmentName],"")</f>
        <v>Sales</v>
      </c>
      <c r="O424" s="8" t="str">
        <f>_xlfn.XLOOKUP(tblFinancials[[#This Row],[BusinessUnitKey]],tblBusinessUnits[BusinessUnitKey],tblBusinessUnits[BusinessUnitName],"")</f>
        <v>Wholesale</v>
      </c>
      <c r="P424" s="8" t="str">
        <f>_xlfn.XLOOKUP(tblFinancials[[#This Row],[RegionKey]],tblRegions[RegionKey],tblRegions[RegionName],"")</f>
        <v>West</v>
      </c>
    </row>
    <row r="425" spans="1:16">
      <c r="A425">
        <v>20231201</v>
      </c>
      <c r="B425">
        <v>6</v>
      </c>
      <c r="C425">
        <v>1</v>
      </c>
      <c r="D425">
        <v>4</v>
      </c>
      <c r="E425">
        <v>21</v>
      </c>
      <c r="F425" t="s">
        <v>92</v>
      </c>
      <c r="G425">
        <v>-9097.6200000000008</v>
      </c>
      <c r="H425">
        <f>_xlfn.XLOOKUP(tblFinancials[[#This Row],[DateKey]],tblCalendar[DateKey],tblCalendar[FullDate],"")</f>
        <v>45261</v>
      </c>
      <c r="I425">
        <f>_xlfn.XLOOKUP(tblFinancials[[#This Row],[AccountKey]],tblAccounts[AccountKey],tblAccounts[AccountNumber],"")</f>
        <v>6600</v>
      </c>
      <c r="J425" t="str">
        <f>_xlfn.XLOOKUP(tblFinancials[[#This Row],[AccountKey]],tblAccounts[AccountKey],tblAccounts[AccountName],"")</f>
        <v>Utilities Expense</v>
      </c>
      <c r="K425" s="8" t="str">
        <f>_xlfn.XLOOKUP(tblFinancials[[#This Row],[AccountKey]],tblAccounts[AccountKey],tblAccounts[FinancialStatement],"")</f>
        <v>Income Statement</v>
      </c>
      <c r="L425" s="8" t="str">
        <f>_xlfn.XLOOKUP(tblFinancials[[#This Row],[AccountKey]],tblAccounts[AccountKey],tblAccounts[AccountCategory],"")</f>
        <v>Operating Expense</v>
      </c>
      <c r="M425" s="8" t="str">
        <f>_xlfn.XLOOKUP(tblFinancials[[#This Row],[AccountKey]],tblAccounts[AccountKey],tblAccounts[NormalBalance],"")</f>
        <v>Debit</v>
      </c>
      <c r="N425" s="8" t="str">
        <f>_xlfn.XLOOKUP(tblFinancials[[#This Row],[DepartmentKey]],tblDepartments[DepartmentKey],tblDepartments[DepartmentName],"")</f>
        <v>Operations</v>
      </c>
      <c r="O425" s="8" t="str">
        <f>_xlfn.XLOOKUP(tblFinancials[[#This Row],[BusinessUnitKey]],tblBusinessUnits[BusinessUnitKey],tblBusinessUnits[BusinessUnitName],"")</f>
        <v xml:space="preserve">Manufacturing </v>
      </c>
      <c r="P425" s="8" t="str">
        <f>_xlfn.XLOOKUP(tblFinancials[[#This Row],[RegionKey]],tblRegions[RegionKey],tblRegions[RegionName],"")</f>
        <v>East</v>
      </c>
    </row>
    <row r="426" spans="1:16">
      <c r="A426">
        <v>20231201</v>
      </c>
      <c r="B426">
        <v>6</v>
      </c>
      <c r="C426">
        <v>3</v>
      </c>
      <c r="D426">
        <v>4</v>
      </c>
      <c r="E426">
        <v>16</v>
      </c>
      <c r="F426" t="s">
        <v>92</v>
      </c>
      <c r="G426">
        <v>-8643.66</v>
      </c>
      <c r="H426">
        <f>_xlfn.XLOOKUP(tblFinancials[[#This Row],[DateKey]],tblCalendar[DateKey],tblCalendar[FullDate],"")</f>
        <v>45261</v>
      </c>
      <c r="I426">
        <f>_xlfn.XLOOKUP(tblFinancials[[#This Row],[AccountKey]],tblAccounts[AccountKey],tblAccounts[AccountNumber],"")</f>
        <v>6110</v>
      </c>
      <c r="J426" t="str">
        <f>_xlfn.XLOOKUP(tblFinancials[[#This Row],[AccountKey]],tblAccounts[AccountKey],tblAccounts[AccountName],"")</f>
        <v>Payroll Taxes</v>
      </c>
      <c r="K426" s="8" t="str">
        <f>_xlfn.XLOOKUP(tblFinancials[[#This Row],[AccountKey]],tblAccounts[AccountKey],tblAccounts[FinancialStatement],"")</f>
        <v>Income Statement</v>
      </c>
      <c r="L426" s="8" t="str">
        <f>_xlfn.XLOOKUP(tblFinancials[[#This Row],[AccountKey]],tblAccounts[AccountKey],tblAccounts[AccountCategory],"")</f>
        <v>Operating Expense</v>
      </c>
      <c r="M426" s="8" t="str">
        <f>_xlfn.XLOOKUP(tblFinancials[[#This Row],[AccountKey]],tblAccounts[AccountKey],tblAccounts[NormalBalance],"")</f>
        <v>Debit</v>
      </c>
      <c r="N426" s="8" t="str">
        <f>_xlfn.XLOOKUP(tblFinancials[[#This Row],[DepartmentKey]],tblDepartments[DepartmentKey],tblDepartments[DepartmentName],"")</f>
        <v>Operations</v>
      </c>
      <c r="O426" s="8" t="str">
        <f>_xlfn.XLOOKUP(tblFinancials[[#This Row],[BusinessUnitKey]],tblBusinessUnits[BusinessUnitKey],tblBusinessUnits[BusinessUnitName],"")</f>
        <v>Retail</v>
      </c>
      <c r="P426" s="8" t="str">
        <f>_xlfn.XLOOKUP(tblFinancials[[#This Row],[RegionKey]],tblRegions[RegionKey],tblRegions[RegionName],"")</f>
        <v>East</v>
      </c>
    </row>
    <row r="427" spans="1:16">
      <c r="A427">
        <v>20231201</v>
      </c>
      <c r="B427">
        <v>6</v>
      </c>
      <c r="C427">
        <v>1</v>
      </c>
      <c r="D427">
        <v>4</v>
      </c>
      <c r="E427">
        <v>20</v>
      </c>
      <c r="F427" t="s">
        <v>92</v>
      </c>
      <c r="G427">
        <v>-8972.0499999999993</v>
      </c>
      <c r="H427">
        <f>_xlfn.XLOOKUP(tblFinancials[[#This Row],[DateKey]],tblCalendar[DateKey],tblCalendar[FullDate],"")</f>
        <v>45261</v>
      </c>
      <c r="I427">
        <f>_xlfn.XLOOKUP(tblFinancials[[#This Row],[AccountKey]],tblAccounts[AccountKey],tblAccounts[AccountNumber],"")</f>
        <v>6500</v>
      </c>
      <c r="J427" t="str">
        <f>_xlfn.XLOOKUP(tblFinancials[[#This Row],[AccountKey]],tblAccounts[AccountKey],tblAccounts[AccountName],"")</f>
        <v>Rent Expense</v>
      </c>
      <c r="K427" s="8" t="str">
        <f>_xlfn.XLOOKUP(tblFinancials[[#This Row],[AccountKey]],tblAccounts[AccountKey],tblAccounts[FinancialStatement],"")</f>
        <v>Income Statement</v>
      </c>
      <c r="L427" s="8" t="str">
        <f>_xlfn.XLOOKUP(tblFinancials[[#This Row],[AccountKey]],tblAccounts[AccountKey],tblAccounts[AccountCategory],"")</f>
        <v>Operating Expense</v>
      </c>
      <c r="M427" s="8" t="str">
        <f>_xlfn.XLOOKUP(tblFinancials[[#This Row],[AccountKey]],tblAccounts[AccountKey],tblAccounts[NormalBalance],"")</f>
        <v>Debit</v>
      </c>
      <c r="N427" s="8" t="str">
        <f>_xlfn.XLOOKUP(tblFinancials[[#This Row],[DepartmentKey]],tblDepartments[DepartmentKey],tblDepartments[DepartmentName],"")</f>
        <v>Operations</v>
      </c>
      <c r="O427" s="8" t="str">
        <f>_xlfn.XLOOKUP(tblFinancials[[#This Row],[BusinessUnitKey]],tblBusinessUnits[BusinessUnitKey],tblBusinessUnits[BusinessUnitName],"")</f>
        <v xml:space="preserve">Manufacturing </v>
      </c>
      <c r="P427" s="8" t="str">
        <f>_xlfn.XLOOKUP(tblFinancials[[#This Row],[RegionKey]],tblRegions[RegionKey],tblRegions[RegionName],"")</f>
        <v>East</v>
      </c>
    </row>
    <row r="428" spans="1:16">
      <c r="A428">
        <v>20231201</v>
      </c>
      <c r="B428">
        <v>5</v>
      </c>
      <c r="C428">
        <v>4</v>
      </c>
      <c r="D428">
        <v>4</v>
      </c>
      <c r="E428">
        <v>19</v>
      </c>
      <c r="F428" t="s">
        <v>92</v>
      </c>
      <c r="G428">
        <v>-8000.1</v>
      </c>
      <c r="H428">
        <f>_xlfn.XLOOKUP(tblFinancials[[#This Row],[DateKey]],tblCalendar[DateKey],tblCalendar[FullDate],"")</f>
        <v>45261</v>
      </c>
      <c r="I428">
        <f>_xlfn.XLOOKUP(tblFinancials[[#This Row],[AccountKey]],tblAccounts[AccountKey],tblAccounts[AccountNumber],"")</f>
        <v>6300</v>
      </c>
      <c r="J428" t="str">
        <f>_xlfn.XLOOKUP(tblFinancials[[#This Row],[AccountKey]],tblAccounts[AccountKey],tblAccounts[AccountName],"")</f>
        <v>Software Expense</v>
      </c>
      <c r="K428" s="8" t="str">
        <f>_xlfn.XLOOKUP(tblFinancials[[#This Row],[AccountKey]],tblAccounts[AccountKey],tblAccounts[FinancialStatement],"")</f>
        <v>Income Statement</v>
      </c>
      <c r="L428" s="8" t="str">
        <f>_xlfn.XLOOKUP(tblFinancials[[#This Row],[AccountKey]],tblAccounts[AccountKey],tblAccounts[AccountCategory],"")</f>
        <v>Operating Expense</v>
      </c>
      <c r="M428" s="8" t="str">
        <f>_xlfn.XLOOKUP(tblFinancials[[#This Row],[AccountKey]],tblAccounts[AccountKey],tblAccounts[NormalBalance],"")</f>
        <v>Debit</v>
      </c>
      <c r="N428" s="8" t="str">
        <f>_xlfn.XLOOKUP(tblFinancials[[#This Row],[DepartmentKey]],tblDepartments[DepartmentKey],tblDepartments[DepartmentName],"")</f>
        <v>Marketing</v>
      </c>
      <c r="O428" s="8" t="str">
        <f>_xlfn.XLOOKUP(tblFinancials[[#This Row],[BusinessUnitKey]],tblBusinessUnits[BusinessUnitKey],tblBusinessUnits[BusinessUnitName],"")</f>
        <v>E-Commerce</v>
      </c>
      <c r="P428" s="8" t="str">
        <f>_xlfn.XLOOKUP(tblFinancials[[#This Row],[RegionKey]],tblRegions[RegionKey],tblRegions[RegionName],"")</f>
        <v>East</v>
      </c>
    </row>
    <row r="429" spans="1:16">
      <c r="A429">
        <v>20231201</v>
      </c>
      <c r="B429">
        <v>7</v>
      </c>
      <c r="C429">
        <v>4</v>
      </c>
      <c r="D429">
        <v>3</v>
      </c>
      <c r="E429">
        <v>23</v>
      </c>
      <c r="F429" t="s">
        <v>92</v>
      </c>
      <c r="G429">
        <v>-7490.33</v>
      </c>
      <c r="H429">
        <f>_xlfn.XLOOKUP(tblFinancials[[#This Row],[DateKey]],tblCalendar[DateKey],tblCalendar[FullDate],"")</f>
        <v>45261</v>
      </c>
      <c r="I429">
        <f>_xlfn.XLOOKUP(tblFinancials[[#This Row],[AccountKey]],tblAccounts[AccountKey],tblAccounts[AccountNumber],"")</f>
        <v>6800</v>
      </c>
      <c r="J429" t="str">
        <f>_xlfn.XLOOKUP(tblFinancials[[#This Row],[AccountKey]],tblAccounts[AccountKey],tblAccounts[AccountName],"")</f>
        <v>Travel Expense</v>
      </c>
      <c r="K429" s="8" t="str">
        <f>_xlfn.XLOOKUP(tblFinancials[[#This Row],[AccountKey]],tblAccounts[AccountKey],tblAccounts[FinancialStatement],"")</f>
        <v>Income Statement</v>
      </c>
      <c r="L429" s="8" t="str">
        <f>_xlfn.XLOOKUP(tblFinancials[[#This Row],[AccountKey]],tblAccounts[AccountKey],tblAccounts[AccountCategory],"")</f>
        <v>Operating Expense</v>
      </c>
      <c r="M429" s="8" t="str">
        <f>_xlfn.XLOOKUP(tblFinancials[[#This Row],[AccountKey]],tblAccounts[AccountKey],tblAccounts[NormalBalance],"")</f>
        <v>Debit</v>
      </c>
      <c r="N429" s="8" t="str">
        <f>_xlfn.XLOOKUP(tblFinancials[[#This Row],[DepartmentKey]],tblDepartments[DepartmentKey],tblDepartments[DepartmentName],"")</f>
        <v>Information Technology</v>
      </c>
      <c r="O429" s="8" t="str">
        <f>_xlfn.XLOOKUP(tblFinancials[[#This Row],[BusinessUnitKey]],tblBusinessUnits[BusinessUnitKey],tblBusinessUnits[BusinessUnitName],"")</f>
        <v>E-Commerce</v>
      </c>
      <c r="P429" s="8" t="str">
        <f>_xlfn.XLOOKUP(tblFinancials[[#This Row],[RegionKey]],tblRegions[RegionKey],tblRegions[RegionName],"")</f>
        <v>South</v>
      </c>
    </row>
    <row r="430" spans="1:16">
      <c r="A430">
        <v>20231201</v>
      </c>
      <c r="B430">
        <v>8</v>
      </c>
      <c r="C430">
        <v>4</v>
      </c>
      <c r="D430">
        <v>3</v>
      </c>
      <c r="E430">
        <v>17</v>
      </c>
      <c r="F430" t="s">
        <v>92</v>
      </c>
      <c r="G430">
        <v>-6935.02</v>
      </c>
      <c r="H430">
        <f>_xlfn.XLOOKUP(tblFinancials[[#This Row],[DateKey]],tblCalendar[DateKey],tblCalendar[FullDate],"")</f>
        <v>45261</v>
      </c>
      <c r="I430">
        <f>_xlfn.XLOOKUP(tblFinancials[[#This Row],[AccountKey]],tblAccounts[AccountKey],tblAccounts[AccountNumber],"")</f>
        <v>6120</v>
      </c>
      <c r="J430" t="str">
        <f>_xlfn.XLOOKUP(tblFinancials[[#This Row],[AccountKey]],tblAccounts[AccountKey],tblAccounts[AccountName],"")</f>
        <v>Employee Benefits</v>
      </c>
      <c r="K430" s="8" t="str">
        <f>_xlfn.XLOOKUP(tblFinancials[[#This Row],[AccountKey]],tblAccounts[AccountKey],tblAccounts[FinancialStatement],"")</f>
        <v>Income Statement</v>
      </c>
      <c r="L430" s="8" t="str">
        <f>_xlfn.XLOOKUP(tblFinancials[[#This Row],[AccountKey]],tblAccounts[AccountKey],tblAccounts[AccountCategory],"")</f>
        <v>Operating Expense</v>
      </c>
      <c r="M430" s="8" t="str">
        <f>_xlfn.XLOOKUP(tblFinancials[[#This Row],[AccountKey]],tblAccounts[AccountKey],tblAccounts[NormalBalance],"")</f>
        <v>Debit</v>
      </c>
      <c r="N430" s="8" t="str">
        <f>_xlfn.XLOOKUP(tblFinancials[[#This Row],[DepartmentKey]],tblDepartments[DepartmentKey],tblDepartments[DepartmentName],"")</f>
        <v>Customer Service</v>
      </c>
      <c r="O430" s="8" t="str">
        <f>_xlfn.XLOOKUP(tblFinancials[[#This Row],[BusinessUnitKey]],tblBusinessUnits[BusinessUnitKey],tblBusinessUnits[BusinessUnitName],"")</f>
        <v>E-Commerce</v>
      </c>
      <c r="P430" s="8" t="str">
        <f>_xlfn.XLOOKUP(tblFinancials[[#This Row],[RegionKey]],tblRegions[RegionKey],tblRegions[RegionName],"")</f>
        <v>South</v>
      </c>
    </row>
    <row r="431" spans="1:16">
      <c r="A431">
        <v>20231201</v>
      </c>
      <c r="B431">
        <v>3</v>
      </c>
      <c r="C431">
        <v>2</v>
      </c>
      <c r="D431">
        <v>3</v>
      </c>
      <c r="E431">
        <v>18</v>
      </c>
      <c r="F431" t="s">
        <v>92</v>
      </c>
      <c r="G431">
        <v>-7214.78</v>
      </c>
      <c r="H431">
        <f>_xlfn.XLOOKUP(tblFinancials[[#This Row],[DateKey]],tblCalendar[DateKey],tblCalendar[FullDate],"")</f>
        <v>45261</v>
      </c>
      <c r="I431">
        <f>_xlfn.XLOOKUP(tblFinancials[[#This Row],[AccountKey]],tblAccounts[AccountKey],tblAccounts[AccountNumber],"")</f>
        <v>6200</v>
      </c>
      <c r="J431" t="str">
        <f>_xlfn.XLOOKUP(tblFinancials[[#This Row],[AccountKey]],tblAccounts[AccountKey],tblAccounts[AccountName],"")</f>
        <v>Marketing Expense</v>
      </c>
      <c r="K431" s="8" t="str">
        <f>_xlfn.XLOOKUP(tblFinancials[[#This Row],[AccountKey]],tblAccounts[AccountKey],tblAccounts[FinancialStatement],"")</f>
        <v>Income Statement</v>
      </c>
      <c r="L431" s="8" t="str">
        <f>_xlfn.XLOOKUP(tblFinancials[[#This Row],[AccountKey]],tblAccounts[AccountKey],tblAccounts[AccountCategory],"")</f>
        <v>Operating Expense</v>
      </c>
      <c r="M431" s="8" t="str">
        <f>_xlfn.XLOOKUP(tblFinancials[[#This Row],[AccountKey]],tblAccounts[AccountKey],tblAccounts[NormalBalance],"")</f>
        <v>Debit</v>
      </c>
      <c r="N431" s="8" t="str">
        <f>_xlfn.XLOOKUP(tblFinancials[[#This Row],[DepartmentKey]],tblDepartments[DepartmentKey],tblDepartments[DepartmentName],"")</f>
        <v>Human Resources</v>
      </c>
      <c r="O431" s="8" t="str">
        <f>_xlfn.XLOOKUP(tblFinancials[[#This Row],[BusinessUnitKey]],tblBusinessUnits[BusinessUnitKey],tblBusinessUnits[BusinessUnitName],"")</f>
        <v>Wholesale</v>
      </c>
      <c r="P431" s="8" t="str">
        <f>_xlfn.XLOOKUP(tblFinancials[[#This Row],[RegionKey]],tblRegions[RegionKey],tblRegions[RegionName],"")</f>
        <v>South</v>
      </c>
    </row>
    <row r="432" spans="1:16">
      <c r="A432">
        <v>20231201</v>
      </c>
      <c r="B432">
        <v>2</v>
      </c>
      <c r="C432">
        <v>2</v>
      </c>
      <c r="D432">
        <v>2</v>
      </c>
      <c r="E432">
        <v>17</v>
      </c>
      <c r="F432" t="s">
        <v>92</v>
      </c>
      <c r="G432">
        <v>-7299.41</v>
      </c>
      <c r="H432">
        <f>_xlfn.XLOOKUP(tblFinancials[[#This Row],[DateKey]],tblCalendar[DateKey],tblCalendar[FullDate],"")</f>
        <v>45261</v>
      </c>
      <c r="I432">
        <f>_xlfn.XLOOKUP(tblFinancials[[#This Row],[AccountKey]],tblAccounts[AccountKey],tblAccounts[AccountNumber],"")</f>
        <v>6120</v>
      </c>
      <c r="J432" t="str">
        <f>_xlfn.XLOOKUP(tblFinancials[[#This Row],[AccountKey]],tblAccounts[AccountKey],tblAccounts[AccountName],"")</f>
        <v>Employee Benefits</v>
      </c>
      <c r="K432" s="8" t="str">
        <f>_xlfn.XLOOKUP(tblFinancials[[#This Row],[AccountKey]],tblAccounts[AccountKey],tblAccounts[FinancialStatement],"")</f>
        <v>Income Statement</v>
      </c>
      <c r="L432" s="8" t="str">
        <f>_xlfn.XLOOKUP(tblFinancials[[#This Row],[AccountKey]],tblAccounts[AccountKey],tblAccounts[AccountCategory],"")</f>
        <v>Operating Expense</v>
      </c>
      <c r="M432" s="8" t="str">
        <f>_xlfn.XLOOKUP(tblFinancials[[#This Row],[AccountKey]],tblAccounts[AccountKey],tblAccounts[NormalBalance],"")</f>
        <v>Debit</v>
      </c>
      <c r="N432" s="8" t="str">
        <f>_xlfn.XLOOKUP(tblFinancials[[#This Row],[DepartmentKey]],tblDepartments[DepartmentKey],tblDepartments[DepartmentName],"")</f>
        <v>Finance</v>
      </c>
      <c r="O432" s="8" t="str">
        <f>_xlfn.XLOOKUP(tblFinancials[[#This Row],[BusinessUnitKey]],tblBusinessUnits[BusinessUnitKey],tblBusinessUnits[BusinessUnitName],"")</f>
        <v>Wholesale</v>
      </c>
      <c r="P432" s="8" t="str">
        <f>_xlfn.XLOOKUP(tblFinancials[[#This Row],[RegionKey]],tblRegions[RegionKey],tblRegions[RegionName],"")</f>
        <v>Midwest</v>
      </c>
    </row>
    <row r="433" spans="1:16">
      <c r="A433">
        <v>20231201</v>
      </c>
      <c r="B433">
        <v>6</v>
      </c>
      <c r="C433">
        <v>3</v>
      </c>
      <c r="D433">
        <v>3</v>
      </c>
      <c r="E433">
        <v>22</v>
      </c>
      <c r="F433" t="s">
        <v>92</v>
      </c>
      <c r="G433">
        <v>-8660.8799999999992</v>
      </c>
      <c r="H433">
        <f>_xlfn.XLOOKUP(tblFinancials[[#This Row],[DateKey]],tblCalendar[DateKey],tblCalendar[FullDate],"")</f>
        <v>45261</v>
      </c>
      <c r="I433">
        <f>_xlfn.XLOOKUP(tblFinancials[[#This Row],[AccountKey]],tblAccounts[AccountKey],tblAccounts[AccountNumber],"")</f>
        <v>6700</v>
      </c>
      <c r="J433" t="str">
        <f>_xlfn.XLOOKUP(tblFinancials[[#This Row],[AccountKey]],tblAccounts[AccountKey],tblAccounts[AccountName],"")</f>
        <v>Insurance Expense</v>
      </c>
      <c r="K433" s="8" t="str">
        <f>_xlfn.XLOOKUP(tblFinancials[[#This Row],[AccountKey]],tblAccounts[AccountKey],tblAccounts[FinancialStatement],"")</f>
        <v>Income Statement</v>
      </c>
      <c r="L433" s="8" t="str">
        <f>_xlfn.XLOOKUP(tblFinancials[[#This Row],[AccountKey]],tblAccounts[AccountKey],tblAccounts[AccountCategory],"")</f>
        <v>Operating Expense</v>
      </c>
      <c r="M433" s="8" t="str">
        <f>_xlfn.XLOOKUP(tblFinancials[[#This Row],[AccountKey]],tblAccounts[AccountKey],tblAccounts[NormalBalance],"")</f>
        <v>Debit</v>
      </c>
      <c r="N433" s="8" t="str">
        <f>_xlfn.XLOOKUP(tblFinancials[[#This Row],[DepartmentKey]],tblDepartments[DepartmentKey],tblDepartments[DepartmentName],"")</f>
        <v>Operations</v>
      </c>
      <c r="O433" s="8" t="str">
        <f>_xlfn.XLOOKUP(tblFinancials[[#This Row],[BusinessUnitKey]],tblBusinessUnits[BusinessUnitKey],tblBusinessUnits[BusinessUnitName],"")</f>
        <v>Retail</v>
      </c>
      <c r="P433" s="8" t="str">
        <f>_xlfn.XLOOKUP(tblFinancials[[#This Row],[RegionKey]],tblRegions[RegionKey],tblRegions[RegionName],"")</f>
        <v>South</v>
      </c>
    </row>
    <row r="434" spans="1:16">
      <c r="A434">
        <v>20240101</v>
      </c>
      <c r="B434">
        <v>2</v>
      </c>
      <c r="C434">
        <v>4</v>
      </c>
      <c r="D434">
        <v>3</v>
      </c>
      <c r="E434">
        <v>13</v>
      </c>
      <c r="F434" t="s">
        <v>92</v>
      </c>
      <c r="G434">
        <v>27832.44</v>
      </c>
      <c r="H434">
        <f>_xlfn.XLOOKUP(tblFinancials[[#This Row],[DateKey]],tblCalendar[DateKey],tblCalendar[FullDate],"")</f>
        <v>45292</v>
      </c>
      <c r="I434">
        <f>_xlfn.XLOOKUP(tblFinancials[[#This Row],[AccountKey]],tblAccounts[AccountKey],tblAccounts[AccountNumber],"")</f>
        <v>4020</v>
      </c>
      <c r="J434" t="str">
        <f>_xlfn.XLOOKUP(tblFinancials[[#This Row],[AccountKey]],tblAccounts[AccountKey],tblAccounts[AccountName],"")</f>
        <v>Online Revenue</v>
      </c>
      <c r="K434" s="8" t="str">
        <f>_xlfn.XLOOKUP(tblFinancials[[#This Row],[AccountKey]],tblAccounts[AccountKey],tblAccounts[FinancialStatement],"")</f>
        <v>Income Statement</v>
      </c>
      <c r="L434" s="8" t="str">
        <f>_xlfn.XLOOKUP(tblFinancials[[#This Row],[AccountKey]],tblAccounts[AccountKey],tblAccounts[AccountCategory],"")</f>
        <v>Revenue</v>
      </c>
      <c r="M434" s="8" t="str">
        <f>_xlfn.XLOOKUP(tblFinancials[[#This Row],[AccountKey]],tblAccounts[AccountKey],tblAccounts[NormalBalance],"")</f>
        <v>Credit</v>
      </c>
      <c r="N434" s="8" t="str">
        <f>_xlfn.XLOOKUP(tblFinancials[[#This Row],[DepartmentKey]],tblDepartments[DepartmentKey],tblDepartments[DepartmentName],"")</f>
        <v>Finance</v>
      </c>
      <c r="O434" s="8" t="str">
        <f>_xlfn.XLOOKUP(tblFinancials[[#This Row],[BusinessUnitKey]],tblBusinessUnits[BusinessUnitKey],tblBusinessUnits[BusinessUnitName],"")</f>
        <v>E-Commerce</v>
      </c>
      <c r="P434" s="8" t="str">
        <f>_xlfn.XLOOKUP(tblFinancials[[#This Row],[RegionKey]],tblRegions[RegionKey],tblRegions[RegionName],"")</f>
        <v>South</v>
      </c>
    </row>
    <row r="435" spans="1:16">
      <c r="A435">
        <v>20240101</v>
      </c>
      <c r="B435">
        <v>4</v>
      </c>
      <c r="C435">
        <v>3</v>
      </c>
      <c r="D435">
        <v>1</v>
      </c>
      <c r="E435">
        <v>11</v>
      </c>
      <c r="F435" t="s">
        <v>92</v>
      </c>
      <c r="G435">
        <v>27344.16</v>
      </c>
      <c r="H435">
        <f>_xlfn.XLOOKUP(tblFinancials[[#This Row],[DateKey]],tblCalendar[DateKey],tblCalendar[FullDate],"")</f>
        <v>45292</v>
      </c>
      <c r="I435">
        <f>_xlfn.XLOOKUP(tblFinancials[[#This Row],[AccountKey]],tblAccounts[AccountKey],tblAccounts[AccountNumber],"")</f>
        <v>4000</v>
      </c>
      <c r="J435" t="str">
        <f>_xlfn.XLOOKUP(tblFinancials[[#This Row],[AccountKey]],tblAccounts[AccountKey],tblAccounts[AccountName],"")</f>
        <v>Product Revenue</v>
      </c>
      <c r="K435" s="8" t="str">
        <f>_xlfn.XLOOKUP(tblFinancials[[#This Row],[AccountKey]],tblAccounts[AccountKey],tblAccounts[FinancialStatement],"")</f>
        <v>Income Statement</v>
      </c>
      <c r="L435" s="8" t="str">
        <f>_xlfn.XLOOKUP(tblFinancials[[#This Row],[AccountKey]],tblAccounts[AccountKey],tblAccounts[AccountCategory],"")</f>
        <v>Revenue</v>
      </c>
      <c r="M435" s="8" t="str">
        <f>_xlfn.XLOOKUP(tblFinancials[[#This Row],[AccountKey]],tblAccounts[AccountKey],tblAccounts[NormalBalance],"")</f>
        <v>Credit</v>
      </c>
      <c r="N435" s="8" t="str">
        <f>_xlfn.XLOOKUP(tblFinancials[[#This Row],[DepartmentKey]],tblDepartments[DepartmentKey],tblDepartments[DepartmentName],"")</f>
        <v>Sales</v>
      </c>
      <c r="O435" s="8" t="str">
        <f>_xlfn.XLOOKUP(tblFinancials[[#This Row],[BusinessUnitKey]],tblBusinessUnits[BusinessUnitKey],tblBusinessUnits[BusinessUnitName],"")</f>
        <v>Retail</v>
      </c>
      <c r="P435" s="8" t="str">
        <f>_xlfn.XLOOKUP(tblFinancials[[#This Row],[RegionKey]],tblRegions[RegionKey],tblRegions[RegionName],"")</f>
        <v>West</v>
      </c>
    </row>
    <row r="436" spans="1:16">
      <c r="A436">
        <v>20240101</v>
      </c>
      <c r="B436">
        <v>5</v>
      </c>
      <c r="C436">
        <v>2</v>
      </c>
      <c r="D436">
        <v>3</v>
      </c>
      <c r="E436">
        <v>12</v>
      </c>
      <c r="F436" t="s">
        <v>92</v>
      </c>
      <c r="G436">
        <v>27767.05</v>
      </c>
      <c r="H436">
        <f>_xlfn.XLOOKUP(tblFinancials[[#This Row],[DateKey]],tblCalendar[DateKey],tblCalendar[FullDate],"")</f>
        <v>45292</v>
      </c>
      <c r="I436">
        <f>_xlfn.XLOOKUP(tblFinancials[[#This Row],[AccountKey]],tblAccounts[AccountKey],tblAccounts[AccountNumber],"")</f>
        <v>4010</v>
      </c>
      <c r="J436" t="str">
        <f>_xlfn.XLOOKUP(tblFinancials[[#This Row],[AccountKey]],tblAccounts[AccountKey],tblAccounts[AccountName],"")</f>
        <v>Service Revenue</v>
      </c>
      <c r="K436" s="8" t="str">
        <f>_xlfn.XLOOKUP(tblFinancials[[#This Row],[AccountKey]],tblAccounts[AccountKey],tblAccounts[FinancialStatement],"")</f>
        <v>Income Statement</v>
      </c>
      <c r="L436" s="8" t="str">
        <f>_xlfn.XLOOKUP(tblFinancials[[#This Row],[AccountKey]],tblAccounts[AccountKey],tblAccounts[AccountCategory],"")</f>
        <v>Revenue</v>
      </c>
      <c r="M436" s="8" t="str">
        <f>_xlfn.XLOOKUP(tblFinancials[[#This Row],[AccountKey]],tblAccounts[AccountKey],tblAccounts[NormalBalance],"")</f>
        <v>Credit</v>
      </c>
      <c r="N436" s="8" t="str">
        <f>_xlfn.XLOOKUP(tblFinancials[[#This Row],[DepartmentKey]],tblDepartments[DepartmentKey],tblDepartments[DepartmentName],"")</f>
        <v>Marketing</v>
      </c>
      <c r="O436" s="8" t="str">
        <f>_xlfn.XLOOKUP(tblFinancials[[#This Row],[BusinessUnitKey]],tblBusinessUnits[BusinessUnitKey],tblBusinessUnits[BusinessUnitName],"")</f>
        <v>Wholesale</v>
      </c>
      <c r="P436" s="8" t="str">
        <f>_xlfn.XLOOKUP(tblFinancials[[#This Row],[RegionKey]],tblRegions[RegionKey],tblRegions[RegionName],"")</f>
        <v>South</v>
      </c>
    </row>
    <row r="437" spans="1:16">
      <c r="A437">
        <v>20240101</v>
      </c>
      <c r="B437">
        <v>5</v>
      </c>
      <c r="C437">
        <v>4</v>
      </c>
      <c r="D437">
        <v>3</v>
      </c>
      <c r="E437">
        <v>11</v>
      </c>
      <c r="F437" t="s">
        <v>92</v>
      </c>
      <c r="G437">
        <v>27110.11</v>
      </c>
      <c r="H437">
        <f>_xlfn.XLOOKUP(tblFinancials[[#This Row],[DateKey]],tblCalendar[DateKey],tblCalendar[FullDate],"")</f>
        <v>45292</v>
      </c>
      <c r="I437">
        <f>_xlfn.XLOOKUP(tblFinancials[[#This Row],[AccountKey]],tblAccounts[AccountKey],tblAccounts[AccountNumber],"")</f>
        <v>4000</v>
      </c>
      <c r="J437" t="str">
        <f>_xlfn.XLOOKUP(tblFinancials[[#This Row],[AccountKey]],tblAccounts[AccountKey],tblAccounts[AccountName],"")</f>
        <v>Product Revenue</v>
      </c>
      <c r="K437" s="8" t="str">
        <f>_xlfn.XLOOKUP(tblFinancials[[#This Row],[AccountKey]],tblAccounts[AccountKey],tblAccounts[FinancialStatement],"")</f>
        <v>Income Statement</v>
      </c>
      <c r="L437" s="8" t="str">
        <f>_xlfn.XLOOKUP(tblFinancials[[#This Row],[AccountKey]],tblAccounts[AccountKey],tblAccounts[AccountCategory],"")</f>
        <v>Revenue</v>
      </c>
      <c r="M437" s="8" t="str">
        <f>_xlfn.XLOOKUP(tblFinancials[[#This Row],[AccountKey]],tblAccounts[AccountKey],tblAccounts[NormalBalance],"")</f>
        <v>Credit</v>
      </c>
      <c r="N437" s="8" t="str">
        <f>_xlfn.XLOOKUP(tblFinancials[[#This Row],[DepartmentKey]],tblDepartments[DepartmentKey],tblDepartments[DepartmentName],"")</f>
        <v>Marketing</v>
      </c>
      <c r="O437" s="8" t="str">
        <f>_xlfn.XLOOKUP(tblFinancials[[#This Row],[BusinessUnitKey]],tblBusinessUnits[BusinessUnitKey],tblBusinessUnits[BusinessUnitName],"")</f>
        <v>E-Commerce</v>
      </c>
      <c r="P437" s="8" t="str">
        <f>_xlfn.XLOOKUP(tblFinancials[[#This Row],[RegionKey]],tblRegions[RegionKey],tblRegions[RegionName],"")</f>
        <v>South</v>
      </c>
    </row>
    <row r="438" spans="1:16">
      <c r="A438">
        <v>20240101</v>
      </c>
      <c r="B438">
        <v>8</v>
      </c>
      <c r="C438">
        <v>2</v>
      </c>
      <c r="D438">
        <v>1</v>
      </c>
      <c r="E438">
        <v>11</v>
      </c>
      <c r="F438" t="s">
        <v>92</v>
      </c>
      <c r="G438">
        <v>27914.35</v>
      </c>
      <c r="H438">
        <f>_xlfn.XLOOKUP(tblFinancials[[#This Row],[DateKey]],tblCalendar[DateKey],tblCalendar[FullDate],"")</f>
        <v>45292</v>
      </c>
      <c r="I438">
        <f>_xlfn.XLOOKUP(tblFinancials[[#This Row],[AccountKey]],tblAccounts[AccountKey],tblAccounts[AccountNumber],"")</f>
        <v>4000</v>
      </c>
      <c r="J438" t="str">
        <f>_xlfn.XLOOKUP(tblFinancials[[#This Row],[AccountKey]],tblAccounts[AccountKey],tblAccounts[AccountName],"")</f>
        <v>Product Revenue</v>
      </c>
      <c r="K438" s="8" t="str">
        <f>_xlfn.XLOOKUP(tblFinancials[[#This Row],[AccountKey]],tblAccounts[AccountKey],tblAccounts[FinancialStatement],"")</f>
        <v>Income Statement</v>
      </c>
      <c r="L438" s="8" t="str">
        <f>_xlfn.XLOOKUP(tblFinancials[[#This Row],[AccountKey]],tblAccounts[AccountKey],tblAccounts[AccountCategory],"")</f>
        <v>Revenue</v>
      </c>
      <c r="M438" s="8" t="str">
        <f>_xlfn.XLOOKUP(tblFinancials[[#This Row],[AccountKey]],tblAccounts[AccountKey],tblAccounts[NormalBalance],"")</f>
        <v>Credit</v>
      </c>
      <c r="N438" s="8" t="str">
        <f>_xlfn.XLOOKUP(tblFinancials[[#This Row],[DepartmentKey]],tblDepartments[DepartmentKey],tblDepartments[DepartmentName],"")</f>
        <v>Customer Service</v>
      </c>
      <c r="O438" s="8" t="str">
        <f>_xlfn.XLOOKUP(tblFinancials[[#This Row],[BusinessUnitKey]],tblBusinessUnits[BusinessUnitKey],tblBusinessUnits[BusinessUnitName],"")</f>
        <v>Wholesale</v>
      </c>
      <c r="P438" s="8" t="str">
        <f>_xlfn.XLOOKUP(tblFinancials[[#This Row],[RegionKey]],tblRegions[RegionKey],tblRegions[RegionName],"")</f>
        <v>West</v>
      </c>
    </row>
    <row r="439" spans="1:16">
      <c r="A439">
        <v>20240101</v>
      </c>
      <c r="B439">
        <v>3</v>
      </c>
      <c r="C439">
        <v>4</v>
      </c>
      <c r="D439">
        <v>3</v>
      </c>
      <c r="E439">
        <v>13</v>
      </c>
      <c r="F439" t="s">
        <v>92</v>
      </c>
      <c r="G439">
        <v>26462.68</v>
      </c>
      <c r="H439">
        <f>_xlfn.XLOOKUP(tblFinancials[[#This Row],[DateKey]],tblCalendar[DateKey],tblCalendar[FullDate],"")</f>
        <v>45292</v>
      </c>
      <c r="I439">
        <f>_xlfn.XLOOKUP(tblFinancials[[#This Row],[AccountKey]],tblAccounts[AccountKey],tblAccounts[AccountNumber],"")</f>
        <v>4020</v>
      </c>
      <c r="J439" t="str">
        <f>_xlfn.XLOOKUP(tblFinancials[[#This Row],[AccountKey]],tblAccounts[AccountKey],tblAccounts[AccountName],"")</f>
        <v>Online Revenue</v>
      </c>
      <c r="K439" s="8" t="str">
        <f>_xlfn.XLOOKUP(tblFinancials[[#This Row],[AccountKey]],tblAccounts[AccountKey],tblAccounts[FinancialStatement],"")</f>
        <v>Income Statement</v>
      </c>
      <c r="L439" s="8" t="str">
        <f>_xlfn.XLOOKUP(tblFinancials[[#This Row],[AccountKey]],tblAccounts[AccountKey],tblAccounts[AccountCategory],"")</f>
        <v>Revenue</v>
      </c>
      <c r="M439" s="8" t="str">
        <f>_xlfn.XLOOKUP(tblFinancials[[#This Row],[AccountKey]],tblAccounts[AccountKey],tblAccounts[NormalBalance],"")</f>
        <v>Credit</v>
      </c>
      <c r="N439" s="8" t="str">
        <f>_xlfn.XLOOKUP(tblFinancials[[#This Row],[DepartmentKey]],tblDepartments[DepartmentKey],tblDepartments[DepartmentName],"")</f>
        <v>Human Resources</v>
      </c>
      <c r="O439" s="8" t="str">
        <f>_xlfn.XLOOKUP(tblFinancials[[#This Row],[BusinessUnitKey]],tblBusinessUnits[BusinessUnitKey],tblBusinessUnits[BusinessUnitName],"")</f>
        <v>E-Commerce</v>
      </c>
      <c r="P439" s="8" t="str">
        <f>_xlfn.XLOOKUP(tblFinancials[[#This Row],[RegionKey]],tblRegions[RegionKey],tblRegions[RegionName],"")</f>
        <v>South</v>
      </c>
    </row>
    <row r="440" spans="1:16">
      <c r="A440">
        <v>20240101</v>
      </c>
      <c r="B440">
        <v>7</v>
      </c>
      <c r="C440">
        <v>4</v>
      </c>
      <c r="D440">
        <v>3</v>
      </c>
      <c r="E440">
        <v>11</v>
      </c>
      <c r="F440" t="s">
        <v>92</v>
      </c>
      <c r="G440">
        <v>28062.74</v>
      </c>
      <c r="H440">
        <f>_xlfn.XLOOKUP(tblFinancials[[#This Row],[DateKey]],tblCalendar[DateKey],tblCalendar[FullDate],"")</f>
        <v>45292</v>
      </c>
      <c r="I440">
        <f>_xlfn.XLOOKUP(tblFinancials[[#This Row],[AccountKey]],tblAccounts[AccountKey],tblAccounts[AccountNumber],"")</f>
        <v>4000</v>
      </c>
      <c r="J440" t="str">
        <f>_xlfn.XLOOKUP(tblFinancials[[#This Row],[AccountKey]],tblAccounts[AccountKey],tblAccounts[AccountName],"")</f>
        <v>Product Revenue</v>
      </c>
      <c r="K440" s="8" t="str">
        <f>_xlfn.XLOOKUP(tblFinancials[[#This Row],[AccountKey]],tblAccounts[AccountKey],tblAccounts[FinancialStatement],"")</f>
        <v>Income Statement</v>
      </c>
      <c r="L440" s="8" t="str">
        <f>_xlfn.XLOOKUP(tblFinancials[[#This Row],[AccountKey]],tblAccounts[AccountKey],tblAccounts[AccountCategory],"")</f>
        <v>Revenue</v>
      </c>
      <c r="M440" s="8" t="str">
        <f>_xlfn.XLOOKUP(tblFinancials[[#This Row],[AccountKey]],tblAccounts[AccountKey],tblAccounts[NormalBalance],"")</f>
        <v>Credit</v>
      </c>
      <c r="N440" s="8" t="str">
        <f>_xlfn.XLOOKUP(tblFinancials[[#This Row],[DepartmentKey]],tblDepartments[DepartmentKey],tblDepartments[DepartmentName],"")</f>
        <v>Information Technology</v>
      </c>
      <c r="O440" s="8" t="str">
        <f>_xlfn.XLOOKUP(tblFinancials[[#This Row],[BusinessUnitKey]],tblBusinessUnits[BusinessUnitKey],tblBusinessUnits[BusinessUnitName],"")</f>
        <v>E-Commerce</v>
      </c>
      <c r="P440" s="8" t="str">
        <f>_xlfn.XLOOKUP(tblFinancials[[#This Row],[RegionKey]],tblRegions[RegionKey],tblRegions[RegionName],"")</f>
        <v>South</v>
      </c>
    </row>
    <row r="441" spans="1:16">
      <c r="A441">
        <v>20240101</v>
      </c>
      <c r="B441">
        <v>4</v>
      </c>
      <c r="C441">
        <v>4</v>
      </c>
      <c r="D441">
        <v>2</v>
      </c>
      <c r="E441">
        <v>12</v>
      </c>
      <c r="F441" t="s">
        <v>92</v>
      </c>
      <c r="G441">
        <v>26619.35</v>
      </c>
      <c r="H441">
        <f>_xlfn.XLOOKUP(tblFinancials[[#This Row],[DateKey]],tblCalendar[DateKey],tblCalendar[FullDate],"")</f>
        <v>45292</v>
      </c>
      <c r="I441">
        <f>_xlfn.XLOOKUP(tblFinancials[[#This Row],[AccountKey]],tblAccounts[AccountKey],tblAccounts[AccountNumber],"")</f>
        <v>4010</v>
      </c>
      <c r="J441" t="str">
        <f>_xlfn.XLOOKUP(tblFinancials[[#This Row],[AccountKey]],tblAccounts[AccountKey],tblAccounts[AccountName],"")</f>
        <v>Service Revenue</v>
      </c>
      <c r="K441" s="8" t="str">
        <f>_xlfn.XLOOKUP(tblFinancials[[#This Row],[AccountKey]],tblAccounts[AccountKey],tblAccounts[FinancialStatement],"")</f>
        <v>Income Statement</v>
      </c>
      <c r="L441" s="8" t="str">
        <f>_xlfn.XLOOKUP(tblFinancials[[#This Row],[AccountKey]],tblAccounts[AccountKey],tblAccounts[AccountCategory],"")</f>
        <v>Revenue</v>
      </c>
      <c r="M441" s="8" t="str">
        <f>_xlfn.XLOOKUP(tblFinancials[[#This Row],[AccountKey]],tblAccounts[AccountKey],tblAccounts[NormalBalance],"")</f>
        <v>Credit</v>
      </c>
      <c r="N441" s="8" t="str">
        <f>_xlfn.XLOOKUP(tblFinancials[[#This Row],[DepartmentKey]],tblDepartments[DepartmentKey],tblDepartments[DepartmentName],"")</f>
        <v>Sales</v>
      </c>
      <c r="O441" s="8" t="str">
        <f>_xlfn.XLOOKUP(tblFinancials[[#This Row],[BusinessUnitKey]],tblBusinessUnits[BusinessUnitKey],tblBusinessUnits[BusinessUnitName],"")</f>
        <v>E-Commerce</v>
      </c>
      <c r="P441" s="8" t="str">
        <f>_xlfn.XLOOKUP(tblFinancials[[#This Row],[RegionKey]],tblRegions[RegionKey],tblRegions[RegionName],"")</f>
        <v>Midwest</v>
      </c>
    </row>
    <row r="442" spans="1:16">
      <c r="A442">
        <v>20240101</v>
      </c>
      <c r="B442">
        <v>1</v>
      </c>
      <c r="C442">
        <v>4</v>
      </c>
      <c r="D442">
        <v>3</v>
      </c>
      <c r="E442">
        <v>12</v>
      </c>
      <c r="F442" t="s">
        <v>92</v>
      </c>
      <c r="G442">
        <v>28563.85</v>
      </c>
      <c r="H442">
        <f>_xlfn.XLOOKUP(tblFinancials[[#This Row],[DateKey]],tblCalendar[DateKey],tblCalendar[FullDate],"")</f>
        <v>45292</v>
      </c>
      <c r="I442">
        <f>_xlfn.XLOOKUP(tblFinancials[[#This Row],[AccountKey]],tblAccounts[AccountKey],tblAccounts[AccountNumber],"")</f>
        <v>4010</v>
      </c>
      <c r="J442" t="str">
        <f>_xlfn.XLOOKUP(tblFinancials[[#This Row],[AccountKey]],tblAccounts[AccountKey],tblAccounts[AccountName],"")</f>
        <v>Service Revenue</v>
      </c>
      <c r="K442" s="8" t="str">
        <f>_xlfn.XLOOKUP(tblFinancials[[#This Row],[AccountKey]],tblAccounts[AccountKey],tblAccounts[FinancialStatement],"")</f>
        <v>Income Statement</v>
      </c>
      <c r="L442" s="8" t="str">
        <f>_xlfn.XLOOKUP(tblFinancials[[#This Row],[AccountKey]],tblAccounts[AccountKey],tblAccounts[AccountCategory],"")</f>
        <v>Revenue</v>
      </c>
      <c r="M442" s="8" t="str">
        <f>_xlfn.XLOOKUP(tblFinancials[[#This Row],[AccountKey]],tblAccounts[AccountKey],tblAccounts[NormalBalance],"")</f>
        <v>Credit</v>
      </c>
      <c r="N442" s="8" t="str">
        <f>_xlfn.XLOOKUP(tblFinancials[[#This Row],[DepartmentKey]],tblDepartments[DepartmentKey],tblDepartments[DepartmentName],"")</f>
        <v>Executive</v>
      </c>
      <c r="O442" s="8" t="str">
        <f>_xlfn.XLOOKUP(tblFinancials[[#This Row],[BusinessUnitKey]],tblBusinessUnits[BusinessUnitKey],tblBusinessUnits[BusinessUnitName],"")</f>
        <v>E-Commerce</v>
      </c>
      <c r="P442" s="8" t="str">
        <f>_xlfn.XLOOKUP(tblFinancials[[#This Row],[RegionKey]],tblRegions[RegionKey],tblRegions[RegionName],"")</f>
        <v>South</v>
      </c>
    </row>
    <row r="443" spans="1:16">
      <c r="A443">
        <v>20240101</v>
      </c>
      <c r="B443">
        <v>2</v>
      </c>
      <c r="C443">
        <v>1</v>
      </c>
      <c r="D443">
        <v>2</v>
      </c>
      <c r="E443">
        <v>11</v>
      </c>
      <c r="F443" t="s">
        <v>92</v>
      </c>
      <c r="G443">
        <v>27796.400000000001</v>
      </c>
      <c r="H443">
        <f>_xlfn.XLOOKUP(tblFinancials[[#This Row],[DateKey]],tblCalendar[DateKey],tblCalendar[FullDate],"")</f>
        <v>45292</v>
      </c>
      <c r="I443">
        <f>_xlfn.XLOOKUP(tblFinancials[[#This Row],[AccountKey]],tblAccounts[AccountKey],tblAccounts[AccountNumber],"")</f>
        <v>4000</v>
      </c>
      <c r="J443" t="str">
        <f>_xlfn.XLOOKUP(tblFinancials[[#This Row],[AccountKey]],tblAccounts[AccountKey],tblAccounts[AccountName],"")</f>
        <v>Product Revenue</v>
      </c>
      <c r="K443" s="8" t="str">
        <f>_xlfn.XLOOKUP(tblFinancials[[#This Row],[AccountKey]],tblAccounts[AccountKey],tblAccounts[FinancialStatement],"")</f>
        <v>Income Statement</v>
      </c>
      <c r="L443" s="8" t="str">
        <f>_xlfn.XLOOKUP(tblFinancials[[#This Row],[AccountKey]],tblAccounts[AccountKey],tblAccounts[AccountCategory],"")</f>
        <v>Revenue</v>
      </c>
      <c r="M443" s="8" t="str">
        <f>_xlfn.XLOOKUP(tblFinancials[[#This Row],[AccountKey]],tblAccounts[AccountKey],tblAccounts[NormalBalance],"")</f>
        <v>Credit</v>
      </c>
      <c r="N443" s="8" t="str">
        <f>_xlfn.XLOOKUP(tblFinancials[[#This Row],[DepartmentKey]],tblDepartments[DepartmentKey],tblDepartments[DepartmentName],"")</f>
        <v>Finance</v>
      </c>
      <c r="O443" s="8" t="str">
        <f>_xlfn.XLOOKUP(tblFinancials[[#This Row],[BusinessUnitKey]],tblBusinessUnits[BusinessUnitKey],tblBusinessUnits[BusinessUnitName],"")</f>
        <v xml:space="preserve">Manufacturing </v>
      </c>
      <c r="P443" s="8" t="str">
        <f>_xlfn.XLOOKUP(tblFinancials[[#This Row],[RegionKey]],tblRegions[RegionKey],tblRegions[RegionName],"")</f>
        <v>Midwest</v>
      </c>
    </row>
    <row r="444" spans="1:16">
      <c r="A444">
        <v>20240101</v>
      </c>
      <c r="B444">
        <v>8</v>
      </c>
      <c r="C444">
        <v>2</v>
      </c>
      <c r="D444">
        <v>4</v>
      </c>
      <c r="E444">
        <v>12</v>
      </c>
      <c r="F444" t="s">
        <v>92</v>
      </c>
      <c r="G444">
        <v>28698.89</v>
      </c>
      <c r="H444">
        <f>_xlfn.XLOOKUP(tblFinancials[[#This Row],[DateKey]],tblCalendar[DateKey],tblCalendar[FullDate],"")</f>
        <v>45292</v>
      </c>
      <c r="I444">
        <f>_xlfn.XLOOKUP(tblFinancials[[#This Row],[AccountKey]],tblAccounts[AccountKey],tblAccounts[AccountNumber],"")</f>
        <v>4010</v>
      </c>
      <c r="J444" t="str">
        <f>_xlfn.XLOOKUP(tblFinancials[[#This Row],[AccountKey]],tblAccounts[AccountKey],tblAccounts[AccountName],"")</f>
        <v>Service Revenue</v>
      </c>
      <c r="K444" s="8" t="str">
        <f>_xlfn.XLOOKUP(tblFinancials[[#This Row],[AccountKey]],tblAccounts[AccountKey],tblAccounts[FinancialStatement],"")</f>
        <v>Income Statement</v>
      </c>
      <c r="L444" s="8" t="str">
        <f>_xlfn.XLOOKUP(tblFinancials[[#This Row],[AccountKey]],tblAccounts[AccountKey],tblAccounts[AccountCategory],"")</f>
        <v>Revenue</v>
      </c>
      <c r="M444" s="8" t="str">
        <f>_xlfn.XLOOKUP(tblFinancials[[#This Row],[AccountKey]],tblAccounts[AccountKey],tblAccounts[NormalBalance],"")</f>
        <v>Credit</v>
      </c>
      <c r="N444" s="8" t="str">
        <f>_xlfn.XLOOKUP(tblFinancials[[#This Row],[DepartmentKey]],tblDepartments[DepartmentKey],tblDepartments[DepartmentName],"")</f>
        <v>Customer Service</v>
      </c>
      <c r="O444" s="8" t="str">
        <f>_xlfn.XLOOKUP(tblFinancials[[#This Row],[BusinessUnitKey]],tblBusinessUnits[BusinessUnitKey],tblBusinessUnits[BusinessUnitName],"")</f>
        <v>Wholesale</v>
      </c>
      <c r="P444" s="8" t="str">
        <f>_xlfn.XLOOKUP(tblFinancials[[#This Row],[RegionKey]],tblRegions[RegionKey],tblRegions[RegionName],"")</f>
        <v>East</v>
      </c>
    </row>
    <row r="445" spans="1:16">
      <c r="A445">
        <v>20240101</v>
      </c>
      <c r="B445">
        <v>3</v>
      </c>
      <c r="C445">
        <v>1</v>
      </c>
      <c r="D445">
        <v>3</v>
      </c>
      <c r="E445">
        <v>12</v>
      </c>
      <c r="F445" t="s">
        <v>92</v>
      </c>
      <c r="G445">
        <v>27563.3</v>
      </c>
      <c r="H445">
        <f>_xlfn.XLOOKUP(tblFinancials[[#This Row],[DateKey]],tblCalendar[DateKey],tblCalendar[FullDate],"")</f>
        <v>45292</v>
      </c>
      <c r="I445">
        <f>_xlfn.XLOOKUP(tblFinancials[[#This Row],[AccountKey]],tblAccounts[AccountKey],tblAccounts[AccountNumber],"")</f>
        <v>4010</v>
      </c>
      <c r="J445" t="str">
        <f>_xlfn.XLOOKUP(tblFinancials[[#This Row],[AccountKey]],tblAccounts[AccountKey],tblAccounts[AccountName],"")</f>
        <v>Service Revenue</v>
      </c>
      <c r="K445" s="8" t="str">
        <f>_xlfn.XLOOKUP(tblFinancials[[#This Row],[AccountKey]],tblAccounts[AccountKey],tblAccounts[FinancialStatement],"")</f>
        <v>Income Statement</v>
      </c>
      <c r="L445" s="8" t="str">
        <f>_xlfn.XLOOKUP(tblFinancials[[#This Row],[AccountKey]],tblAccounts[AccountKey],tblAccounts[AccountCategory],"")</f>
        <v>Revenue</v>
      </c>
      <c r="M445" s="8" t="str">
        <f>_xlfn.XLOOKUP(tblFinancials[[#This Row],[AccountKey]],tblAccounts[AccountKey],tblAccounts[NormalBalance],"")</f>
        <v>Credit</v>
      </c>
      <c r="N445" s="8" t="str">
        <f>_xlfn.XLOOKUP(tblFinancials[[#This Row],[DepartmentKey]],tblDepartments[DepartmentKey],tblDepartments[DepartmentName],"")</f>
        <v>Human Resources</v>
      </c>
      <c r="O445" s="8" t="str">
        <f>_xlfn.XLOOKUP(tblFinancials[[#This Row],[BusinessUnitKey]],tblBusinessUnits[BusinessUnitKey],tblBusinessUnits[BusinessUnitName],"")</f>
        <v xml:space="preserve">Manufacturing </v>
      </c>
      <c r="P445" s="8" t="str">
        <f>_xlfn.XLOOKUP(tblFinancials[[#This Row],[RegionKey]],tblRegions[RegionKey],tblRegions[RegionName],"")</f>
        <v>South</v>
      </c>
    </row>
    <row r="446" spans="1:16">
      <c r="A446">
        <v>20240101</v>
      </c>
      <c r="B446">
        <v>5</v>
      </c>
      <c r="C446">
        <v>1</v>
      </c>
      <c r="D446">
        <v>3</v>
      </c>
      <c r="E446">
        <v>14</v>
      </c>
      <c r="F446" t="s">
        <v>92</v>
      </c>
      <c r="G446">
        <v>-16437.349999999999</v>
      </c>
      <c r="H446">
        <f>_xlfn.XLOOKUP(tblFinancials[[#This Row],[DateKey]],tblCalendar[DateKey],tblCalendar[FullDate],"")</f>
        <v>45292</v>
      </c>
      <c r="I446">
        <f>_xlfn.XLOOKUP(tblFinancials[[#This Row],[AccountKey]],tblAccounts[AccountKey],tblAccounts[AccountNumber],"")</f>
        <v>5000</v>
      </c>
      <c r="J446" t="str">
        <f>_xlfn.XLOOKUP(tblFinancials[[#This Row],[AccountKey]],tblAccounts[AccountKey],tblAccounts[AccountName],"")</f>
        <v>Cost of Goods Sold</v>
      </c>
      <c r="K446" s="8" t="str">
        <f>_xlfn.XLOOKUP(tblFinancials[[#This Row],[AccountKey]],tblAccounts[AccountKey],tblAccounts[FinancialStatement],"")</f>
        <v>Income Statement</v>
      </c>
      <c r="L446" s="8" t="str">
        <f>_xlfn.XLOOKUP(tblFinancials[[#This Row],[AccountKey]],tblAccounts[AccountKey],tblAccounts[AccountCategory],"")</f>
        <v>Cost of Sales</v>
      </c>
      <c r="M446" s="8" t="str">
        <f>_xlfn.XLOOKUP(tblFinancials[[#This Row],[AccountKey]],tblAccounts[AccountKey],tblAccounts[NormalBalance],"")</f>
        <v>Debit</v>
      </c>
      <c r="N446" s="8" t="str">
        <f>_xlfn.XLOOKUP(tblFinancials[[#This Row],[DepartmentKey]],tblDepartments[DepartmentKey],tblDepartments[DepartmentName],"")</f>
        <v>Marketing</v>
      </c>
      <c r="O446" s="8" t="str">
        <f>_xlfn.XLOOKUP(tblFinancials[[#This Row],[BusinessUnitKey]],tblBusinessUnits[BusinessUnitKey],tblBusinessUnits[BusinessUnitName],"")</f>
        <v xml:space="preserve">Manufacturing </v>
      </c>
      <c r="P446" s="8" t="str">
        <f>_xlfn.XLOOKUP(tblFinancials[[#This Row],[RegionKey]],tblRegions[RegionKey],tblRegions[RegionName],"")</f>
        <v>South</v>
      </c>
    </row>
    <row r="447" spans="1:16">
      <c r="A447">
        <v>20240101</v>
      </c>
      <c r="B447">
        <v>5</v>
      </c>
      <c r="C447">
        <v>2</v>
      </c>
      <c r="D447">
        <v>1</v>
      </c>
      <c r="E447">
        <v>14</v>
      </c>
      <c r="F447" t="s">
        <v>92</v>
      </c>
      <c r="G447">
        <v>-16758.240000000002</v>
      </c>
      <c r="H447">
        <f>_xlfn.XLOOKUP(tblFinancials[[#This Row],[DateKey]],tblCalendar[DateKey],tblCalendar[FullDate],"")</f>
        <v>45292</v>
      </c>
      <c r="I447">
        <f>_xlfn.XLOOKUP(tblFinancials[[#This Row],[AccountKey]],tblAccounts[AccountKey],tblAccounts[AccountNumber],"")</f>
        <v>5000</v>
      </c>
      <c r="J447" t="str">
        <f>_xlfn.XLOOKUP(tblFinancials[[#This Row],[AccountKey]],tblAccounts[AccountKey],tblAccounts[AccountName],"")</f>
        <v>Cost of Goods Sold</v>
      </c>
      <c r="K447" s="8" t="str">
        <f>_xlfn.XLOOKUP(tblFinancials[[#This Row],[AccountKey]],tblAccounts[AccountKey],tblAccounts[FinancialStatement],"")</f>
        <v>Income Statement</v>
      </c>
      <c r="L447" s="8" t="str">
        <f>_xlfn.XLOOKUP(tblFinancials[[#This Row],[AccountKey]],tblAccounts[AccountKey],tblAccounts[AccountCategory],"")</f>
        <v>Cost of Sales</v>
      </c>
      <c r="M447" s="8" t="str">
        <f>_xlfn.XLOOKUP(tblFinancials[[#This Row],[AccountKey]],tblAccounts[AccountKey],tblAccounts[NormalBalance],"")</f>
        <v>Debit</v>
      </c>
      <c r="N447" s="8" t="str">
        <f>_xlfn.XLOOKUP(tblFinancials[[#This Row],[DepartmentKey]],tblDepartments[DepartmentKey],tblDepartments[DepartmentName],"")</f>
        <v>Marketing</v>
      </c>
      <c r="O447" s="8" t="str">
        <f>_xlfn.XLOOKUP(tblFinancials[[#This Row],[BusinessUnitKey]],tblBusinessUnits[BusinessUnitKey],tblBusinessUnits[BusinessUnitName],"")</f>
        <v>Wholesale</v>
      </c>
      <c r="P447" s="8" t="str">
        <f>_xlfn.XLOOKUP(tblFinancials[[#This Row],[RegionKey]],tblRegions[RegionKey],tblRegions[RegionName],"")</f>
        <v>West</v>
      </c>
    </row>
    <row r="448" spans="1:16">
      <c r="A448">
        <v>20240101</v>
      </c>
      <c r="B448">
        <v>7</v>
      </c>
      <c r="C448">
        <v>2</v>
      </c>
      <c r="D448">
        <v>1</v>
      </c>
      <c r="E448">
        <v>14</v>
      </c>
      <c r="F448" t="s">
        <v>92</v>
      </c>
      <c r="G448">
        <v>-15861.07</v>
      </c>
      <c r="H448">
        <f>_xlfn.XLOOKUP(tblFinancials[[#This Row],[DateKey]],tblCalendar[DateKey],tblCalendar[FullDate],"")</f>
        <v>45292</v>
      </c>
      <c r="I448">
        <f>_xlfn.XLOOKUP(tblFinancials[[#This Row],[AccountKey]],tblAccounts[AccountKey],tblAccounts[AccountNumber],"")</f>
        <v>5000</v>
      </c>
      <c r="J448" t="str">
        <f>_xlfn.XLOOKUP(tblFinancials[[#This Row],[AccountKey]],tblAccounts[AccountKey],tblAccounts[AccountName],"")</f>
        <v>Cost of Goods Sold</v>
      </c>
      <c r="K448" s="8" t="str">
        <f>_xlfn.XLOOKUP(tblFinancials[[#This Row],[AccountKey]],tblAccounts[AccountKey],tblAccounts[FinancialStatement],"")</f>
        <v>Income Statement</v>
      </c>
      <c r="L448" s="8" t="str">
        <f>_xlfn.XLOOKUP(tblFinancials[[#This Row],[AccountKey]],tblAccounts[AccountKey],tblAccounts[AccountCategory],"")</f>
        <v>Cost of Sales</v>
      </c>
      <c r="M448" s="8" t="str">
        <f>_xlfn.XLOOKUP(tblFinancials[[#This Row],[AccountKey]],tblAccounts[AccountKey],tblAccounts[NormalBalance],"")</f>
        <v>Debit</v>
      </c>
      <c r="N448" s="8" t="str">
        <f>_xlfn.XLOOKUP(tblFinancials[[#This Row],[DepartmentKey]],tblDepartments[DepartmentKey],tblDepartments[DepartmentName],"")</f>
        <v>Information Technology</v>
      </c>
      <c r="O448" s="8" t="str">
        <f>_xlfn.XLOOKUP(tblFinancials[[#This Row],[BusinessUnitKey]],tblBusinessUnits[BusinessUnitKey],tblBusinessUnits[BusinessUnitName],"")</f>
        <v>Wholesale</v>
      </c>
      <c r="P448" s="8" t="str">
        <f>_xlfn.XLOOKUP(tblFinancials[[#This Row],[RegionKey]],tblRegions[RegionKey],tblRegions[RegionName],"")</f>
        <v>West</v>
      </c>
    </row>
    <row r="449" spans="1:16">
      <c r="A449">
        <v>20240101</v>
      </c>
      <c r="B449">
        <v>1</v>
      </c>
      <c r="C449">
        <v>4</v>
      </c>
      <c r="D449">
        <v>4</v>
      </c>
      <c r="E449">
        <v>14</v>
      </c>
      <c r="F449" t="s">
        <v>92</v>
      </c>
      <c r="G449">
        <v>-15052.61</v>
      </c>
      <c r="H449">
        <f>_xlfn.XLOOKUP(tblFinancials[[#This Row],[DateKey]],tblCalendar[DateKey],tblCalendar[FullDate],"")</f>
        <v>45292</v>
      </c>
      <c r="I449">
        <f>_xlfn.XLOOKUP(tblFinancials[[#This Row],[AccountKey]],tblAccounts[AccountKey],tblAccounts[AccountNumber],"")</f>
        <v>5000</v>
      </c>
      <c r="J449" t="str">
        <f>_xlfn.XLOOKUP(tblFinancials[[#This Row],[AccountKey]],tblAccounts[AccountKey],tblAccounts[AccountName],"")</f>
        <v>Cost of Goods Sold</v>
      </c>
      <c r="K449" s="8" t="str">
        <f>_xlfn.XLOOKUP(tblFinancials[[#This Row],[AccountKey]],tblAccounts[AccountKey],tblAccounts[FinancialStatement],"")</f>
        <v>Income Statement</v>
      </c>
      <c r="L449" s="8" t="str">
        <f>_xlfn.XLOOKUP(tblFinancials[[#This Row],[AccountKey]],tblAccounts[AccountKey],tblAccounts[AccountCategory],"")</f>
        <v>Cost of Sales</v>
      </c>
      <c r="M449" s="8" t="str">
        <f>_xlfn.XLOOKUP(tblFinancials[[#This Row],[AccountKey]],tblAccounts[AccountKey],tblAccounts[NormalBalance],"")</f>
        <v>Debit</v>
      </c>
      <c r="N449" s="8" t="str">
        <f>_xlfn.XLOOKUP(tblFinancials[[#This Row],[DepartmentKey]],tblDepartments[DepartmentKey],tblDepartments[DepartmentName],"")</f>
        <v>Executive</v>
      </c>
      <c r="O449" s="8" t="str">
        <f>_xlfn.XLOOKUP(tblFinancials[[#This Row],[BusinessUnitKey]],tblBusinessUnits[BusinessUnitKey],tblBusinessUnits[BusinessUnitName],"")</f>
        <v>E-Commerce</v>
      </c>
      <c r="P449" s="8" t="str">
        <f>_xlfn.XLOOKUP(tblFinancials[[#This Row],[RegionKey]],tblRegions[RegionKey],tblRegions[RegionName],"")</f>
        <v>East</v>
      </c>
    </row>
    <row r="450" spans="1:16">
      <c r="A450">
        <v>20240101</v>
      </c>
      <c r="B450">
        <v>7</v>
      </c>
      <c r="C450">
        <v>3</v>
      </c>
      <c r="D450">
        <v>2</v>
      </c>
      <c r="E450">
        <v>14</v>
      </c>
      <c r="F450" t="s">
        <v>92</v>
      </c>
      <c r="G450">
        <v>-17031.509999999998</v>
      </c>
      <c r="H450">
        <f>_xlfn.XLOOKUP(tblFinancials[[#This Row],[DateKey]],tblCalendar[DateKey],tblCalendar[FullDate],"")</f>
        <v>45292</v>
      </c>
      <c r="I450">
        <f>_xlfn.XLOOKUP(tblFinancials[[#This Row],[AccountKey]],tblAccounts[AccountKey],tblAccounts[AccountNumber],"")</f>
        <v>5000</v>
      </c>
      <c r="J450" t="str">
        <f>_xlfn.XLOOKUP(tblFinancials[[#This Row],[AccountKey]],tblAccounts[AccountKey],tblAccounts[AccountName],"")</f>
        <v>Cost of Goods Sold</v>
      </c>
      <c r="K450" s="8" t="str">
        <f>_xlfn.XLOOKUP(tblFinancials[[#This Row],[AccountKey]],tblAccounts[AccountKey],tblAccounts[FinancialStatement],"")</f>
        <v>Income Statement</v>
      </c>
      <c r="L450" s="8" t="str">
        <f>_xlfn.XLOOKUP(tblFinancials[[#This Row],[AccountKey]],tblAccounts[AccountKey],tblAccounts[AccountCategory],"")</f>
        <v>Cost of Sales</v>
      </c>
      <c r="M450" s="8" t="str">
        <f>_xlfn.XLOOKUP(tblFinancials[[#This Row],[AccountKey]],tblAccounts[AccountKey],tblAccounts[NormalBalance],"")</f>
        <v>Debit</v>
      </c>
      <c r="N450" s="8" t="str">
        <f>_xlfn.XLOOKUP(tblFinancials[[#This Row],[DepartmentKey]],tblDepartments[DepartmentKey],tblDepartments[DepartmentName],"")</f>
        <v>Information Technology</v>
      </c>
      <c r="O450" s="8" t="str">
        <f>_xlfn.XLOOKUP(tblFinancials[[#This Row],[BusinessUnitKey]],tblBusinessUnits[BusinessUnitKey],tblBusinessUnits[BusinessUnitName],"")</f>
        <v>Retail</v>
      </c>
      <c r="P450" s="8" t="str">
        <f>_xlfn.XLOOKUP(tblFinancials[[#This Row],[RegionKey]],tblRegions[RegionKey],tblRegions[RegionName],"")</f>
        <v>Midwest</v>
      </c>
    </row>
    <row r="451" spans="1:16">
      <c r="A451">
        <v>20240101</v>
      </c>
      <c r="B451">
        <v>2</v>
      </c>
      <c r="C451">
        <v>4</v>
      </c>
      <c r="D451">
        <v>3</v>
      </c>
      <c r="E451">
        <v>14</v>
      </c>
      <c r="F451" t="s">
        <v>92</v>
      </c>
      <c r="G451">
        <v>-16726.68</v>
      </c>
      <c r="H451">
        <f>_xlfn.XLOOKUP(tblFinancials[[#This Row],[DateKey]],tblCalendar[DateKey],tblCalendar[FullDate],"")</f>
        <v>45292</v>
      </c>
      <c r="I451">
        <f>_xlfn.XLOOKUP(tblFinancials[[#This Row],[AccountKey]],tblAccounts[AccountKey],tblAccounts[AccountNumber],"")</f>
        <v>5000</v>
      </c>
      <c r="J451" t="str">
        <f>_xlfn.XLOOKUP(tblFinancials[[#This Row],[AccountKey]],tblAccounts[AccountKey],tblAccounts[AccountName],"")</f>
        <v>Cost of Goods Sold</v>
      </c>
      <c r="K451" s="8" t="str">
        <f>_xlfn.XLOOKUP(tblFinancials[[#This Row],[AccountKey]],tblAccounts[AccountKey],tblAccounts[FinancialStatement],"")</f>
        <v>Income Statement</v>
      </c>
      <c r="L451" s="8" t="str">
        <f>_xlfn.XLOOKUP(tblFinancials[[#This Row],[AccountKey]],tblAccounts[AccountKey],tblAccounts[AccountCategory],"")</f>
        <v>Cost of Sales</v>
      </c>
      <c r="M451" s="8" t="str">
        <f>_xlfn.XLOOKUP(tblFinancials[[#This Row],[AccountKey]],tblAccounts[AccountKey],tblAccounts[NormalBalance],"")</f>
        <v>Debit</v>
      </c>
      <c r="N451" s="8" t="str">
        <f>_xlfn.XLOOKUP(tblFinancials[[#This Row],[DepartmentKey]],tblDepartments[DepartmentKey],tblDepartments[DepartmentName],"")</f>
        <v>Finance</v>
      </c>
      <c r="O451" s="8" t="str">
        <f>_xlfn.XLOOKUP(tblFinancials[[#This Row],[BusinessUnitKey]],tblBusinessUnits[BusinessUnitKey],tblBusinessUnits[BusinessUnitName],"")</f>
        <v>E-Commerce</v>
      </c>
      <c r="P451" s="8" t="str">
        <f>_xlfn.XLOOKUP(tblFinancials[[#This Row],[RegionKey]],tblRegions[RegionKey],tblRegions[RegionName],"")</f>
        <v>South</v>
      </c>
    </row>
    <row r="452" spans="1:16">
      <c r="A452">
        <v>20240101</v>
      </c>
      <c r="B452">
        <v>4</v>
      </c>
      <c r="C452">
        <v>1</v>
      </c>
      <c r="D452">
        <v>4</v>
      </c>
      <c r="E452">
        <v>14</v>
      </c>
      <c r="F452" t="s">
        <v>92</v>
      </c>
      <c r="G452">
        <v>-15884</v>
      </c>
      <c r="H452">
        <f>_xlfn.XLOOKUP(tblFinancials[[#This Row],[DateKey]],tblCalendar[DateKey],tblCalendar[FullDate],"")</f>
        <v>45292</v>
      </c>
      <c r="I452">
        <f>_xlfn.XLOOKUP(tblFinancials[[#This Row],[AccountKey]],tblAccounts[AccountKey],tblAccounts[AccountNumber],"")</f>
        <v>5000</v>
      </c>
      <c r="J452" t="str">
        <f>_xlfn.XLOOKUP(tblFinancials[[#This Row],[AccountKey]],tblAccounts[AccountKey],tblAccounts[AccountName],"")</f>
        <v>Cost of Goods Sold</v>
      </c>
      <c r="K452" s="8" t="str">
        <f>_xlfn.XLOOKUP(tblFinancials[[#This Row],[AccountKey]],tblAccounts[AccountKey],tblAccounts[FinancialStatement],"")</f>
        <v>Income Statement</v>
      </c>
      <c r="L452" s="8" t="str">
        <f>_xlfn.XLOOKUP(tblFinancials[[#This Row],[AccountKey]],tblAccounts[AccountKey],tblAccounts[AccountCategory],"")</f>
        <v>Cost of Sales</v>
      </c>
      <c r="M452" s="8" t="str">
        <f>_xlfn.XLOOKUP(tblFinancials[[#This Row],[AccountKey]],tblAccounts[AccountKey],tblAccounts[NormalBalance],"")</f>
        <v>Debit</v>
      </c>
      <c r="N452" s="8" t="str">
        <f>_xlfn.XLOOKUP(tblFinancials[[#This Row],[DepartmentKey]],tblDepartments[DepartmentKey],tblDepartments[DepartmentName],"")</f>
        <v>Sales</v>
      </c>
      <c r="O452" s="8" t="str">
        <f>_xlfn.XLOOKUP(tblFinancials[[#This Row],[BusinessUnitKey]],tblBusinessUnits[BusinessUnitKey],tblBusinessUnits[BusinessUnitName],"")</f>
        <v xml:space="preserve">Manufacturing </v>
      </c>
      <c r="P452" s="8" t="str">
        <f>_xlfn.XLOOKUP(tblFinancials[[#This Row],[RegionKey]],tblRegions[RegionKey],tblRegions[RegionName],"")</f>
        <v>East</v>
      </c>
    </row>
    <row r="453" spans="1:16">
      <c r="A453">
        <v>20240101</v>
      </c>
      <c r="B453">
        <v>1</v>
      </c>
      <c r="C453">
        <v>4</v>
      </c>
      <c r="D453">
        <v>3</v>
      </c>
      <c r="E453">
        <v>14</v>
      </c>
      <c r="F453" t="s">
        <v>92</v>
      </c>
      <c r="G453">
        <v>-16872.2</v>
      </c>
      <c r="H453">
        <f>_xlfn.XLOOKUP(tblFinancials[[#This Row],[DateKey]],tblCalendar[DateKey],tblCalendar[FullDate],"")</f>
        <v>45292</v>
      </c>
      <c r="I453">
        <f>_xlfn.XLOOKUP(tblFinancials[[#This Row],[AccountKey]],tblAccounts[AccountKey],tblAccounts[AccountNumber],"")</f>
        <v>5000</v>
      </c>
      <c r="J453" t="str">
        <f>_xlfn.XLOOKUP(tblFinancials[[#This Row],[AccountKey]],tblAccounts[AccountKey],tblAccounts[AccountName],"")</f>
        <v>Cost of Goods Sold</v>
      </c>
      <c r="K453" s="8" t="str">
        <f>_xlfn.XLOOKUP(tblFinancials[[#This Row],[AccountKey]],tblAccounts[AccountKey],tblAccounts[FinancialStatement],"")</f>
        <v>Income Statement</v>
      </c>
      <c r="L453" s="8" t="str">
        <f>_xlfn.XLOOKUP(tblFinancials[[#This Row],[AccountKey]],tblAccounts[AccountKey],tblAccounts[AccountCategory],"")</f>
        <v>Cost of Sales</v>
      </c>
      <c r="M453" s="8" t="str">
        <f>_xlfn.XLOOKUP(tblFinancials[[#This Row],[AccountKey]],tblAccounts[AccountKey],tblAccounts[NormalBalance],"")</f>
        <v>Debit</v>
      </c>
      <c r="N453" s="8" t="str">
        <f>_xlfn.XLOOKUP(tblFinancials[[#This Row],[DepartmentKey]],tblDepartments[DepartmentKey],tblDepartments[DepartmentName],"")</f>
        <v>Executive</v>
      </c>
      <c r="O453" s="8" t="str">
        <f>_xlfn.XLOOKUP(tblFinancials[[#This Row],[BusinessUnitKey]],tblBusinessUnits[BusinessUnitKey],tblBusinessUnits[BusinessUnitName],"")</f>
        <v>E-Commerce</v>
      </c>
      <c r="P453" s="8" t="str">
        <f>_xlfn.XLOOKUP(tblFinancials[[#This Row],[RegionKey]],tblRegions[RegionKey],tblRegions[RegionName],"")</f>
        <v>South</v>
      </c>
    </row>
    <row r="454" spans="1:16">
      <c r="A454">
        <v>20240101</v>
      </c>
      <c r="B454">
        <v>5</v>
      </c>
      <c r="C454">
        <v>1</v>
      </c>
      <c r="D454">
        <v>4</v>
      </c>
      <c r="E454">
        <v>14</v>
      </c>
      <c r="F454" t="s">
        <v>92</v>
      </c>
      <c r="G454">
        <v>-15665.3</v>
      </c>
      <c r="H454">
        <f>_xlfn.XLOOKUP(tblFinancials[[#This Row],[DateKey]],tblCalendar[DateKey],tblCalendar[FullDate],"")</f>
        <v>45292</v>
      </c>
      <c r="I454">
        <f>_xlfn.XLOOKUP(tblFinancials[[#This Row],[AccountKey]],tblAccounts[AccountKey],tblAccounts[AccountNumber],"")</f>
        <v>5000</v>
      </c>
      <c r="J454" t="str">
        <f>_xlfn.XLOOKUP(tblFinancials[[#This Row],[AccountKey]],tblAccounts[AccountKey],tblAccounts[AccountName],"")</f>
        <v>Cost of Goods Sold</v>
      </c>
      <c r="K454" s="8" t="str">
        <f>_xlfn.XLOOKUP(tblFinancials[[#This Row],[AccountKey]],tblAccounts[AccountKey],tblAccounts[FinancialStatement],"")</f>
        <v>Income Statement</v>
      </c>
      <c r="L454" s="8" t="str">
        <f>_xlfn.XLOOKUP(tblFinancials[[#This Row],[AccountKey]],tblAccounts[AccountKey],tblAccounts[AccountCategory],"")</f>
        <v>Cost of Sales</v>
      </c>
      <c r="M454" s="8" t="str">
        <f>_xlfn.XLOOKUP(tblFinancials[[#This Row],[AccountKey]],tblAccounts[AccountKey],tblAccounts[NormalBalance],"")</f>
        <v>Debit</v>
      </c>
      <c r="N454" s="8" t="str">
        <f>_xlfn.XLOOKUP(tblFinancials[[#This Row],[DepartmentKey]],tblDepartments[DepartmentKey],tblDepartments[DepartmentName],"")</f>
        <v>Marketing</v>
      </c>
      <c r="O454" s="8" t="str">
        <f>_xlfn.XLOOKUP(tblFinancials[[#This Row],[BusinessUnitKey]],tblBusinessUnits[BusinessUnitKey],tblBusinessUnits[BusinessUnitName],"")</f>
        <v xml:space="preserve">Manufacturing </v>
      </c>
      <c r="P454" s="8" t="str">
        <f>_xlfn.XLOOKUP(tblFinancials[[#This Row],[RegionKey]],tblRegions[RegionKey],tblRegions[RegionName],"")</f>
        <v>East</v>
      </c>
    </row>
    <row r="455" spans="1:16">
      <c r="A455">
        <v>20240101</v>
      </c>
      <c r="B455">
        <v>8</v>
      </c>
      <c r="C455">
        <v>2</v>
      </c>
      <c r="D455">
        <v>1</v>
      </c>
      <c r="E455">
        <v>14</v>
      </c>
      <c r="F455" t="s">
        <v>92</v>
      </c>
      <c r="G455">
        <v>-16932.22</v>
      </c>
      <c r="H455">
        <f>_xlfn.XLOOKUP(tblFinancials[[#This Row],[DateKey]],tblCalendar[DateKey],tblCalendar[FullDate],"")</f>
        <v>45292</v>
      </c>
      <c r="I455">
        <f>_xlfn.XLOOKUP(tblFinancials[[#This Row],[AccountKey]],tblAccounts[AccountKey],tblAccounts[AccountNumber],"")</f>
        <v>5000</v>
      </c>
      <c r="J455" t="str">
        <f>_xlfn.XLOOKUP(tblFinancials[[#This Row],[AccountKey]],tblAccounts[AccountKey],tblAccounts[AccountName],"")</f>
        <v>Cost of Goods Sold</v>
      </c>
      <c r="K455" s="8" t="str">
        <f>_xlfn.XLOOKUP(tblFinancials[[#This Row],[AccountKey]],tblAccounts[AccountKey],tblAccounts[FinancialStatement],"")</f>
        <v>Income Statement</v>
      </c>
      <c r="L455" s="8" t="str">
        <f>_xlfn.XLOOKUP(tblFinancials[[#This Row],[AccountKey]],tblAccounts[AccountKey],tblAccounts[AccountCategory],"")</f>
        <v>Cost of Sales</v>
      </c>
      <c r="M455" s="8" t="str">
        <f>_xlfn.XLOOKUP(tblFinancials[[#This Row],[AccountKey]],tblAccounts[AccountKey],tblAccounts[NormalBalance],"")</f>
        <v>Debit</v>
      </c>
      <c r="N455" s="8" t="str">
        <f>_xlfn.XLOOKUP(tblFinancials[[#This Row],[DepartmentKey]],tblDepartments[DepartmentKey],tblDepartments[DepartmentName],"")</f>
        <v>Customer Service</v>
      </c>
      <c r="O455" s="8" t="str">
        <f>_xlfn.XLOOKUP(tblFinancials[[#This Row],[BusinessUnitKey]],tblBusinessUnits[BusinessUnitKey],tblBusinessUnits[BusinessUnitName],"")</f>
        <v>Wholesale</v>
      </c>
      <c r="P455" s="8" t="str">
        <f>_xlfn.XLOOKUP(tblFinancials[[#This Row],[RegionKey]],tblRegions[RegionKey],tblRegions[RegionName],"")</f>
        <v>West</v>
      </c>
    </row>
    <row r="456" spans="1:16">
      <c r="A456">
        <v>20240101</v>
      </c>
      <c r="B456">
        <v>3</v>
      </c>
      <c r="C456">
        <v>2</v>
      </c>
      <c r="D456">
        <v>4</v>
      </c>
      <c r="E456">
        <v>14</v>
      </c>
      <c r="F456" t="s">
        <v>92</v>
      </c>
      <c r="G456">
        <v>-16673.82</v>
      </c>
      <c r="H456">
        <f>_xlfn.XLOOKUP(tblFinancials[[#This Row],[DateKey]],tblCalendar[DateKey],tblCalendar[FullDate],"")</f>
        <v>45292</v>
      </c>
      <c r="I456">
        <f>_xlfn.XLOOKUP(tblFinancials[[#This Row],[AccountKey]],tblAccounts[AccountKey],tblAccounts[AccountNumber],"")</f>
        <v>5000</v>
      </c>
      <c r="J456" t="str">
        <f>_xlfn.XLOOKUP(tblFinancials[[#This Row],[AccountKey]],tblAccounts[AccountKey],tblAccounts[AccountName],"")</f>
        <v>Cost of Goods Sold</v>
      </c>
      <c r="K456" s="8" t="str">
        <f>_xlfn.XLOOKUP(tblFinancials[[#This Row],[AccountKey]],tblAccounts[AccountKey],tblAccounts[FinancialStatement],"")</f>
        <v>Income Statement</v>
      </c>
      <c r="L456" s="8" t="str">
        <f>_xlfn.XLOOKUP(tblFinancials[[#This Row],[AccountKey]],tblAccounts[AccountKey],tblAccounts[AccountCategory],"")</f>
        <v>Cost of Sales</v>
      </c>
      <c r="M456" s="8" t="str">
        <f>_xlfn.XLOOKUP(tblFinancials[[#This Row],[AccountKey]],tblAccounts[AccountKey],tblAccounts[NormalBalance],"")</f>
        <v>Debit</v>
      </c>
      <c r="N456" s="8" t="str">
        <f>_xlfn.XLOOKUP(tblFinancials[[#This Row],[DepartmentKey]],tblDepartments[DepartmentKey],tblDepartments[DepartmentName],"")</f>
        <v>Human Resources</v>
      </c>
      <c r="O456" s="8" t="str">
        <f>_xlfn.XLOOKUP(tblFinancials[[#This Row],[BusinessUnitKey]],tblBusinessUnits[BusinessUnitKey],tblBusinessUnits[BusinessUnitName],"")</f>
        <v>Wholesale</v>
      </c>
      <c r="P456" s="8" t="str">
        <f>_xlfn.XLOOKUP(tblFinancials[[#This Row],[RegionKey]],tblRegions[RegionKey],tblRegions[RegionName],"")</f>
        <v>East</v>
      </c>
    </row>
    <row r="457" spans="1:16">
      <c r="A457">
        <v>20240101</v>
      </c>
      <c r="B457">
        <v>7</v>
      </c>
      <c r="C457">
        <v>4</v>
      </c>
      <c r="D457">
        <v>2</v>
      </c>
      <c r="E457">
        <v>14</v>
      </c>
      <c r="F457" t="s">
        <v>92</v>
      </c>
      <c r="G457">
        <v>-14170.16</v>
      </c>
      <c r="H457">
        <f>_xlfn.XLOOKUP(tblFinancials[[#This Row],[DateKey]],tblCalendar[DateKey],tblCalendar[FullDate],"")</f>
        <v>45292</v>
      </c>
      <c r="I457">
        <f>_xlfn.XLOOKUP(tblFinancials[[#This Row],[AccountKey]],tblAccounts[AccountKey],tblAccounts[AccountNumber],"")</f>
        <v>5000</v>
      </c>
      <c r="J457" t="str">
        <f>_xlfn.XLOOKUP(tblFinancials[[#This Row],[AccountKey]],tblAccounts[AccountKey],tblAccounts[AccountName],"")</f>
        <v>Cost of Goods Sold</v>
      </c>
      <c r="K457" s="8" t="str">
        <f>_xlfn.XLOOKUP(tblFinancials[[#This Row],[AccountKey]],tblAccounts[AccountKey],tblAccounts[FinancialStatement],"")</f>
        <v>Income Statement</v>
      </c>
      <c r="L457" s="8" t="str">
        <f>_xlfn.XLOOKUP(tblFinancials[[#This Row],[AccountKey]],tblAccounts[AccountKey],tblAccounts[AccountCategory],"")</f>
        <v>Cost of Sales</v>
      </c>
      <c r="M457" s="8" t="str">
        <f>_xlfn.XLOOKUP(tblFinancials[[#This Row],[AccountKey]],tblAccounts[AccountKey],tblAccounts[NormalBalance],"")</f>
        <v>Debit</v>
      </c>
      <c r="N457" s="8" t="str">
        <f>_xlfn.XLOOKUP(tblFinancials[[#This Row],[DepartmentKey]],tblDepartments[DepartmentKey],tblDepartments[DepartmentName],"")</f>
        <v>Information Technology</v>
      </c>
      <c r="O457" s="8" t="str">
        <f>_xlfn.XLOOKUP(tblFinancials[[#This Row],[BusinessUnitKey]],tblBusinessUnits[BusinessUnitKey],tblBusinessUnits[BusinessUnitName],"")</f>
        <v>E-Commerce</v>
      </c>
      <c r="P457" s="8" t="str">
        <f>_xlfn.XLOOKUP(tblFinancials[[#This Row],[RegionKey]],tblRegions[RegionKey],tblRegions[RegionName],"")</f>
        <v>Midwest</v>
      </c>
    </row>
    <row r="458" spans="1:16">
      <c r="A458">
        <v>20240101</v>
      </c>
      <c r="B458">
        <v>8</v>
      </c>
      <c r="C458">
        <v>1</v>
      </c>
      <c r="D458">
        <v>2</v>
      </c>
      <c r="E458">
        <v>19</v>
      </c>
      <c r="F458" t="s">
        <v>92</v>
      </c>
      <c r="G458">
        <v>-7181.54</v>
      </c>
      <c r="H458">
        <f>_xlfn.XLOOKUP(tblFinancials[[#This Row],[DateKey]],tblCalendar[DateKey],tblCalendar[FullDate],"")</f>
        <v>45292</v>
      </c>
      <c r="I458">
        <f>_xlfn.XLOOKUP(tblFinancials[[#This Row],[AccountKey]],tblAccounts[AccountKey],tblAccounts[AccountNumber],"")</f>
        <v>6300</v>
      </c>
      <c r="J458" t="str">
        <f>_xlfn.XLOOKUP(tblFinancials[[#This Row],[AccountKey]],tblAccounts[AccountKey],tblAccounts[AccountName],"")</f>
        <v>Software Expense</v>
      </c>
      <c r="K458" s="8" t="str">
        <f>_xlfn.XLOOKUP(tblFinancials[[#This Row],[AccountKey]],tblAccounts[AccountKey],tblAccounts[FinancialStatement],"")</f>
        <v>Income Statement</v>
      </c>
      <c r="L458" s="8" t="str">
        <f>_xlfn.XLOOKUP(tblFinancials[[#This Row],[AccountKey]],tblAccounts[AccountKey],tblAccounts[AccountCategory],"")</f>
        <v>Operating Expense</v>
      </c>
      <c r="M458" s="8" t="str">
        <f>_xlfn.XLOOKUP(tblFinancials[[#This Row],[AccountKey]],tblAccounts[AccountKey],tblAccounts[NormalBalance],"")</f>
        <v>Debit</v>
      </c>
      <c r="N458" s="8" t="str">
        <f>_xlfn.XLOOKUP(tblFinancials[[#This Row],[DepartmentKey]],tblDepartments[DepartmentKey],tblDepartments[DepartmentName],"")</f>
        <v>Customer Service</v>
      </c>
      <c r="O458" s="8" t="str">
        <f>_xlfn.XLOOKUP(tblFinancials[[#This Row],[BusinessUnitKey]],tblBusinessUnits[BusinessUnitKey],tblBusinessUnits[BusinessUnitName],"")</f>
        <v xml:space="preserve">Manufacturing </v>
      </c>
      <c r="P458" s="8" t="str">
        <f>_xlfn.XLOOKUP(tblFinancials[[#This Row],[RegionKey]],tblRegions[RegionKey],tblRegions[RegionName],"")</f>
        <v>Midwest</v>
      </c>
    </row>
    <row r="459" spans="1:16">
      <c r="A459">
        <v>20240101</v>
      </c>
      <c r="B459">
        <v>7</v>
      </c>
      <c r="C459">
        <v>1</v>
      </c>
      <c r="D459">
        <v>4</v>
      </c>
      <c r="E459">
        <v>24</v>
      </c>
      <c r="F459" t="s">
        <v>92</v>
      </c>
      <c r="G459">
        <v>-7182.17</v>
      </c>
      <c r="H459">
        <f>_xlfn.XLOOKUP(tblFinancials[[#This Row],[DateKey]],tblCalendar[DateKey],tblCalendar[FullDate],"")</f>
        <v>45292</v>
      </c>
      <c r="I459">
        <f>_xlfn.XLOOKUP(tblFinancials[[#This Row],[AccountKey]],tblAccounts[AccountKey],tblAccounts[AccountNumber],"")</f>
        <v>6900</v>
      </c>
      <c r="J459" t="str">
        <f>_xlfn.XLOOKUP(tblFinancials[[#This Row],[AccountKey]],tblAccounts[AccountKey],tblAccounts[AccountName],"")</f>
        <v>Professional Services</v>
      </c>
      <c r="K459" s="8" t="str">
        <f>_xlfn.XLOOKUP(tblFinancials[[#This Row],[AccountKey]],tblAccounts[AccountKey],tblAccounts[FinancialStatement],"")</f>
        <v>Income Statement</v>
      </c>
      <c r="L459" s="8" t="str">
        <f>_xlfn.XLOOKUP(tblFinancials[[#This Row],[AccountKey]],tblAccounts[AccountKey],tblAccounts[AccountCategory],"")</f>
        <v>Operating Expense</v>
      </c>
      <c r="M459" s="8" t="str">
        <f>_xlfn.XLOOKUP(tblFinancials[[#This Row],[AccountKey]],tblAccounts[AccountKey],tblAccounts[NormalBalance],"")</f>
        <v>Debit</v>
      </c>
      <c r="N459" s="8" t="str">
        <f>_xlfn.XLOOKUP(tblFinancials[[#This Row],[DepartmentKey]],tblDepartments[DepartmentKey],tblDepartments[DepartmentName],"")</f>
        <v>Information Technology</v>
      </c>
      <c r="O459" s="8" t="str">
        <f>_xlfn.XLOOKUP(tblFinancials[[#This Row],[BusinessUnitKey]],tblBusinessUnits[BusinessUnitKey],tblBusinessUnits[BusinessUnitName],"")</f>
        <v xml:space="preserve">Manufacturing </v>
      </c>
      <c r="P459" s="8" t="str">
        <f>_xlfn.XLOOKUP(tblFinancials[[#This Row],[RegionKey]],tblRegions[RegionKey],tblRegions[RegionName],"")</f>
        <v>East</v>
      </c>
    </row>
    <row r="460" spans="1:16">
      <c r="A460">
        <v>20240101</v>
      </c>
      <c r="B460">
        <v>6</v>
      </c>
      <c r="C460">
        <v>4</v>
      </c>
      <c r="D460">
        <v>2</v>
      </c>
      <c r="E460">
        <v>19</v>
      </c>
      <c r="F460" t="s">
        <v>92</v>
      </c>
      <c r="G460">
        <v>-5679.78</v>
      </c>
      <c r="H460">
        <f>_xlfn.XLOOKUP(tblFinancials[[#This Row],[DateKey]],tblCalendar[DateKey],tblCalendar[FullDate],"")</f>
        <v>45292</v>
      </c>
      <c r="I460">
        <f>_xlfn.XLOOKUP(tblFinancials[[#This Row],[AccountKey]],tblAccounts[AccountKey],tblAccounts[AccountNumber],"")</f>
        <v>6300</v>
      </c>
      <c r="J460" t="str">
        <f>_xlfn.XLOOKUP(tblFinancials[[#This Row],[AccountKey]],tblAccounts[AccountKey],tblAccounts[AccountName],"")</f>
        <v>Software Expense</v>
      </c>
      <c r="K460" s="8" t="str">
        <f>_xlfn.XLOOKUP(tblFinancials[[#This Row],[AccountKey]],tblAccounts[AccountKey],tblAccounts[FinancialStatement],"")</f>
        <v>Income Statement</v>
      </c>
      <c r="L460" s="8" t="str">
        <f>_xlfn.XLOOKUP(tblFinancials[[#This Row],[AccountKey]],tblAccounts[AccountKey],tblAccounts[AccountCategory],"")</f>
        <v>Operating Expense</v>
      </c>
      <c r="M460" s="8" t="str">
        <f>_xlfn.XLOOKUP(tblFinancials[[#This Row],[AccountKey]],tblAccounts[AccountKey],tblAccounts[NormalBalance],"")</f>
        <v>Debit</v>
      </c>
      <c r="N460" s="8" t="str">
        <f>_xlfn.XLOOKUP(tblFinancials[[#This Row],[DepartmentKey]],tblDepartments[DepartmentKey],tblDepartments[DepartmentName],"")</f>
        <v>Operations</v>
      </c>
      <c r="O460" s="8" t="str">
        <f>_xlfn.XLOOKUP(tblFinancials[[#This Row],[BusinessUnitKey]],tblBusinessUnits[BusinessUnitKey],tblBusinessUnits[BusinessUnitName],"")</f>
        <v>E-Commerce</v>
      </c>
      <c r="P460" s="8" t="str">
        <f>_xlfn.XLOOKUP(tblFinancials[[#This Row],[RegionKey]],tblRegions[RegionKey],tblRegions[RegionName],"")</f>
        <v>Midwest</v>
      </c>
    </row>
    <row r="461" spans="1:16">
      <c r="A461">
        <v>20240101</v>
      </c>
      <c r="B461">
        <v>4</v>
      </c>
      <c r="C461">
        <v>4</v>
      </c>
      <c r="D461">
        <v>3</v>
      </c>
      <c r="E461">
        <v>18</v>
      </c>
      <c r="F461" t="s">
        <v>92</v>
      </c>
      <c r="G461">
        <v>-6843.28</v>
      </c>
      <c r="H461">
        <f>_xlfn.XLOOKUP(tblFinancials[[#This Row],[DateKey]],tblCalendar[DateKey],tblCalendar[FullDate],"")</f>
        <v>45292</v>
      </c>
      <c r="I461">
        <f>_xlfn.XLOOKUP(tblFinancials[[#This Row],[AccountKey]],tblAccounts[AccountKey],tblAccounts[AccountNumber],"")</f>
        <v>6200</v>
      </c>
      <c r="J461" t="str">
        <f>_xlfn.XLOOKUP(tblFinancials[[#This Row],[AccountKey]],tblAccounts[AccountKey],tblAccounts[AccountName],"")</f>
        <v>Marketing Expense</v>
      </c>
      <c r="K461" s="8" t="str">
        <f>_xlfn.XLOOKUP(tblFinancials[[#This Row],[AccountKey]],tblAccounts[AccountKey],tblAccounts[FinancialStatement],"")</f>
        <v>Income Statement</v>
      </c>
      <c r="L461" s="8" t="str">
        <f>_xlfn.XLOOKUP(tblFinancials[[#This Row],[AccountKey]],tblAccounts[AccountKey],tblAccounts[AccountCategory],"")</f>
        <v>Operating Expense</v>
      </c>
      <c r="M461" s="8" t="str">
        <f>_xlfn.XLOOKUP(tblFinancials[[#This Row],[AccountKey]],tblAccounts[AccountKey],tblAccounts[NormalBalance],"")</f>
        <v>Debit</v>
      </c>
      <c r="N461" s="8" t="str">
        <f>_xlfn.XLOOKUP(tblFinancials[[#This Row],[DepartmentKey]],tblDepartments[DepartmentKey],tblDepartments[DepartmentName],"")</f>
        <v>Sales</v>
      </c>
      <c r="O461" s="8" t="str">
        <f>_xlfn.XLOOKUP(tblFinancials[[#This Row],[BusinessUnitKey]],tblBusinessUnits[BusinessUnitKey],tblBusinessUnits[BusinessUnitName],"")</f>
        <v>E-Commerce</v>
      </c>
      <c r="P461" s="8" t="str">
        <f>_xlfn.XLOOKUP(tblFinancials[[#This Row],[RegionKey]],tblRegions[RegionKey],tblRegions[RegionName],"")</f>
        <v>South</v>
      </c>
    </row>
    <row r="462" spans="1:16">
      <c r="A462">
        <v>20240101</v>
      </c>
      <c r="B462">
        <v>5</v>
      </c>
      <c r="C462">
        <v>3</v>
      </c>
      <c r="D462">
        <v>4</v>
      </c>
      <c r="E462">
        <v>21</v>
      </c>
      <c r="F462" t="s">
        <v>92</v>
      </c>
      <c r="G462">
        <v>-5464.34</v>
      </c>
      <c r="H462">
        <f>_xlfn.XLOOKUP(tblFinancials[[#This Row],[DateKey]],tblCalendar[DateKey],tblCalendar[FullDate],"")</f>
        <v>45292</v>
      </c>
      <c r="I462">
        <f>_xlfn.XLOOKUP(tblFinancials[[#This Row],[AccountKey]],tblAccounts[AccountKey],tblAccounts[AccountNumber],"")</f>
        <v>6600</v>
      </c>
      <c r="J462" t="str">
        <f>_xlfn.XLOOKUP(tblFinancials[[#This Row],[AccountKey]],tblAccounts[AccountKey],tblAccounts[AccountName],"")</f>
        <v>Utilities Expense</v>
      </c>
      <c r="K462" s="8" t="str">
        <f>_xlfn.XLOOKUP(tblFinancials[[#This Row],[AccountKey]],tblAccounts[AccountKey],tblAccounts[FinancialStatement],"")</f>
        <v>Income Statement</v>
      </c>
      <c r="L462" s="8" t="str">
        <f>_xlfn.XLOOKUP(tblFinancials[[#This Row],[AccountKey]],tblAccounts[AccountKey],tblAccounts[AccountCategory],"")</f>
        <v>Operating Expense</v>
      </c>
      <c r="M462" s="8" t="str">
        <f>_xlfn.XLOOKUP(tblFinancials[[#This Row],[AccountKey]],tblAccounts[AccountKey],tblAccounts[NormalBalance],"")</f>
        <v>Debit</v>
      </c>
      <c r="N462" s="8" t="str">
        <f>_xlfn.XLOOKUP(tblFinancials[[#This Row],[DepartmentKey]],tblDepartments[DepartmentKey],tblDepartments[DepartmentName],"")</f>
        <v>Marketing</v>
      </c>
      <c r="O462" s="8" t="str">
        <f>_xlfn.XLOOKUP(tblFinancials[[#This Row],[BusinessUnitKey]],tblBusinessUnits[BusinessUnitKey],tblBusinessUnits[BusinessUnitName],"")</f>
        <v>Retail</v>
      </c>
      <c r="P462" s="8" t="str">
        <f>_xlfn.XLOOKUP(tblFinancials[[#This Row],[RegionKey]],tblRegions[RegionKey],tblRegions[RegionName],"")</f>
        <v>East</v>
      </c>
    </row>
    <row r="463" spans="1:16">
      <c r="A463">
        <v>20240101</v>
      </c>
      <c r="B463">
        <v>7</v>
      </c>
      <c r="C463">
        <v>2</v>
      </c>
      <c r="D463">
        <v>4</v>
      </c>
      <c r="E463">
        <v>20</v>
      </c>
      <c r="F463" t="s">
        <v>92</v>
      </c>
      <c r="G463">
        <v>-5570</v>
      </c>
      <c r="H463">
        <f>_xlfn.XLOOKUP(tblFinancials[[#This Row],[DateKey]],tblCalendar[DateKey],tblCalendar[FullDate],"")</f>
        <v>45292</v>
      </c>
      <c r="I463">
        <f>_xlfn.XLOOKUP(tblFinancials[[#This Row],[AccountKey]],tblAccounts[AccountKey],tblAccounts[AccountNumber],"")</f>
        <v>6500</v>
      </c>
      <c r="J463" t="str">
        <f>_xlfn.XLOOKUP(tblFinancials[[#This Row],[AccountKey]],tblAccounts[AccountKey],tblAccounts[AccountName],"")</f>
        <v>Rent Expense</v>
      </c>
      <c r="K463" s="8" t="str">
        <f>_xlfn.XLOOKUP(tblFinancials[[#This Row],[AccountKey]],tblAccounts[AccountKey],tblAccounts[FinancialStatement],"")</f>
        <v>Income Statement</v>
      </c>
      <c r="L463" s="8" t="str">
        <f>_xlfn.XLOOKUP(tblFinancials[[#This Row],[AccountKey]],tblAccounts[AccountKey],tblAccounts[AccountCategory],"")</f>
        <v>Operating Expense</v>
      </c>
      <c r="M463" s="8" t="str">
        <f>_xlfn.XLOOKUP(tblFinancials[[#This Row],[AccountKey]],tblAccounts[AccountKey],tblAccounts[NormalBalance],"")</f>
        <v>Debit</v>
      </c>
      <c r="N463" s="8" t="str">
        <f>_xlfn.XLOOKUP(tblFinancials[[#This Row],[DepartmentKey]],tblDepartments[DepartmentKey],tblDepartments[DepartmentName],"")</f>
        <v>Information Technology</v>
      </c>
      <c r="O463" s="8" t="str">
        <f>_xlfn.XLOOKUP(tblFinancials[[#This Row],[BusinessUnitKey]],tblBusinessUnits[BusinessUnitKey],tblBusinessUnits[BusinessUnitName],"")</f>
        <v>Wholesale</v>
      </c>
      <c r="P463" s="8" t="str">
        <f>_xlfn.XLOOKUP(tblFinancials[[#This Row],[RegionKey]],tblRegions[RegionKey],tblRegions[RegionName],"")</f>
        <v>East</v>
      </c>
    </row>
    <row r="464" spans="1:16">
      <c r="A464">
        <v>20240101</v>
      </c>
      <c r="B464">
        <v>6</v>
      </c>
      <c r="C464">
        <v>3</v>
      </c>
      <c r="D464">
        <v>4</v>
      </c>
      <c r="E464">
        <v>15</v>
      </c>
      <c r="F464" t="s">
        <v>92</v>
      </c>
      <c r="G464">
        <v>-6435.41</v>
      </c>
      <c r="H464">
        <f>_xlfn.XLOOKUP(tblFinancials[[#This Row],[DateKey]],tblCalendar[DateKey],tblCalendar[FullDate],"")</f>
        <v>45292</v>
      </c>
      <c r="I464">
        <f>_xlfn.XLOOKUP(tblFinancials[[#This Row],[AccountKey]],tblAccounts[AccountKey],tblAccounts[AccountNumber],"")</f>
        <v>6100</v>
      </c>
      <c r="J464" t="str">
        <f>_xlfn.XLOOKUP(tblFinancials[[#This Row],[AccountKey]],tblAccounts[AccountKey],tblAccounts[AccountName],"")</f>
        <v>Salaries Expense</v>
      </c>
      <c r="K464" s="8" t="str">
        <f>_xlfn.XLOOKUP(tblFinancials[[#This Row],[AccountKey]],tblAccounts[AccountKey],tblAccounts[FinancialStatement],"")</f>
        <v>Income Statement</v>
      </c>
      <c r="L464" s="8" t="str">
        <f>_xlfn.XLOOKUP(tblFinancials[[#This Row],[AccountKey]],tblAccounts[AccountKey],tblAccounts[AccountCategory],"")</f>
        <v>Operating Expense</v>
      </c>
      <c r="M464" s="8" t="str">
        <f>_xlfn.XLOOKUP(tblFinancials[[#This Row],[AccountKey]],tblAccounts[AccountKey],tblAccounts[NormalBalance],"")</f>
        <v>Debit</v>
      </c>
      <c r="N464" s="8" t="str">
        <f>_xlfn.XLOOKUP(tblFinancials[[#This Row],[DepartmentKey]],tblDepartments[DepartmentKey],tblDepartments[DepartmentName],"")</f>
        <v>Operations</v>
      </c>
      <c r="O464" s="8" t="str">
        <f>_xlfn.XLOOKUP(tblFinancials[[#This Row],[BusinessUnitKey]],tblBusinessUnits[BusinessUnitKey],tblBusinessUnits[BusinessUnitName],"")</f>
        <v>Retail</v>
      </c>
      <c r="P464" s="8" t="str">
        <f>_xlfn.XLOOKUP(tblFinancials[[#This Row],[RegionKey]],tblRegions[RegionKey],tblRegions[RegionName],"")</f>
        <v>East</v>
      </c>
    </row>
    <row r="465" spans="1:16">
      <c r="A465">
        <v>20240101</v>
      </c>
      <c r="B465">
        <v>1</v>
      </c>
      <c r="C465">
        <v>2</v>
      </c>
      <c r="D465">
        <v>4</v>
      </c>
      <c r="E465">
        <v>15</v>
      </c>
      <c r="F465" t="s">
        <v>92</v>
      </c>
      <c r="G465">
        <v>-6151.74</v>
      </c>
      <c r="H465">
        <f>_xlfn.XLOOKUP(tblFinancials[[#This Row],[DateKey]],tblCalendar[DateKey],tblCalendar[FullDate],"")</f>
        <v>45292</v>
      </c>
      <c r="I465">
        <f>_xlfn.XLOOKUP(tblFinancials[[#This Row],[AccountKey]],tblAccounts[AccountKey],tblAccounts[AccountNumber],"")</f>
        <v>6100</v>
      </c>
      <c r="J465" t="str">
        <f>_xlfn.XLOOKUP(tblFinancials[[#This Row],[AccountKey]],tblAccounts[AccountKey],tblAccounts[AccountName],"")</f>
        <v>Salaries Expense</v>
      </c>
      <c r="K465" s="8" t="str">
        <f>_xlfn.XLOOKUP(tblFinancials[[#This Row],[AccountKey]],tblAccounts[AccountKey],tblAccounts[FinancialStatement],"")</f>
        <v>Income Statement</v>
      </c>
      <c r="L465" s="8" t="str">
        <f>_xlfn.XLOOKUP(tblFinancials[[#This Row],[AccountKey]],tblAccounts[AccountKey],tblAccounts[AccountCategory],"")</f>
        <v>Operating Expense</v>
      </c>
      <c r="M465" s="8" t="str">
        <f>_xlfn.XLOOKUP(tblFinancials[[#This Row],[AccountKey]],tblAccounts[AccountKey],tblAccounts[NormalBalance],"")</f>
        <v>Debit</v>
      </c>
      <c r="N465" s="8" t="str">
        <f>_xlfn.XLOOKUP(tblFinancials[[#This Row],[DepartmentKey]],tblDepartments[DepartmentKey],tblDepartments[DepartmentName],"")</f>
        <v>Executive</v>
      </c>
      <c r="O465" s="8" t="str">
        <f>_xlfn.XLOOKUP(tblFinancials[[#This Row],[BusinessUnitKey]],tblBusinessUnits[BusinessUnitKey],tblBusinessUnits[BusinessUnitName],"")</f>
        <v>Wholesale</v>
      </c>
      <c r="P465" s="8" t="str">
        <f>_xlfn.XLOOKUP(tblFinancials[[#This Row],[RegionKey]],tblRegions[RegionKey],tblRegions[RegionName],"")</f>
        <v>East</v>
      </c>
    </row>
    <row r="466" spans="1:16">
      <c r="A466">
        <v>20240101</v>
      </c>
      <c r="B466">
        <v>4</v>
      </c>
      <c r="C466">
        <v>3</v>
      </c>
      <c r="D466">
        <v>1</v>
      </c>
      <c r="E466">
        <v>20</v>
      </c>
      <c r="F466" t="s">
        <v>92</v>
      </c>
      <c r="G466">
        <v>-7503.31</v>
      </c>
      <c r="H466">
        <f>_xlfn.XLOOKUP(tblFinancials[[#This Row],[DateKey]],tblCalendar[DateKey],tblCalendar[FullDate],"")</f>
        <v>45292</v>
      </c>
      <c r="I466">
        <f>_xlfn.XLOOKUP(tblFinancials[[#This Row],[AccountKey]],tblAccounts[AccountKey],tblAccounts[AccountNumber],"")</f>
        <v>6500</v>
      </c>
      <c r="J466" t="str">
        <f>_xlfn.XLOOKUP(tblFinancials[[#This Row],[AccountKey]],tblAccounts[AccountKey],tblAccounts[AccountName],"")</f>
        <v>Rent Expense</v>
      </c>
      <c r="K466" s="8" t="str">
        <f>_xlfn.XLOOKUP(tblFinancials[[#This Row],[AccountKey]],tblAccounts[AccountKey],tblAccounts[FinancialStatement],"")</f>
        <v>Income Statement</v>
      </c>
      <c r="L466" s="8" t="str">
        <f>_xlfn.XLOOKUP(tblFinancials[[#This Row],[AccountKey]],tblAccounts[AccountKey],tblAccounts[AccountCategory],"")</f>
        <v>Operating Expense</v>
      </c>
      <c r="M466" s="8" t="str">
        <f>_xlfn.XLOOKUP(tblFinancials[[#This Row],[AccountKey]],tblAccounts[AccountKey],tblAccounts[NormalBalance],"")</f>
        <v>Debit</v>
      </c>
      <c r="N466" s="8" t="str">
        <f>_xlfn.XLOOKUP(tblFinancials[[#This Row],[DepartmentKey]],tblDepartments[DepartmentKey],tblDepartments[DepartmentName],"")</f>
        <v>Sales</v>
      </c>
      <c r="O466" s="8" t="str">
        <f>_xlfn.XLOOKUP(tblFinancials[[#This Row],[BusinessUnitKey]],tblBusinessUnits[BusinessUnitKey],tblBusinessUnits[BusinessUnitName],"")</f>
        <v>Retail</v>
      </c>
      <c r="P466" s="8" t="str">
        <f>_xlfn.XLOOKUP(tblFinancials[[#This Row],[RegionKey]],tblRegions[RegionKey],tblRegions[RegionName],"")</f>
        <v>West</v>
      </c>
    </row>
    <row r="467" spans="1:16">
      <c r="A467">
        <v>20240101</v>
      </c>
      <c r="B467">
        <v>2</v>
      </c>
      <c r="C467">
        <v>1</v>
      </c>
      <c r="D467">
        <v>4</v>
      </c>
      <c r="E467">
        <v>21</v>
      </c>
      <c r="F467" t="s">
        <v>92</v>
      </c>
      <c r="G467">
        <v>-5645.78</v>
      </c>
      <c r="H467">
        <f>_xlfn.XLOOKUP(tblFinancials[[#This Row],[DateKey]],tblCalendar[DateKey],tblCalendar[FullDate],"")</f>
        <v>45292</v>
      </c>
      <c r="I467">
        <f>_xlfn.XLOOKUP(tblFinancials[[#This Row],[AccountKey]],tblAccounts[AccountKey],tblAccounts[AccountNumber],"")</f>
        <v>6600</v>
      </c>
      <c r="J467" t="str">
        <f>_xlfn.XLOOKUP(tblFinancials[[#This Row],[AccountKey]],tblAccounts[AccountKey],tblAccounts[AccountName],"")</f>
        <v>Utilities Expense</v>
      </c>
      <c r="K467" s="8" t="str">
        <f>_xlfn.XLOOKUP(tblFinancials[[#This Row],[AccountKey]],tblAccounts[AccountKey],tblAccounts[FinancialStatement],"")</f>
        <v>Income Statement</v>
      </c>
      <c r="L467" s="8" t="str">
        <f>_xlfn.XLOOKUP(tblFinancials[[#This Row],[AccountKey]],tblAccounts[AccountKey],tblAccounts[AccountCategory],"")</f>
        <v>Operating Expense</v>
      </c>
      <c r="M467" s="8" t="str">
        <f>_xlfn.XLOOKUP(tblFinancials[[#This Row],[AccountKey]],tblAccounts[AccountKey],tblAccounts[NormalBalance],"")</f>
        <v>Debit</v>
      </c>
      <c r="N467" s="8" t="str">
        <f>_xlfn.XLOOKUP(tblFinancials[[#This Row],[DepartmentKey]],tblDepartments[DepartmentKey],tblDepartments[DepartmentName],"")</f>
        <v>Finance</v>
      </c>
      <c r="O467" s="8" t="str">
        <f>_xlfn.XLOOKUP(tblFinancials[[#This Row],[BusinessUnitKey]],tblBusinessUnits[BusinessUnitKey],tblBusinessUnits[BusinessUnitName],"")</f>
        <v xml:space="preserve">Manufacturing </v>
      </c>
      <c r="P467" s="8" t="str">
        <f>_xlfn.XLOOKUP(tblFinancials[[#This Row],[RegionKey]],tblRegions[RegionKey],tblRegions[RegionName],"")</f>
        <v>East</v>
      </c>
    </row>
    <row r="468" spans="1:16">
      <c r="A468">
        <v>20240101</v>
      </c>
      <c r="B468">
        <v>6</v>
      </c>
      <c r="C468">
        <v>1</v>
      </c>
      <c r="D468">
        <v>1</v>
      </c>
      <c r="E468">
        <v>24</v>
      </c>
      <c r="F468" t="s">
        <v>92</v>
      </c>
      <c r="G468">
        <v>-7182.81</v>
      </c>
      <c r="H468">
        <f>_xlfn.XLOOKUP(tblFinancials[[#This Row],[DateKey]],tblCalendar[DateKey],tblCalendar[FullDate],"")</f>
        <v>45292</v>
      </c>
      <c r="I468">
        <f>_xlfn.XLOOKUP(tblFinancials[[#This Row],[AccountKey]],tblAccounts[AccountKey],tblAccounts[AccountNumber],"")</f>
        <v>6900</v>
      </c>
      <c r="J468" t="str">
        <f>_xlfn.XLOOKUP(tblFinancials[[#This Row],[AccountKey]],tblAccounts[AccountKey],tblAccounts[AccountName],"")</f>
        <v>Professional Services</v>
      </c>
      <c r="K468" s="8" t="str">
        <f>_xlfn.XLOOKUP(tblFinancials[[#This Row],[AccountKey]],tblAccounts[AccountKey],tblAccounts[FinancialStatement],"")</f>
        <v>Income Statement</v>
      </c>
      <c r="L468" s="8" t="str">
        <f>_xlfn.XLOOKUP(tblFinancials[[#This Row],[AccountKey]],tblAccounts[AccountKey],tblAccounts[AccountCategory],"")</f>
        <v>Operating Expense</v>
      </c>
      <c r="M468" s="8" t="str">
        <f>_xlfn.XLOOKUP(tblFinancials[[#This Row],[AccountKey]],tblAccounts[AccountKey],tblAccounts[NormalBalance],"")</f>
        <v>Debit</v>
      </c>
      <c r="N468" s="8" t="str">
        <f>_xlfn.XLOOKUP(tblFinancials[[#This Row],[DepartmentKey]],tblDepartments[DepartmentKey],tblDepartments[DepartmentName],"")</f>
        <v>Operations</v>
      </c>
      <c r="O468" s="8" t="str">
        <f>_xlfn.XLOOKUP(tblFinancials[[#This Row],[BusinessUnitKey]],tblBusinessUnits[BusinessUnitKey],tblBusinessUnits[BusinessUnitName],"")</f>
        <v xml:space="preserve">Manufacturing </v>
      </c>
      <c r="P468" s="8" t="str">
        <f>_xlfn.XLOOKUP(tblFinancials[[#This Row],[RegionKey]],tblRegions[RegionKey],tblRegions[RegionName],"")</f>
        <v>West</v>
      </c>
    </row>
    <row r="469" spans="1:16">
      <c r="A469">
        <v>20240101</v>
      </c>
      <c r="B469">
        <v>4</v>
      </c>
      <c r="C469">
        <v>3</v>
      </c>
      <c r="D469">
        <v>1</v>
      </c>
      <c r="E469">
        <v>22</v>
      </c>
      <c r="F469" t="s">
        <v>92</v>
      </c>
      <c r="G469">
        <v>-7117.64</v>
      </c>
      <c r="H469">
        <f>_xlfn.XLOOKUP(tblFinancials[[#This Row],[DateKey]],tblCalendar[DateKey],tblCalendar[FullDate],"")</f>
        <v>45292</v>
      </c>
      <c r="I469">
        <f>_xlfn.XLOOKUP(tblFinancials[[#This Row],[AccountKey]],tblAccounts[AccountKey],tblAccounts[AccountNumber],"")</f>
        <v>6700</v>
      </c>
      <c r="J469" t="str">
        <f>_xlfn.XLOOKUP(tblFinancials[[#This Row],[AccountKey]],tblAccounts[AccountKey],tblAccounts[AccountName],"")</f>
        <v>Insurance Expense</v>
      </c>
      <c r="K469" s="8" t="str">
        <f>_xlfn.XLOOKUP(tblFinancials[[#This Row],[AccountKey]],tblAccounts[AccountKey],tblAccounts[FinancialStatement],"")</f>
        <v>Income Statement</v>
      </c>
      <c r="L469" s="8" t="str">
        <f>_xlfn.XLOOKUP(tblFinancials[[#This Row],[AccountKey]],tblAccounts[AccountKey],tblAccounts[AccountCategory],"")</f>
        <v>Operating Expense</v>
      </c>
      <c r="M469" s="8" t="str">
        <f>_xlfn.XLOOKUP(tblFinancials[[#This Row],[AccountKey]],tblAccounts[AccountKey],tblAccounts[NormalBalance],"")</f>
        <v>Debit</v>
      </c>
      <c r="N469" s="8" t="str">
        <f>_xlfn.XLOOKUP(tblFinancials[[#This Row],[DepartmentKey]],tblDepartments[DepartmentKey],tblDepartments[DepartmentName],"")</f>
        <v>Sales</v>
      </c>
      <c r="O469" s="8" t="str">
        <f>_xlfn.XLOOKUP(tblFinancials[[#This Row],[BusinessUnitKey]],tblBusinessUnits[BusinessUnitKey],tblBusinessUnits[BusinessUnitName],"")</f>
        <v>Retail</v>
      </c>
      <c r="P469" s="8" t="str">
        <f>_xlfn.XLOOKUP(tblFinancials[[#This Row],[RegionKey]],tblRegions[RegionKey],tblRegions[RegionName],"")</f>
        <v>West</v>
      </c>
    </row>
    <row r="470" spans="1:16">
      <c r="A470">
        <v>20240201</v>
      </c>
      <c r="B470">
        <v>3</v>
      </c>
      <c r="C470">
        <v>3</v>
      </c>
      <c r="D470">
        <v>2</v>
      </c>
      <c r="E470">
        <v>12</v>
      </c>
      <c r="F470" t="s">
        <v>92</v>
      </c>
      <c r="G470">
        <v>26494.36</v>
      </c>
      <c r="H470">
        <f>_xlfn.XLOOKUP(tblFinancials[[#This Row],[DateKey]],tblCalendar[DateKey],tblCalendar[FullDate],"")</f>
        <v>45323</v>
      </c>
      <c r="I470">
        <f>_xlfn.XLOOKUP(tblFinancials[[#This Row],[AccountKey]],tblAccounts[AccountKey],tblAccounts[AccountNumber],"")</f>
        <v>4010</v>
      </c>
      <c r="J470" t="str">
        <f>_xlfn.XLOOKUP(tblFinancials[[#This Row],[AccountKey]],tblAccounts[AccountKey],tblAccounts[AccountName],"")</f>
        <v>Service Revenue</v>
      </c>
      <c r="K470" s="8" t="str">
        <f>_xlfn.XLOOKUP(tblFinancials[[#This Row],[AccountKey]],tblAccounts[AccountKey],tblAccounts[FinancialStatement],"")</f>
        <v>Income Statement</v>
      </c>
      <c r="L470" s="8" t="str">
        <f>_xlfn.XLOOKUP(tblFinancials[[#This Row],[AccountKey]],tblAccounts[AccountKey],tblAccounts[AccountCategory],"")</f>
        <v>Revenue</v>
      </c>
      <c r="M470" s="8" t="str">
        <f>_xlfn.XLOOKUP(tblFinancials[[#This Row],[AccountKey]],tblAccounts[AccountKey],tblAccounts[NormalBalance],"")</f>
        <v>Credit</v>
      </c>
      <c r="N470" s="8" t="str">
        <f>_xlfn.XLOOKUP(tblFinancials[[#This Row],[DepartmentKey]],tblDepartments[DepartmentKey],tblDepartments[DepartmentName],"")</f>
        <v>Human Resources</v>
      </c>
      <c r="O470" s="8" t="str">
        <f>_xlfn.XLOOKUP(tblFinancials[[#This Row],[BusinessUnitKey]],tblBusinessUnits[BusinessUnitKey],tblBusinessUnits[BusinessUnitName],"")</f>
        <v>Retail</v>
      </c>
      <c r="P470" s="8" t="str">
        <f>_xlfn.XLOOKUP(tblFinancials[[#This Row],[RegionKey]],tblRegions[RegionKey],tblRegions[RegionName],"")</f>
        <v>Midwest</v>
      </c>
    </row>
    <row r="471" spans="1:16">
      <c r="A471">
        <v>20240201</v>
      </c>
      <c r="B471">
        <v>2</v>
      </c>
      <c r="C471">
        <v>4</v>
      </c>
      <c r="D471">
        <v>1</v>
      </c>
      <c r="E471">
        <v>13</v>
      </c>
      <c r="F471" t="s">
        <v>92</v>
      </c>
      <c r="G471">
        <v>26344.82</v>
      </c>
      <c r="H471">
        <f>_xlfn.XLOOKUP(tblFinancials[[#This Row],[DateKey]],tblCalendar[DateKey],tblCalendar[FullDate],"")</f>
        <v>45323</v>
      </c>
      <c r="I471">
        <f>_xlfn.XLOOKUP(tblFinancials[[#This Row],[AccountKey]],tblAccounts[AccountKey],tblAccounts[AccountNumber],"")</f>
        <v>4020</v>
      </c>
      <c r="J471" t="str">
        <f>_xlfn.XLOOKUP(tblFinancials[[#This Row],[AccountKey]],tblAccounts[AccountKey],tblAccounts[AccountName],"")</f>
        <v>Online Revenue</v>
      </c>
      <c r="K471" s="8" t="str">
        <f>_xlfn.XLOOKUP(tblFinancials[[#This Row],[AccountKey]],tblAccounts[AccountKey],tblAccounts[FinancialStatement],"")</f>
        <v>Income Statement</v>
      </c>
      <c r="L471" s="8" t="str">
        <f>_xlfn.XLOOKUP(tblFinancials[[#This Row],[AccountKey]],tblAccounts[AccountKey],tblAccounts[AccountCategory],"")</f>
        <v>Revenue</v>
      </c>
      <c r="M471" s="8" t="str">
        <f>_xlfn.XLOOKUP(tblFinancials[[#This Row],[AccountKey]],tblAccounts[AccountKey],tblAccounts[NormalBalance],"")</f>
        <v>Credit</v>
      </c>
      <c r="N471" s="8" t="str">
        <f>_xlfn.XLOOKUP(tblFinancials[[#This Row],[DepartmentKey]],tblDepartments[DepartmentKey],tblDepartments[DepartmentName],"")</f>
        <v>Finance</v>
      </c>
      <c r="O471" s="8" t="str">
        <f>_xlfn.XLOOKUP(tblFinancials[[#This Row],[BusinessUnitKey]],tblBusinessUnits[BusinessUnitKey],tblBusinessUnits[BusinessUnitName],"")</f>
        <v>E-Commerce</v>
      </c>
      <c r="P471" s="8" t="str">
        <f>_xlfn.XLOOKUP(tblFinancials[[#This Row],[RegionKey]],tblRegions[RegionKey],tblRegions[RegionName],"")</f>
        <v>West</v>
      </c>
    </row>
    <row r="472" spans="1:16">
      <c r="A472">
        <v>20240201</v>
      </c>
      <c r="B472">
        <v>4</v>
      </c>
      <c r="C472">
        <v>3</v>
      </c>
      <c r="D472">
        <v>2</v>
      </c>
      <c r="E472">
        <v>12</v>
      </c>
      <c r="F472" t="s">
        <v>92</v>
      </c>
      <c r="G472">
        <v>26003.29</v>
      </c>
      <c r="H472">
        <f>_xlfn.XLOOKUP(tblFinancials[[#This Row],[DateKey]],tblCalendar[DateKey],tblCalendar[FullDate],"")</f>
        <v>45323</v>
      </c>
      <c r="I472">
        <f>_xlfn.XLOOKUP(tblFinancials[[#This Row],[AccountKey]],tblAccounts[AccountKey],tblAccounts[AccountNumber],"")</f>
        <v>4010</v>
      </c>
      <c r="J472" t="str">
        <f>_xlfn.XLOOKUP(tblFinancials[[#This Row],[AccountKey]],tblAccounts[AccountKey],tblAccounts[AccountName],"")</f>
        <v>Service Revenue</v>
      </c>
      <c r="K472" s="8" t="str">
        <f>_xlfn.XLOOKUP(tblFinancials[[#This Row],[AccountKey]],tblAccounts[AccountKey],tblAccounts[FinancialStatement],"")</f>
        <v>Income Statement</v>
      </c>
      <c r="L472" s="8" t="str">
        <f>_xlfn.XLOOKUP(tblFinancials[[#This Row],[AccountKey]],tblAccounts[AccountKey],tblAccounts[AccountCategory],"")</f>
        <v>Revenue</v>
      </c>
      <c r="M472" s="8" t="str">
        <f>_xlfn.XLOOKUP(tblFinancials[[#This Row],[AccountKey]],tblAccounts[AccountKey],tblAccounts[NormalBalance],"")</f>
        <v>Credit</v>
      </c>
      <c r="N472" s="8" t="str">
        <f>_xlfn.XLOOKUP(tblFinancials[[#This Row],[DepartmentKey]],tblDepartments[DepartmentKey],tblDepartments[DepartmentName],"")</f>
        <v>Sales</v>
      </c>
      <c r="O472" s="8" t="str">
        <f>_xlfn.XLOOKUP(tblFinancials[[#This Row],[BusinessUnitKey]],tblBusinessUnits[BusinessUnitKey],tblBusinessUnits[BusinessUnitName],"")</f>
        <v>Retail</v>
      </c>
      <c r="P472" s="8" t="str">
        <f>_xlfn.XLOOKUP(tblFinancials[[#This Row],[RegionKey]],tblRegions[RegionKey],tblRegions[RegionName],"")</f>
        <v>Midwest</v>
      </c>
    </row>
    <row r="473" spans="1:16">
      <c r="A473">
        <v>20240201</v>
      </c>
      <c r="B473">
        <v>2</v>
      </c>
      <c r="C473">
        <v>4</v>
      </c>
      <c r="D473">
        <v>1</v>
      </c>
      <c r="E473">
        <v>13</v>
      </c>
      <c r="F473" t="s">
        <v>92</v>
      </c>
      <c r="G473">
        <v>26325.61</v>
      </c>
      <c r="H473">
        <f>_xlfn.XLOOKUP(tblFinancials[[#This Row],[DateKey]],tblCalendar[DateKey],tblCalendar[FullDate],"")</f>
        <v>45323</v>
      </c>
      <c r="I473">
        <f>_xlfn.XLOOKUP(tblFinancials[[#This Row],[AccountKey]],tblAccounts[AccountKey],tblAccounts[AccountNumber],"")</f>
        <v>4020</v>
      </c>
      <c r="J473" t="str">
        <f>_xlfn.XLOOKUP(tblFinancials[[#This Row],[AccountKey]],tblAccounts[AccountKey],tblAccounts[AccountName],"")</f>
        <v>Online Revenue</v>
      </c>
      <c r="K473" s="8" t="str">
        <f>_xlfn.XLOOKUP(tblFinancials[[#This Row],[AccountKey]],tblAccounts[AccountKey],tblAccounts[FinancialStatement],"")</f>
        <v>Income Statement</v>
      </c>
      <c r="L473" s="8" t="str">
        <f>_xlfn.XLOOKUP(tblFinancials[[#This Row],[AccountKey]],tblAccounts[AccountKey],tblAccounts[AccountCategory],"")</f>
        <v>Revenue</v>
      </c>
      <c r="M473" s="8" t="str">
        <f>_xlfn.XLOOKUP(tblFinancials[[#This Row],[AccountKey]],tblAccounts[AccountKey],tblAccounts[NormalBalance],"")</f>
        <v>Credit</v>
      </c>
      <c r="N473" s="8" t="str">
        <f>_xlfn.XLOOKUP(tblFinancials[[#This Row],[DepartmentKey]],tblDepartments[DepartmentKey],tblDepartments[DepartmentName],"")</f>
        <v>Finance</v>
      </c>
      <c r="O473" s="8" t="str">
        <f>_xlfn.XLOOKUP(tblFinancials[[#This Row],[BusinessUnitKey]],tblBusinessUnits[BusinessUnitKey],tblBusinessUnits[BusinessUnitName],"")</f>
        <v>E-Commerce</v>
      </c>
      <c r="P473" s="8" t="str">
        <f>_xlfn.XLOOKUP(tblFinancials[[#This Row],[RegionKey]],tblRegions[RegionKey],tblRegions[RegionName],"")</f>
        <v>West</v>
      </c>
    </row>
    <row r="474" spans="1:16">
      <c r="A474">
        <v>20240201</v>
      </c>
      <c r="B474">
        <v>4</v>
      </c>
      <c r="C474">
        <v>3</v>
      </c>
      <c r="D474">
        <v>1</v>
      </c>
      <c r="E474">
        <v>11</v>
      </c>
      <c r="F474" t="s">
        <v>92</v>
      </c>
      <c r="G474">
        <v>27469.54</v>
      </c>
      <c r="H474">
        <f>_xlfn.XLOOKUP(tblFinancials[[#This Row],[DateKey]],tblCalendar[DateKey],tblCalendar[FullDate],"")</f>
        <v>45323</v>
      </c>
      <c r="I474">
        <f>_xlfn.XLOOKUP(tblFinancials[[#This Row],[AccountKey]],tblAccounts[AccountKey],tblAccounts[AccountNumber],"")</f>
        <v>4000</v>
      </c>
      <c r="J474" t="str">
        <f>_xlfn.XLOOKUP(tblFinancials[[#This Row],[AccountKey]],tblAccounts[AccountKey],tblAccounts[AccountName],"")</f>
        <v>Product Revenue</v>
      </c>
      <c r="K474" s="8" t="str">
        <f>_xlfn.XLOOKUP(tblFinancials[[#This Row],[AccountKey]],tblAccounts[AccountKey],tblAccounts[FinancialStatement],"")</f>
        <v>Income Statement</v>
      </c>
      <c r="L474" s="8" t="str">
        <f>_xlfn.XLOOKUP(tblFinancials[[#This Row],[AccountKey]],tblAccounts[AccountKey],tblAccounts[AccountCategory],"")</f>
        <v>Revenue</v>
      </c>
      <c r="M474" s="8" t="str">
        <f>_xlfn.XLOOKUP(tblFinancials[[#This Row],[AccountKey]],tblAccounts[AccountKey],tblAccounts[NormalBalance],"")</f>
        <v>Credit</v>
      </c>
      <c r="N474" s="8" t="str">
        <f>_xlfn.XLOOKUP(tblFinancials[[#This Row],[DepartmentKey]],tblDepartments[DepartmentKey],tblDepartments[DepartmentName],"")</f>
        <v>Sales</v>
      </c>
      <c r="O474" s="8" t="str">
        <f>_xlfn.XLOOKUP(tblFinancials[[#This Row],[BusinessUnitKey]],tblBusinessUnits[BusinessUnitKey],tblBusinessUnits[BusinessUnitName],"")</f>
        <v>Retail</v>
      </c>
      <c r="P474" s="8" t="str">
        <f>_xlfn.XLOOKUP(tblFinancials[[#This Row],[RegionKey]],tblRegions[RegionKey],tblRegions[RegionName],"")</f>
        <v>West</v>
      </c>
    </row>
    <row r="475" spans="1:16">
      <c r="A475">
        <v>20240201</v>
      </c>
      <c r="B475">
        <v>4</v>
      </c>
      <c r="C475">
        <v>3</v>
      </c>
      <c r="D475">
        <v>3</v>
      </c>
      <c r="E475">
        <v>11</v>
      </c>
      <c r="F475" t="s">
        <v>92</v>
      </c>
      <c r="G475">
        <v>26467.62</v>
      </c>
      <c r="H475">
        <f>_xlfn.XLOOKUP(tblFinancials[[#This Row],[DateKey]],tblCalendar[DateKey],tblCalendar[FullDate],"")</f>
        <v>45323</v>
      </c>
      <c r="I475">
        <f>_xlfn.XLOOKUP(tblFinancials[[#This Row],[AccountKey]],tblAccounts[AccountKey],tblAccounts[AccountNumber],"")</f>
        <v>4000</v>
      </c>
      <c r="J475" t="str">
        <f>_xlfn.XLOOKUP(tblFinancials[[#This Row],[AccountKey]],tblAccounts[AccountKey],tblAccounts[AccountName],"")</f>
        <v>Product Revenue</v>
      </c>
      <c r="K475" s="8" t="str">
        <f>_xlfn.XLOOKUP(tblFinancials[[#This Row],[AccountKey]],tblAccounts[AccountKey],tblAccounts[FinancialStatement],"")</f>
        <v>Income Statement</v>
      </c>
      <c r="L475" s="8" t="str">
        <f>_xlfn.XLOOKUP(tblFinancials[[#This Row],[AccountKey]],tblAccounts[AccountKey],tblAccounts[AccountCategory],"")</f>
        <v>Revenue</v>
      </c>
      <c r="M475" s="8" t="str">
        <f>_xlfn.XLOOKUP(tblFinancials[[#This Row],[AccountKey]],tblAccounts[AccountKey],tblAccounts[NormalBalance],"")</f>
        <v>Credit</v>
      </c>
      <c r="N475" s="8" t="str">
        <f>_xlfn.XLOOKUP(tblFinancials[[#This Row],[DepartmentKey]],tblDepartments[DepartmentKey],tblDepartments[DepartmentName],"")</f>
        <v>Sales</v>
      </c>
      <c r="O475" s="8" t="str">
        <f>_xlfn.XLOOKUP(tblFinancials[[#This Row],[BusinessUnitKey]],tblBusinessUnits[BusinessUnitKey],tblBusinessUnits[BusinessUnitName],"")</f>
        <v>Retail</v>
      </c>
      <c r="P475" s="8" t="str">
        <f>_xlfn.XLOOKUP(tblFinancials[[#This Row],[RegionKey]],tblRegions[RegionKey],tblRegions[RegionName],"")</f>
        <v>South</v>
      </c>
    </row>
    <row r="476" spans="1:16">
      <c r="A476">
        <v>20240201</v>
      </c>
      <c r="B476">
        <v>4</v>
      </c>
      <c r="C476">
        <v>3</v>
      </c>
      <c r="D476">
        <v>2</v>
      </c>
      <c r="E476">
        <v>11</v>
      </c>
      <c r="F476" t="s">
        <v>92</v>
      </c>
      <c r="G476">
        <v>27560.26</v>
      </c>
      <c r="H476">
        <f>_xlfn.XLOOKUP(tblFinancials[[#This Row],[DateKey]],tblCalendar[DateKey],tblCalendar[FullDate],"")</f>
        <v>45323</v>
      </c>
      <c r="I476">
        <f>_xlfn.XLOOKUP(tblFinancials[[#This Row],[AccountKey]],tblAccounts[AccountKey],tblAccounts[AccountNumber],"")</f>
        <v>4000</v>
      </c>
      <c r="J476" t="str">
        <f>_xlfn.XLOOKUP(tblFinancials[[#This Row],[AccountKey]],tblAccounts[AccountKey],tblAccounts[AccountName],"")</f>
        <v>Product Revenue</v>
      </c>
      <c r="K476" s="8" t="str">
        <f>_xlfn.XLOOKUP(tblFinancials[[#This Row],[AccountKey]],tblAccounts[AccountKey],tblAccounts[FinancialStatement],"")</f>
        <v>Income Statement</v>
      </c>
      <c r="L476" s="8" t="str">
        <f>_xlfn.XLOOKUP(tblFinancials[[#This Row],[AccountKey]],tblAccounts[AccountKey],tblAccounts[AccountCategory],"")</f>
        <v>Revenue</v>
      </c>
      <c r="M476" s="8" t="str">
        <f>_xlfn.XLOOKUP(tblFinancials[[#This Row],[AccountKey]],tblAccounts[AccountKey],tblAccounts[NormalBalance],"")</f>
        <v>Credit</v>
      </c>
      <c r="N476" s="8" t="str">
        <f>_xlfn.XLOOKUP(tblFinancials[[#This Row],[DepartmentKey]],tblDepartments[DepartmentKey],tblDepartments[DepartmentName],"")</f>
        <v>Sales</v>
      </c>
      <c r="O476" s="8" t="str">
        <f>_xlfn.XLOOKUP(tblFinancials[[#This Row],[BusinessUnitKey]],tblBusinessUnits[BusinessUnitKey],tblBusinessUnits[BusinessUnitName],"")</f>
        <v>Retail</v>
      </c>
      <c r="P476" s="8" t="str">
        <f>_xlfn.XLOOKUP(tblFinancials[[#This Row],[RegionKey]],tblRegions[RegionKey],tblRegions[RegionName],"")</f>
        <v>Midwest</v>
      </c>
    </row>
    <row r="477" spans="1:16">
      <c r="A477">
        <v>20240201</v>
      </c>
      <c r="B477">
        <v>7</v>
      </c>
      <c r="C477">
        <v>3</v>
      </c>
      <c r="D477">
        <v>4</v>
      </c>
      <c r="E477">
        <v>12</v>
      </c>
      <c r="F477" t="s">
        <v>92</v>
      </c>
      <c r="G477">
        <v>26840.04</v>
      </c>
      <c r="H477">
        <f>_xlfn.XLOOKUP(tblFinancials[[#This Row],[DateKey]],tblCalendar[DateKey],tblCalendar[FullDate],"")</f>
        <v>45323</v>
      </c>
      <c r="I477">
        <f>_xlfn.XLOOKUP(tblFinancials[[#This Row],[AccountKey]],tblAccounts[AccountKey],tblAccounts[AccountNumber],"")</f>
        <v>4010</v>
      </c>
      <c r="J477" t="str">
        <f>_xlfn.XLOOKUP(tblFinancials[[#This Row],[AccountKey]],tblAccounts[AccountKey],tblAccounts[AccountName],"")</f>
        <v>Service Revenue</v>
      </c>
      <c r="K477" s="8" t="str">
        <f>_xlfn.XLOOKUP(tblFinancials[[#This Row],[AccountKey]],tblAccounts[AccountKey],tblAccounts[FinancialStatement],"")</f>
        <v>Income Statement</v>
      </c>
      <c r="L477" s="8" t="str">
        <f>_xlfn.XLOOKUP(tblFinancials[[#This Row],[AccountKey]],tblAccounts[AccountKey],tblAccounts[AccountCategory],"")</f>
        <v>Revenue</v>
      </c>
      <c r="M477" s="8" t="str">
        <f>_xlfn.XLOOKUP(tblFinancials[[#This Row],[AccountKey]],tblAccounts[AccountKey],tblAccounts[NormalBalance],"")</f>
        <v>Credit</v>
      </c>
      <c r="N477" s="8" t="str">
        <f>_xlfn.XLOOKUP(tblFinancials[[#This Row],[DepartmentKey]],tblDepartments[DepartmentKey],tblDepartments[DepartmentName],"")</f>
        <v>Information Technology</v>
      </c>
      <c r="O477" s="8" t="str">
        <f>_xlfn.XLOOKUP(tblFinancials[[#This Row],[BusinessUnitKey]],tblBusinessUnits[BusinessUnitKey],tblBusinessUnits[BusinessUnitName],"")</f>
        <v>Retail</v>
      </c>
      <c r="P477" s="8" t="str">
        <f>_xlfn.XLOOKUP(tblFinancials[[#This Row],[RegionKey]],tblRegions[RegionKey],tblRegions[RegionName],"")</f>
        <v>East</v>
      </c>
    </row>
    <row r="478" spans="1:16">
      <c r="A478">
        <v>20240201</v>
      </c>
      <c r="B478">
        <v>5</v>
      </c>
      <c r="C478">
        <v>1</v>
      </c>
      <c r="D478">
        <v>3</v>
      </c>
      <c r="E478">
        <v>13</v>
      </c>
      <c r="F478" t="s">
        <v>92</v>
      </c>
      <c r="G478">
        <v>26608.59</v>
      </c>
      <c r="H478">
        <f>_xlfn.XLOOKUP(tblFinancials[[#This Row],[DateKey]],tblCalendar[DateKey],tblCalendar[FullDate],"")</f>
        <v>45323</v>
      </c>
      <c r="I478">
        <f>_xlfn.XLOOKUP(tblFinancials[[#This Row],[AccountKey]],tblAccounts[AccountKey],tblAccounts[AccountNumber],"")</f>
        <v>4020</v>
      </c>
      <c r="J478" t="str">
        <f>_xlfn.XLOOKUP(tblFinancials[[#This Row],[AccountKey]],tblAccounts[AccountKey],tblAccounts[AccountName],"")</f>
        <v>Online Revenue</v>
      </c>
      <c r="K478" s="8" t="str">
        <f>_xlfn.XLOOKUP(tblFinancials[[#This Row],[AccountKey]],tblAccounts[AccountKey],tblAccounts[FinancialStatement],"")</f>
        <v>Income Statement</v>
      </c>
      <c r="L478" s="8" t="str">
        <f>_xlfn.XLOOKUP(tblFinancials[[#This Row],[AccountKey]],tblAccounts[AccountKey],tblAccounts[AccountCategory],"")</f>
        <v>Revenue</v>
      </c>
      <c r="M478" s="8" t="str">
        <f>_xlfn.XLOOKUP(tblFinancials[[#This Row],[AccountKey]],tblAccounts[AccountKey],tblAccounts[NormalBalance],"")</f>
        <v>Credit</v>
      </c>
      <c r="N478" s="8" t="str">
        <f>_xlfn.XLOOKUP(tblFinancials[[#This Row],[DepartmentKey]],tblDepartments[DepartmentKey],tblDepartments[DepartmentName],"")</f>
        <v>Marketing</v>
      </c>
      <c r="O478" s="8" t="str">
        <f>_xlfn.XLOOKUP(tblFinancials[[#This Row],[BusinessUnitKey]],tblBusinessUnits[BusinessUnitKey],tblBusinessUnits[BusinessUnitName],"")</f>
        <v xml:space="preserve">Manufacturing </v>
      </c>
      <c r="P478" s="8" t="str">
        <f>_xlfn.XLOOKUP(tblFinancials[[#This Row],[RegionKey]],tblRegions[RegionKey],tblRegions[RegionName],"")</f>
        <v>South</v>
      </c>
    </row>
    <row r="479" spans="1:16">
      <c r="A479">
        <v>20240201</v>
      </c>
      <c r="B479">
        <v>4</v>
      </c>
      <c r="C479">
        <v>1</v>
      </c>
      <c r="D479">
        <v>4</v>
      </c>
      <c r="E479">
        <v>12</v>
      </c>
      <c r="F479" t="s">
        <v>92</v>
      </c>
      <c r="G479">
        <v>27176.42</v>
      </c>
      <c r="H479">
        <f>_xlfn.XLOOKUP(tblFinancials[[#This Row],[DateKey]],tblCalendar[DateKey],tblCalendar[FullDate],"")</f>
        <v>45323</v>
      </c>
      <c r="I479">
        <f>_xlfn.XLOOKUP(tblFinancials[[#This Row],[AccountKey]],tblAccounts[AccountKey],tblAccounts[AccountNumber],"")</f>
        <v>4010</v>
      </c>
      <c r="J479" t="str">
        <f>_xlfn.XLOOKUP(tblFinancials[[#This Row],[AccountKey]],tblAccounts[AccountKey],tblAccounts[AccountName],"")</f>
        <v>Service Revenue</v>
      </c>
      <c r="K479" s="8" t="str">
        <f>_xlfn.XLOOKUP(tblFinancials[[#This Row],[AccountKey]],tblAccounts[AccountKey],tblAccounts[FinancialStatement],"")</f>
        <v>Income Statement</v>
      </c>
      <c r="L479" s="8" t="str">
        <f>_xlfn.XLOOKUP(tblFinancials[[#This Row],[AccountKey]],tblAccounts[AccountKey],tblAccounts[AccountCategory],"")</f>
        <v>Revenue</v>
      </c>
      <c r="M479" s="8" t="str">
        <f>_xlfn.XLOOKUP(tblFinancials[[#This Row],[AccountKey]],tblAccounts[AccountKey],tblAccounts[NormalBalance],"")</f>
        <v>Credit</v>
      </c>
      <c r="N479" s="8" t="str">
        <f>_xlfn.XLOOKUP(tblFinancials[[#This Row],[DepartmentKey]],tblDepartments[DepartmentKey],tblDepartments[DepartmentName],"")</f>
        <v>Sales</v>
      </c>
      <c r="O479" s="8" t="str">
        <f>_xlfn.XLOOKUP(tblFinancials[[#This Row],[BusinessUnitKey]],tblBusinessUnits[BusinessUnitKey],tblBusinessUnits[BusinessUnitName],"")</f>
        <v xml:space="preserve">Manufacturing </v>
      </c>
      <c r="P479" s="8" t="str">
        <f>_xlfn.XLOOKUP(tblFinancials[[#This Row],[RegionKey]],tblRegions[RegionKey],tblRegions[RegionName],"")</f>
        <v>East</v>
      </c>
    </row>
    <row r="480" spans="1:16">
      <c r="A480">
        <v>20240201</v>
      </c>
      <c r="B480">
        <v>7</v>
      </c>
      <c r="C480">
        <v>1</v>
      </c>
      <c r="D480">
        <v>1</v>
      </c>
      <c r="E480">
        <v>12</v>
      </c>
      <c r="F480" t="s">
        <v>92</v>
      </c>
      <c r="G480">
        <v>27311.47</v>
      </c>
      <c r="H480">
        <f>_xlfn.XLOOKUP(tblFinancials[[#This Row],[DateKey]],tblCalendar[DateKey],tblCalendar[FullDate],"")</f>
        <v>45323</v>
      </c>
      <c r="I480">
        <f>_xlfn.XLOOKUP(tblFinancials[[#This Row],[AccountKey]],tblAccounts[AccountKey],tblAccounts[AccountNumber],"")</f>
        <v>4010</v>
      </c>
      <c r="J480" t="str">
        <f>_xlfn.XLOOKUP(tblFinancials[[#This Row],[AccountKey]],tblAccounts[AccountKey],tblAccounts[AccountName],"")</f>
        <v>Service Revenue</v>
      </c>
      <c r="K480" s="8" t="str">
        <f>_xlfn.XLOOKUP(tblFinancials[[#This Row],[AccountKey]],tblAccounts[AccountKey],tblAccounts[FinancialStatement],"")</f>
        <v>Income Statement</v>
      </c>
      <c r="L480" s="8" t="str">
        <f>_xlfn.XLOOKUP(tblFinancials[[#This Row],[AccountKey]],tblAccounts[AccountKey],tblAccounts[AccountCategory],"")</f>
        <v>Revenue</v>
      </c>
      <c r="M480" s="8" t="str">
        <f>_xlfn.XLOOKUP(tblFinancials[[#This Row],[AccountKey]],tblAccounts[AccountKey],tblAccounts[NormalBalance],"")</f>
        <v>Credit</v>
      </c>
      <c r="N480" s="8" t="str">
        <f>_xlfn.XLOOKUP(tblFinancials[[#This Row],[DepartmentKey]],tblDepartments[DepartmentKey],tblDepartments[DepartmentName],"")</f>
        <v>Information Technology</v>
      </c>
      <c r="O480" s="8" t="str">
        <f>_xlfn.XLOOKUP(tblFinancials[[#This Row],[BusinessUnitKey]],tblBusinessUnits[BusinessUnitKey],tblBusinessUnits[BusinessUnitName],"")</f>
        <v xml:space="preserve">Manufacturing </v>
      </c>
      <c r="P480" s="8" t="str">
        <f>_xlfn.XLOOKUP(tblFinancials[[#This Row],[RegionKey]],tblRegions[RegionKey],tblRegions[RegionName],"")</f>
        <v>West</v>
      </c>
    </row>
    <row r="481" spans="1:16">
      <c r="A481">
        <v>20240201</v>
      </c>
      <c r="B481">
        <v>4</v>
      </c>
      <c r="C481">
        <v>4</v>
      </c>
      <c r="D481">
        <v>3</v>
      </c>
      <c r="E481">
        <v>12</v>
      </c>
      <c r="F481" t="s">
        <v>92</v>
      </c>
      <c r="G481">
        <v>22455.65</v>
      </c>
      <c r="H481">
        <f>_xlfn.XLOOKUP(tblFinancials[[#This Row],[DateKey]],tblCalendar[DateKey],tblCalendar[FullDate],"")</f>
        <v>45323</v>
      </c>
      <c r="I481">
        <f>_xlfn.XLOOKUP(tblFinancials[[#This Row],[AccountKey]],tblAccounts[AccountKey],tblAccounts[AccountNumber],"")</f>
        <v>4010</v>
      </c>
      <c r="J481" t="str">
        <f>_xlfn.XLOOKUP(tblFinancials[[#This Row],[AccountKey]],tblAccounts[AccountKey],tblAccounts[AccountName],"")</f>
        <v>Service Revenue</v>
      </c>
      <c r="K481" s="8" t="str">
        <f>_xlfn.XLOOKUP(tblFinancials[[#This Row],[AccountKey]],tblAccounts[AccountKey],tblAccounts[FinancialStatement],"")</f>
        <v>Income Statement</v>
      </c>
      <c r="L481" s="8" t="str">
        <f>_xlfn.XLOOKUP(tblFinancials[[#This Row],[AccountKey]],tblAccounts[AccountKey],tblAccounts[AccountCategory],"")</f>
        <v>Revenue</v>
      </c>
      <c r="M481" s="8" t="str">
        <f>_xlfn.XLOOKUP(tblFinancials[[#This Row],[AccountKey]],tblAccounts[AccountKey],tblAccounts[NormalBalance],"")</f>
        <v>Credit</v>
      </c>
      <c r="N481" s="8" t="str">
        <f>_xlfn.XLOOKUP(tblFinancials[[#This Row],[DepartmentKey]],tblDepartments[DepartmentKey],tblDepartments[DepartmentName],"")</f>
        <v>Sales</v>
      </c>
      <c r="O481" s="8" t="str">
        <f>_xlfn.XLOOKUP(tblFinancials[[#This Row],[BusinessUnitKey]],tblBusinessUnits[BusinessUnitKey],tblBusinessUnits[BusinessUnitName],"")</f>
        <v>E-Commerce</v>
      </c>
      <c r="P481" s="8" t="str">
        <f>_xlfn.XLOOKUP(tblFinancials[[#This Row],[RegionKey]],tblRegions[RegionKey],tblRegions[RegionName],"")</f>
        <v>South</v>
      </c>
    </row>
    <row r="482" spans="1:16">
      <c r="A482">
        <v>20240201</v>
      </c>
      <c r="B482">
        <v>3</v>
      </c>
      <c r="C482">
        <v>3</v>
      </c>
      <c r="D482">
        <v>4</v>
      </c>
      <c r="E482">
        <v>14</v>
      </c>
      <c r="F482" t="s">
        <v>92</v>
      </c>
      <c r="G482">
        <v>-15177.51</v>
      </c>
      <c r="H482">
        <f>_xlfn.XLOOKUP(tblFinancials[[#This Row],[DateKey]],tblCalendar[DateKey],tblCalendar[FullDate],"")</f>
        <v>45323</v>
      </c>
      <c r="I482">
        <f>_xlfn.XLOOKUP(tblFinancials[[#This Row],[AccountKey]],tblAccounts[AccountKey],tblAccounts[AccountNumber],"")</f>
        <v>5000</v>
      </c>
      <c r="J482" t="str">
        <f>_xlfn.XLOOKUP(tblFinancials[[#This Row],[AccountKey]],tblAccounts[AccountKey],tblAccounts[AccountName],"")</f>
        <v>Cost of Goods Sold</v>
      </c>
      <c r="K482" s="8" t="str">
        <f>_xlfn.XLOOKUP(tblFinancials[[#This Row],[AccountKey]],tblAccounts[AccountKey],tblAccounts[FinancialStatement],"")</f>
        <v>Income Statement</v>
      </c>
      <c r="L482" s="8" t="str">
        <f>_xlfn.XLOOKUP(tblFinancials[[#This Row],[AccountKey]],tblAccounts[AccountKey],tblAccounts[AccountCategory],"")</f>
        <v>Cost of Sales</v>
      </c>
      <c r="M482" s="8" t="str">
        <f>_xlfn.XLOOKUP(tblFinancials[[#This Row],[AccountKey]],tblAccounts[AccountKey],tblAccounts[NormalBalance],"")</f>
        <v>Debit</v>
      </c>
      <c r="N482" s="8" t="str">
        <f>_xlfn.XLOOKUP(tblFinancials[[#This Row],[DepartmentKey]],tblDepartments[DepartmentKey],tblDepartments[DepartmentName],"")</f>
        <v>Human Resources</v>
      </c>
      <c r="O482" s="8" t="str">
        <f>_xlfn.XLOOKUP(tblFinancials[[#This Row],[BusinessUnitKey]],tblBusinessUnits[BusinessUnitKey],tblBusinessUnits[BusinessUnitName],"")</f>
        <v>Retail</v>
      </c>
      <c r="P482" s="8" t="str">
        <f>_xlfn.XLOOKUP(tblFinancials[[#This Row],[RegionKey]],tblRegions[RegionKey],tblRegions[RegionName],"")</f>
        <v>East</v>
      </c>
    </row>
    <row r="483" spans="1:16">
      <c r="A483">
        <v>20240201</v>
      </c>
      <c r="B483">
        <v>1</v>
      </c>
      <c r="C483">
        <v>4</v>
      </c>
      <c r="D483">
        <v>3</v>
      </c>
      <c r="E483">
        <v>14</v>
      </c>
      <c r="F483" t="s">
        <v>92</v>
      </c>
      <c r="G483">
        <v>-16227.57</v>
      </c>
      <c r="H483">
        <f>_xlfn.XLOOKUP(tblFinancials[[#This Row],[DateKey]],tblCalendar[DateKey],tblCalendar[FullDate],"")</f>
        <v>45323</v>
      </c>
      <c r="I483">
        <f>_xlfn.XLOOKUP(tblFinancials[[#This Row],[AccountKey]],tblAccounts[AccountKey],tblAccounts[AccountNumber],"")</f>
        <v>5000</v>
      </c>
      <c r="J483" t="str">
        <f>_xlfn.XLOOKUP(tblFinancials[[#This Row],[AccountKey]],tblAccounts[AccountKey],tblAccounts[AccountName],"")</f>
        <v>Cost of Goods Sold</v>
      </c>
      <c r="K483" s="8" t="str">
        <f>_xlfn.XLOOKUP(tblFinancials[[#This Row],[AccountKey]],tblAccounts[AccountKey],tblAccounts[FinancialStatement],"")</f>
        <v>Income Statement</v>
      </c>
      <c r="L483" s="8" t="str">
        <f>_xlfn.XLOOKUP(tblFinancials[[#This Row],[AccountKey]],tblAccounts[AccountKey],tblAccounts[AccountCategory],"")</f>
        <v>Cost of Sales</v>
      </c>
      <c r="M483" s="8" t="str">
        <f>_xlfn.XLOOKUP(tblFinancials[[#This Row],[AccountKey]],tblAccounts[AccountKey],tblAccounts[NormalBalance],"")</f>
        <v>Debit</v>
      </c>
      <c r="N483" s="8" t="str">
        <f>_xlfn.XLOOKUP(tblFinancials[[#This Row],[DepartmentKey]],tblDepartments[DepartmentKey],tblDepartments[DepartmentName],"")</f>
        <v>Executive</v>
      </c>
      <c r="O483" s="8" t="str">
        <f>_xlfn.XLOOKUP(tblFinancials[[#This Row],[BusinessUnitKey]],tblBusinessUnits[BusinessUnitKey],tblBusinessUnits[BusinessUnitName],"")</f>
        <v>E-Commerce</v>
      </c>
      <c r="P483" s="8" t="str">
        <f>_xlfn.XLOOKUP(tblFinancials[[#This Row],[RegionKey]],tblRegions[RegionKey],tblRegions[RegionName],"")</f>
        <v>South</v>
      </c>
    </row>
    <row r="484" spans="1:16">
      <c r="A484">
        <v>20240201</v>
      </c>
      <c r="B484">
        <v>5</v>
      </c>
      <c r="C484">
        <v>1</v>
      </c>
      <c r="D484">
        <v>3</v>
      </c>
      <c r="E484">
        <v>14</v>
      </c>
      <c r="F484" t="s">
        <v>92</v>
      </c>
      <c r="G484">
        <v>-16087.44</v>
      </c>
      <c r="H484">
        <f>_xlfn.XLOOKUP(tblFinancials[[#This Row],[DateKey]],tblCalendar[DateKey],tblCalendar[FullDate],"")</f>
        <v>45323</v>
      </c>
      <c r="I484">
        <f>_xlfn.XLOOKUP(tblFinancials[[#This Row],[AccountKey]],tblAccounts[AccountKey],tblAccounts[AccountNumber],"")</f>
        <v>5000</v>
      </c>
      <c r="J484" t="str">
        <f>_xlfn.XLOOKUP(tblFinancials[[#This Row],[AccountKey]],tblAccounts[AccountKey],tblAccounts[AccountName],"")</f>
        <v>Cost of Goods Sold</v>
      </c>
      <c r="K484" s="8" t="str">
        <f>_xlfn.XLOOKUP(tblFinancials[[#This Row],[AccountKey]],tblAccounts[AccountKey],tblAccounts[FinancialStatement],"")</f>
        <v>Income Statement</v>
      </c>
      <c r="L484" s="8" t="str">
        <f>_xlfn.XLOOKUP(tblFinancials[[#This Row],[AccountKey]],tblAccounts[AccountKey],tblAccounts[AccountCategory],"")</f>
        <v>Cost of Sales</v>
      </c>
      <c r="M484" s="8" t="str">
        <f>_xlfn.XLOOKUP(tblFinancials[[#This Row],[AccountKey]],tblAccounts[AccountKey],tblAccounts[NormalBalance],"")</f>
        <v>Debit</v>
      </c>
      <c r="N484" s="8" t="str">
        <f>_xlfn.XLOOKUP(tblFinancials[[#This Row],[DepartmentKey]],tblDepartments[DepartmentKey],tblDepartments[DepartmentName],"")</f>
        <v>Marketing</v>
      </c>
      <c r="O484" s="8" t="str">
        <f>_xlfn.XLOOKUP(tblFinancials[[#This Row],[BusinessUnitKey]],tblBusinessUnits[BusinessUnitKey],tblBusinessUnits[BusinessUnitName],"")</f>
        <v xml:space="preserve">Manufacturing </v>
      </c>
      <c r="P484" s="8" t="str">
        <f>_xlfn.XLOOKUP(tblFinancials[[#This Row],[RegionKey]],tblRegions[RegionKey],tblRegions[RegionName],"")</f>
        <v>South</v>
      </c>
    </row>
    <row r="485" spans="1:16">
      <c r="A485">
        <v>20240201</v>
      </c>
      <c r="B485">
        <v>1</v>
      </c>
      <c r="C485">
        <v>2</v>
      </c>
      <c r="D485">
        <v>3</v>
      </c>
      <c r="E485">
        <v>14</v>
      </c>
      <c r="F485" t="s">
        <v>92</v>
      </c>
      <c r="G485">
        <v>-16551.68</v>
      </c>
      <c r="H485">
        <f>_xlfn.XLOOKUP(tblFinancials[[#This Row],[DateKey]],tblCalendar[DateKey],tblCalendar[FullDate],"")</f>
        <v>45323</v>
      </c>
      <c r="I485">
        <f>_xlfn.XLOOKUP(tblFinancials[[#This Row],[AccountKey]],tblAccounts[AccountKey],tblAccounts[AccountNumber],"")</f>
        <v>5000</v>
      </c>
      <c r="J485" t="str">
        <f>_xlfn.XLOOKUP(tblFinancials[[#This Row],[AccountKey]],tblAccounts[AccountKey],tblAccounts[AccountName],"")</f>
        <v>Cost of Goods Sold</v>
      </c>
      <c r="K485" s="8" t="str">
        <f>_xlfn.XLOOKUP(tblFinancials[[#This Row],[AccountKey]],tblAccounts[AccountKey],tblAccounts[FinancialStatement],"")</f>
        <v>Income Statement</v>
      </c>
      <c r="L485" s="8" t="str">
        <f>_xlfn.XLOOKUP(tblFinancials[[#This Row],[AccountKey]],tblAccounts[AccountKey],tblAccounts[AccountCategory],"")</f>
        <v>Cost of Sales</v>
      </c>
      <c r="M485" s="8" t="str">
        <f>_xlfn.XLOOKUP(tblFinancials[[#This Row],[AccountKey]],tblAccounts[AccountKey],tblAccounts[NormalBalance],"")</f>
        <v>Debit</v>
      </c>
      <c r="N485" s="8" t="str">
        <f>_xlfn.XLOOKUP(tblFinancials[[#This Row],[DepartmentKey]],tblDepartments[DepartmentKey],tblDepartments[DepartmentName],"")</f>
        <v>Executive</v>
      </c>
      <c r="O485" s="8" t="str">
        <f>_xlfn.XLOOKUP(tblFinancials[[#This Row],[BusinessUnitKey]],tblBusinessUnits[BusinessUnitKey],tblBusinessUnits[BusinessUnitName],"")</f>
        <v>Wholesale</v>
      </c>
      <c r="P485" s="8" t="str">
        <f>_xlfn.XLOOKUP(tblFinancials[[#This Row],[RegionKey]],tblRegions[RegionKey],tblRegions[RegionName],"")</f>
        <v>South</v>
      </c>
    </row>
    <row r="486" spans="1:16">
      <c r="A486">
        <v>20240201</v>
      </c>
      <c r="B486">
        <v>5</v>
      </c>
      <c r="C486">
        <v>2</v>
      </c>
      <c r="D486">
        <v>2</v>
      </c>
      <c r="E486">
        <v>14</v>
      </c>
      <c r="F486" t="s">
        <v>92</v>
      </c>
      <c r="G486">
        <v>-14975.19</v>
      </c>
      <c r="H486">
        <f>_xlfn.XLOOKUP(tblFinancials[[#This Row],[DateKey]],tblCalendar[DateKey],tblCalendar[FullDate],"")</f>
        <v>45323</v>
      </c>
      <c r="I486">
        <f>_xlfn.XLOOKUP(tblFinancials[[#This Row],[AccountKey]],tblAccounts[AccountKey],tblAccounts[AccountNumber],"")</f>
        <v>5000</v>
      </c>
      <c r="J486" t="str">
        <f>_xlfn.XLOOKUP(tblFinancials[[#This Row],[AccountKey]],tblAccounts[AccountKey],tblAccounts[AccountName],"")</f>
        <v>Cost of Goods Sold</v>
      </c>
      <c r="K486" s="8" t="str">
        <f>_xlfn.XLOOKUP(tblFinancials[[#This Row],[AccountKey]],tblAccounts[AccountKey],tblAccounts[FinancialStatement],"")</f>
        <v>Income Statement</v>
      </c>
      <c r="L486" s="8" t="str">
        <f>_xlfn.XLOOKUP(tblFinancials[[#This Row],[AccountKey]],tblAccounts[AccountKey],tblAccounts[AccountCategory],"")</f>
        <v>Cost of Sales</v>
      </c>
      <c r="M486" s="8" t="str">
        <f>_xlfn.XLOOKUP(tblFinancials[[#This Row],[AccountKey]],tblAccounts[AccountKey],tblAccounts[NormalBalance],"")</f>
        <v>Debit</v>
      </c>
      <c r="N486" s="8" t="str">
        <f>_xlfn.XLOOKUP(tblFinancials[[#This Row],[DepartmentKey]],tblDepartments[DepartmentKey],tblDepartments[DepartmentName],"")</f>
        <v>Marketing</v>
      </c>
      <c r="O486" s="8" t="str">
        <f>_xlfn.XLOOKUP(tblFinancials[[#This Row],[BusinessUnitKey]],tblBusinessUnits[BusinessUnitKey],tblBusinessUnits[BusinessUnitName],"")</f>
        <v>Wholesale</v>
      </c>
      <c r="P486" s="8" t="str">
        <f>_xlfn.XLOOKUP(tblFinancials[[#This Row],[RegionKey]],tblRegions[RegionKey],tblRegions[RegionName],"")</f>
        <v>Midwest</v>
      </c>
    </row>
    <row r="487" spans="1:16">
      <c r="A487">
        <v>20240201</v>
      </c>
      <c r="B487">
        <v>8</v>
      </c>
      <c r="C487">
        <v>3</v>
      </c>
      <c r="D487">
        <v>4</v>
      </c>
      <c r="E487">
        <v>14</v>
      </c>
      <c r="F487" t="s">
        <v>92</v>
      </c>
      <c r="G487">
        <v>-15493.87</v>
      </c>
      <c r="H487">
        <f>_xlfn.XLOOKUP(tblFinancials[[#This Row],[DateKey]],tblCalendar[DateKey],tblCalendar[FullDate],"")</f>
        <v>45323</v>
      </c>
      <c r="I487">
        <f>_xlfn.XLOOKUP(tblFinancials[[#This Row],[AccountKey]],tblAccounts[AccountKey],tblAccounts[AccountNumber],"")</f>
        <v>5000</v>
      </c>
      <c r="J487" t="str">
        <f>_xlfn.XLOOKUP(tblFinancials[[#This Row],[AccountKey]],tblAccounts[AccountKey],tblAccounts[AccountName],"")</f>
        <v>Cost of Goods Sold</v>
      </c>
      <c r="K487" s="8" t="str">
        <f>_xlfn.XLOOKUP(tblFinancials[[#This Row],[AccountKey]],tblAccounts[AccountKey],tblAccounts[FinancialStatement],"")</f>
        <v>Income Statement</v>
      </c>
      <c r="L487" s="8" t="str">
        <f>_xlfn.XLOOKUP(tblFinancials[[#This Row],[AccountKey]],tblAccounts[AccountKey],tblAccounts[AccountCategory],"")</f>
        <v>Cost of Sales</v>
      </c>
      <c r="M487" s="8" t="str">
        <f>_xlfn.XLOOKUP(tblFinancials[[#This Row],[AccountKey]],tblAccounts[AccountKey],tblAccounts[NormalBalance],"")</f>
        <v>Debit</v>
      </c>
      <c r="N487" s="8" t="str">
        <f>_xlfn.XLOOKUP(tblFinancials[[#This Row],[DepartmentKey]],tblDepartments[DepartmentKey],tblDepartments[DepartmentName],"")</f>
        <v>Customer Service</v>
      </c>
      <c r="O487" s="8" t="str">
        <f>_xlfn.XLOOKUP(tblFinancials[[#This Row],[BusinessUnitKey]],tblBusinessUnits[BusinessUnitKey],tblBusinessUnits[BusinessUnitName],"")</f>
        <v>Retail</v>
      </c>
      <c r="P487" s="8" t="str">
        <f>_xlfn.XLOOKUP(tblFinancials[[#This Row],[RegionKey]],tblRegions[RegionKey],tblRegions[RegionName],"")</f>
        <v>East</v>
      </c>
    </row>
    <row r="488" spans="1:16">
      <c r="A488">
        <v>20240201</v>
      </c>
      <c r="B488">
        <v>4</v>
      </c>
      <c r="C488">
        <v>4</v>
      </c>
      <c r="D488">
        <v>3</v>
      </c>
      <c r="E488">
        <v>14</v>
      </c>
      <c r="F488" t="s">
        <v>92</v>
      </c>
      <c r="G488">
        <v>-15223.89</v>
      </c>
      <c r="H488">
        <f>_xlfn.XLOOKUP(tblFinancials[[#This Row],[DateKey]],tblCalendar[DateKey],tblCalendar[FullDate],"")</f>
        <v>45323</v>
      </c>
      <c r="I488">
        <f>_xlfn.XLOOKUP(tblFinancials[[#This Row],[AccountKey]],tblAccounts[AccountKey],tblAccounts[AccountNumber],"")</f>
        <v>5000</v>
      </c>
      <c r="J488" t="str">
        <f>_xlfn.XLOOKUP(tblFinancials[[#This Row],[AccountKey]],tblAccounts[AccountKey],tblAccounts[AccountName],"")</f>
        <v>Cost of Goods Sold</v>
      </c>
      <c r="K488" s="8" t="str">
        <f>_xlfn.XLOOKUP(tblFinancials[[#This Row],[AccountKey]],tblAccounts[AccountKey],tblAccounts[FinancialStatement],"")</f>
        <v>Income Statement</v>
      </c>
      <c r="L488" s="8" t="str">
        <f>_xlfn.XLOOKUP(tblFinancials[[#This Row],[AccountKey]],tblAccounts[AccountKey],tblAccounts[AccountCategory],"")</f>
        <v>Cost of Sales</v>
      </c>
      <c r="M488" s="8" t="str">
        <f>_xlfn.XLOOKUP(tblFinancials[[#This Row],[AccountKey]],tblAccounts[AccountKey],tblAccounts[NormalBalance],"")</f>
        <v>Debit</v>
      </c>
      <c r="N488" s="8" t="str">
        <f>_xlfn.XLOOKUP(tblFinancials[[#This Row],[DepartmentKey]],tblDepartments[DepartmentKey],tblDepartments[DepartmentName],"")</f>
        <v>Sales</v>
      </c>
      <c r="O488" s="8" t="str">
        <f>_xlfn.XLOOKUP(tblFinancials[[#This Row],[BusinessUnitKey]],tblBusinessUnits[BusinessUnitKey],tblBusinessUnits[BusinessUnitName],"")</f>
        <v>E-Commerce</v>
      </c>
      <c r="P488" s="8" t="str">
        <f>_xlfn.XLOOKUP(tblFinancials[[#This Row],[RegionKey]],tblRegions[RegionKey],tblRegions[RegionName],"")</f>
        <v>South</v>
      </c>
    </row>
    <row r="489" spans="1:16">
      <c r="A489">
        <v>20240201</v>
      </c>
      <c r="B489">
        <v>3</v>
      </c>
      <c r="C489">
        <v>4</v>
      </c>
      <c r="D489">
        <v>1</v>
      </c>
      <c r="E489">
        <v>14</v>
      </c>
      <c r="F489" t="s">
        <v>92</v>
      </c>
      <c r="G489">
        <v>-15016.57</v>
      </c>
      <c r="H489">
        <f>_xlfn.XLOOKUP(tblFinancials[[#This Row],[DateKey]],tblCalendar[DateKey],tblCalendar[FullDate],"")</f>
        <v>45323</v>
      </c>
      <c r="I489">
        <f>_xlfn.XLOOKUP(tblFinancials[[#This Row],[AccountKey]],tblAccounts[AccountKey],tblAccounts[AccountNumber],"")</f>
        <v>5000</v>
      </c>
      <c r="J489" t="str">
        <f>_xlfn.XLOOKUP(tblFinancials[[#This Row],[AccountKey]],tblAccounts[AccountKey],tblAccounts[AccountName],"")</f>
        <v>Cost of Goods Sold</v>
      </c>
      <c r="K489" s="8" t="str">
        <f>_xlfn.XLOOKUP(tblFinancials[[#This Row],[AccountKey]],tblAccounts[AccountKey],tblAccounts[FinancialStatement],"")</f>
        <v>Income Statement</v>
      </c>
      <c r="L489" s="8" t="str">
        <f>_xlfn.XLOOKUP(tblFinancials[[#This Row],[AccountKey]],tblAccounts[AccountKey],tblAccounts[AccountCategory],"")</f>
        <v>Cost of Sales</v>
      </c>
      <c r="M489" s="8" t="str">
        <f>_xlfn.XLOOKUP(tblFinancials[[#This Row],[AccountKey]],tblAccounts[AccountKey],tblAccounts[NormalBalance],"")</f>
        <v>Debit</v>
      </c>
      <c r="N489" s="8" t="str">
        <f>_xlfn.XLOOKUP(tblFinancials[[#This Row],[DepartmentKey]],tblDepartments[DepartmentKey],tblDepartments[DepartmentName],"")</f>
        <v>Human Resources</v>
      </c>
      <c r="O489" s="8" t="str">
        <f>_xlfn.XLOOKUP(tblFinancials[[#This Row],[BusinessUnitKey]],tblBusinessUnits[BusinessUnitKey],tblBusinessUnits[BusinessUnitName],"")</f>
        <v>E-Commerce</v>
      </c>
      <c r="P489" s="8" t="str">
        <f>_xlfn.XLOOKUP(tblFinancials[[#This Row],[RegionKey]],tblRegions[RegionKey],tblRegions[RegionName],"")</f>
        <v>West</v>
      </c>
    </row>
    <row r="490" spans="1:16">
      <c r="A490">
        <v>20240201</v>
      </c>
      <c r="B490">
        <v>4</v>
      </c>
      <c r="C490">
        <v>2</v>
      </c>
      <c r="D490">
        <v>4</v>
      </c>
      <c r="E490">
        <v>14</v>
      </c>
      <c r="F490" t="s">
        <v>92</v>
      </c>
      <c r="G490">
        <v>-15684.18</v>
      </c>
      <c r="H490">
        <f>_xlfn.XLOOKUP(tblFinancials[[#This Row],[DateKey]],tblCalendar[DateKey],tblCalendar[FullDate],"")</f>
        <v>45323</v>
      </c>
      <c r="I490">
        <f>_xlfn.XLOOKUP(tblFinancials[[#This Row],[AccountKey]],tblAccounts[AccountKey],tblAccounts[AccountNumber],"")</f>
        <v>5000</v>
      </c>
      <c r="J490" t="str">
        <f>_xlfn.XLOOKUP(tblFinancials[[#This Row],[AccountKey]],tblAccounts[AccountKey],tblAccounts[AccountName],"")</f>
        <v>Cost of Goods Sold</v>
      </c>
      <c r="K490" s="8" t="str">
        <f>_xlfn.XLOOKUP(tblFinancials[[#This Row],[AccountKey]],tblAccounts[AccountKey],tblAccounts[FinancialStatement],"")</f>
        <v>Income Statement</v>
      </c>
      <c r="L490" s="8" t="str">
        <f>_xlfn.XLOOKUP(tblFinancials[[#This Row],[AccountKey]],tblAccounts[AccountKey],tblAccounts[AccountCategory],"")</f>
        <v>Cost of Sales</v>
      </c>
      <c r="M490" s="8" t="str">
        <f>_xlfn.XLOOKUP(tblFinancials[[#This Row],[AccountKey]],tblAccounts[AccountKey],tblAccounts[NormalBalance],"")</f>
        <v>Debit</v>
      </c>
      <c r="N490" s="8" t="str">
        <f>_xlfn.XLOOKUP(tblFinancials[[#This Row],[DepartmentKey]],tblDepartments[DepartmentKey],tblDepartments[DepartmentName],"")</f>
        <v>Sales</v>
      </c>
      <c r="O490" s="8" t="str">
        <f>_xlfn.XLOOKUP(tblFinancials[[#This Row],[BusinessUnitKey]],tblBusinessUnits[BusinessUnitKey],tblBusinessUnits[BusinessUnitName],"")</f>
        <v>Wholesale</v>
      </c>
      <c r="P490" s="8" t="str">
        <f>_xlfn.XLOOKUP(tblFinancials[[#This Row],[RegionKey]],tblRegions[RegionKey],tblRegions[RegionName],"")</f>
        <v>East</v>
      </c>
    </row>
    <row r="491" spans="1:16">
      <c r="A491">
        <v>20240201</v>
      </c>
      <c r="B491">
        <v>6</v>
      </c>
      <c r="C491">
        <v>3</v>
      </c>
      <c r="D491">
        <v>3</v>
      </c>
      <c r="E491">
        <v>14</v>
      </c>
      <c r="F491" t="s">
        <v>92</v>
      </c>
      <c r="G491">
        <v>-16431.11</v>
      </c>
      <c r="H491">
        <f>_xlfn.XLOOKUP(tblFinancials[[#This Row],[DateKey]],tblCalendar[DateKey],tblCalendar[FullDate],"")</f>
        <v>45323</v>
      </c>
      <c r="I491">
        <f>_xlfn.XLOOKUP(tblFinancials[[#This Row],[AccountKey]],tblAccounts[AccountKey],tblAccounts[AccountNumber],"")</f>
        <v>5000</v>
      </c>
      <c r="J491" t="str">
        <f>_xlfn.XLOOKUP(tblFinancials[[#This Row],[AccountKey]],tblAccounts[AccountKey],tblAccounts[AccountName],"")</f>
        <v>Cost of Goods Sold</v>
      </c>
      <c r="K491" s="8" t="str">
        <f>_xlfn.XLOOKUP(tblFinancials[[#This Row],[AccountKey]],tblAccounts[AccountKey],tblAccounts[FinancialStatement],"")</f>
        <v>Income Statement</v>
      </c>
      <c r="L491" s="8" t="str">
        <f>_xlfn.XLOOKUP(tblFinancials[[#This Row],[AccountKey]],tblAccounts[AccountKey],tblAccounts[AccountCategory],"")</f>
        <v>Cost of Sales</v>
      </c>
      <c r="M491" s="8" t="str">
        <f>_xlfn.XLOOKUP(tblFinancials[[#This Row],[AccountKey]],tblAccounts[AccountKey],tblAccounts[NormalBalance],"")</f>
        <v>Debit</v>
      </c>
      <c r="N491" s="8" t="str">
        <f>_xlfn.XLOOKUP(tblFinancials[[#This Row],[DepartmentKey]],tblDepartments[DepartmentKey],tblDepartments[DepartmentName],"")</f>
        <v>Operations</v>
      </c>
      <c r="O491" s="8" t="str">
        <f>_xlfn.XLOOKUP(tblFinancials[[#This Row],[BusinessUnitKey]],tblBusinessUnits[BusinessUnitKey],tblBusinessUnits[BusinessUnitName],"")</f>
        <v>Retail</v>
      </c>
      <c r="P491" s="8" t="str">
        <f>_xlfn.XLOOKUP(tblFinancials[[#This Row],[RegionKey]],tblRegions[RegionKey],tblRegions[RegionName],"")</f>
        <v>South</v>
      </c>
    </row>
    <row r="492" spans="1:16">
      <c r="A492">
        <v>20240201</v>
      </c>
      <c r="B492">
        <v>3</v>
      </c>
      <c r="C492">
        <v>2</v>
      </c>
      <c r="D492">
        <v>4</v>
      </c>
      <c r="E492">
        <v>14</v>
      </c>
      <c r="F492" t="s">
        <v>92</v>
      </c>
      <c r="G492">
        <v>-16314.17</v>
      </c>
      <c r="H492">
        <f>_xlfn.XLOOKUP(tblFinancials[[#This Row],[DateKey]],tblCalendar[DateKey],tblCalendar[FullDate],"")</f>
        <v>45323</v>
      </c>
      <c r="I492">
        <f>_xlfn.XLOOKUP(tblFinancials[[#This Row],[AccountKey]],tblAccounts[AccountKey],tblAccounts[AccountNumber],"")</f>
        <v>5000</v>
      </c>
      <c r="J492" t="str">
        <f>_xlfn.XLOOKUP(tblFinancials[[#This Row],[AccountKey]],tblAccounts[AccountKey],tblAccounts[AccountName],"")</f>
        <v>Cost of Goods Sold</v>
      </c>
      <c r="K492" s="8" t="str">
        <f>_xlfn.XLOOKUP(tblFinancials[[#This Row],[AccountKey]],tblAccounts[AccountKey],tblAccounts[FinancialStatement],"")</f>
        <v>Income Statement</v>
      </c>
      <c r="L492" s="8" t="str">
        <f>_xlfn.XLOOKUP(tblFinancials[[#This Row],[AccountKey]],tblAccounts[AccountKey],tblAccounts[AccountCategory],"")</f>
        <v>Cost of Sales</v>
      </c>
      <c r="M492" s="8" t="str">
        <f>_xlfn.XLOOKUP(tblFinancials[[#This Row],[AccountKey]],tblAccounts[AccountKey],tblAccounts[NormalBalance],"")</f>
        <v>Debit</v>
      </c>
      <c r="N492" s="8" t="str">
        <f>_xlfn.XLOOKUP(tblFinancials[[#This Row],[DepartmentKey]],tblDepartments[DepartmentKey],tblDepartments[DepartmentName],"")</f>
        <v>Human Resources</v>
      </c>
      <c r="O492" s="8" t="str">
        <f>_xlfn.XLOOKUP(tblFinancials[[#This Row],[BusinessUnitKey]],tblBusinessUnits[BusinessUnitKey],tblBusinessUnits[BusinessUnitName],"")</f>
        <v>Wholesale</v>
      </c>
      <c r="P492" s="8" t="str">
        <f>_xlfn.XLOOKUP(tblFinancials[[#This Row],[RegionKey]],tblRegions[RegionKey],tblRegions[RegionName],"")</f>
        <v>East</v>
      </c>
    </row>
    <row r="493" spans="1:16">
      <c r="A493">
        <v>20240201</v>
      </c>
      <c r="B493">
        <v>4</v>
      </c>
      <c r="C493">
        <v>4</v>
      </c>
      <c r="D493">
        <v>3</v>
      </c>
      <c r="E493">
        <v>14</v>
      </c>
      <c r="F493" t="s">
        <v>92</v>
      </c>
      <c r="G493">
        <v>-12295.56</v>
      </c>
      <c r="H493">
        <f>_xlfn.XLOOKUP(tblFinancials[[#This Row],[DateKey]],tblCalendar[DateKey],tblCalendar[FullDate],"")</f>
        <v>45323</v>
      </c>
      <c r="I493">
        <f>_xlfn.XLOOKUP(tblFinancials[[#This Row],[AccountKey]],tblAccounts[AccountKey],tblAccounts[AccountNumber],"")</f>
        <v>5000</v>
      </c>
      <c r="J493" t="str">
        <f>_xlfn.XLOOKUP(tblFinancials[[#This Row],[AccountKey]],tblAccounts[AccountKey],tblAccounts[AccountName],"")</f>
        <v>Cost of Goods Sold</v>
      </c>
      <c r="K493" s="8" t="str">
        <f>_xlfn.XLOOKUP(tblFinancials[[#This Row],[AccountKey]],tblAccounts[AccountKey],tblAccounts[FinancialStatement],"")</f>
        <v>Income Statement</v>
      </c>
      <c r="L493" s="8" t="str">
        <f>_xlfn.XLOOKUP(tblFinancials[[#This Row],[AccountKey]],tblAccounts[AccountKey],tblAccounts[AccountCategory],"")</f>
        <v>Cost of Sales</v>
      </c>
      <c r="M493" s="8" t="str">
        <f>_xlfn.XLOOKUP(tblFinancials[[#This Row],[AccountKey]],tblAccounts[AccountKey],tblAccounts[NormalBalance],"")</f>
        <v>Debit</v>
      </c>
      <c r="N493" s="8" t="str">
        <f>_xlfn.XLOOKUP(tblFinancials[[#This Row],[DepartmentKey]],tblDepartments[DepartmentKey],tblDepartments[DepartmentName],"")</f>
        <v>Sales</v>
      </c>
      <c r="O493" s="8" t="str">
        <f>_xlfn.XLOOKUP(tblFinancials[[#This Row],[BusinessUnitKey]],tblBusinessUnits[BusinessUnitKey],tblBusinessUnits[BusinessUnitName],"")</f>
        <v>E-Commerce</v>
      </c>
      <c r="P493" s="8" t="str">
        <f>_xlfn.XLOOKUP(tblFinancials[[#This Row],[RegionKey]],tblRegions[RegionKey],tblRegions[RegionName],"")</f>
        <v>South</v>
      </c>
    </row>
    <row r="494" spans="1:16">
      <c r="A494">
        <v>20240201</v>
      </c>
      <c r="B494">
        <v>5</v>
      </c>
      <c r="C494">
        <v>2</v>
      </c>
      <c r="D494">
        <v>1</v>
      </c>
      <c r="E494">
        <v>24</v>
      </c>
      <c r="F494" t="s">
        <v>92</v>
      </c>
      <c r="G494">
        <v>-5624.29</v>
      </c>
      <c r="H494">
        <f>_xlfn.XLOOKUP(tblFinancials[[#This Row],[DateKey]],tblCalendar[DateKey],tblCalendar[FullDate],"")</f>
        <v>45323</v>
      </c>
      <c r="I494">
        <f>_xlfn.XLOOKUP(tblFinancials[[#This Row],[AccountKey]],tblAccounts[AccountKey],tblAccounts[AccountNumber],"")</f>
        <v>6900</v>
      </c>
      <c r="J494" t="str">
        <f>_xlfn.XLOOKUP(tblFinancials[[#This Row],[AccountKey]],tblAccounts[AccountKey],tblAccounts[AccountName],"")</f>
        <v>Professional Services</v>
      </c>
      <c r="K494" s="8" t="str">
        <f>_xlfn.XLOOKUP(tblFinancials[[#This Row],[AccountKey]],tblAccounts[AccountKey],tblAccounts[FinancialStatement],"")</f>
        <v>Income Statement</v>
      </c>
      <c r="L494" s="8" t="str">
        <f>_xlfn.XLOOKUP(tblFinancials[[#This Row],[AccountKey]],tblAccounts[AccountKey],tblAccounts[AccountCategory],"")</f>
        <v>Operating Expense</v>
      </c>
      <c r="M494" s="8" t="str">
        <f>_xlfn.XLOOKUP(tblFinancials[[#This Row],[AccountKey]],tblAccounts[AccountKey],tblAccounts[NormalBalance],"")</f>
        <v>Debit</v>
      </c>
      <c r="N494" s="8" t="str">
        <f>_xlfn.XLOOKUP(tblFinancials[[#This Row],[DepartmentKey]],tblDepartments[DepartmentKey],tblDepartments[DepartmentName],"")</f>
        <v>Marketing</v>
      </c>
      <c r="O494" s="8" t="str">
        <f>_xlfn.XLOOKUP(tblFinancials[[#This Row],[BusinessUnitKey]],tblBusinessUnits[BusinessUnitKey],tblBusinessUnits[BusinessUnitName],"")</f>
        <v>Wholesale</v>
      </c>
      <c r="P494" s="8" t="str">
        <f>_xlfn.XLOOKUP(tblFinancials[[#This Row],[RegionKey]],tblRegions[RegionKey],tblRegions[RegionName],"")</f>
        <v>West</v>
      </c>
    </row>
    <row r="495" spans="1:16">
      <c r="A495">
        <v>20240201</v>
      </c>
      <c r="B495">
        <v>7</v>
      </c>
      <c r="C495">
        <v>3</v>
      </c>
      <c r="D495">
        <v>3</v>
      </c>
      <c r="E495">
        <v>21</v>
      </c>
      <c r="F495" t="s">
        <v>92</v>
      </c>
      <c r="G495">
        <v>-5350.35</v>
      </c>
      <c r="H495">
        <f>_xlfn.XLOOKUP(tblFinancials[[#This Row],[DateKey]],tblCalendar[DateKey],tblCalendar[FullDate],"")</f>
        <v>45323</v>
      </c>
      <c r="I495">
        <f>_xlfn.XLOOKUP(tblFinancials[[#This Row],[AccountKey]],tblAccounts[AccountKey],tblAccounts[AccountNumber],"")</f>
        <v>6600</v>
      </c>
      <c r="J495" t="str">
        <f>_xlfn.XLOOKUP(tblFinancials[[#This Row],[AccountKey]],tblAccounts[AccountKey],tblAccounts[AccountName],"")</f>
        <v>Utilities Expense</v>
      </c>
      <c r="K495" s="8" t="str">
        <f>_xlfn.XLOOKUP(tblFinancials[[#This Row],[AccountKey]],tblAccounts[AccountKey],tblAccounts[FinancialStatement],"")</f>
        <v>Income Statement</v>
      </c>
      <c r="L495" s="8" t="str">
        <f>_xlfn.XLOOKUP(tblFinancials[[#This Row],[AccountKey]],tblAccounts[AccountKey],tblAccounts[AccountCategory],"")</f>
        <v>Operating Expense</v>
      </c>
      <c r="M495" s="8" t="str">
        <f>_xlfn.XLOOKUP(tblFinancials[[#This Row],[AccountKey]],tblAccounts[AccountKey],tblAccounts[NormalBalance],"")</f>
        <v>Debit</v>
      </c>
      <c r="N495" s="8" t="str">
        <f>_xlfn.XLOOKUP(tblFinancials[[#This Row],[DepartmentKey]],tblDepartments[DepartmentKey],tblDepartments[DepartmentName],"")</f>
        <v>Information Technology</v>
      </c>
      <c r="O495" s="8" t="str">
        <f>_xlfn.XLOOKUP(tblFinancials[[#This Row],[BusinessUnitKey]],tblBusinessUnits[BusinessUnitKey],tblBusinessUnits[BusinessUnitName],"")</f>
        <v>Retail</v>
      </c>
      <c r="P495" s="8" t="str">
        <f>_xlfn.XLOOKUP(tblFinancials[[#This Row],[RegionKey]],tblRegions[RegionKey],tblRegions[RegionName],"")</f>
        <v>South</v>
      </c>
    </row>
    <row r="496" spans="1:16">
      <c r="A496">
        <v>20240201</v>
      </c>
      <c r="B496">
        <v>6</v>
      </c>
      <c r="C496">
        <v>1</v>
      </c>
      <c r="D496">
        <v>2</v>
      </c>
      <c r="E496">
        <v>15</v>
      </c>
      <c r="F496" t="s">
        <v>92</v>
      </c>
      <c r="G496">
        <v>-5785.53</v>
      </c>
      <c r="H496">
        <f>_xlfn.XLOOKUP(tblFinancials[[#This Row],[DateKey]],tblCalendar[DateKey],tblCalendar[FullDate],"")</f>
        <v>45323</v>
      </c>
      <c r="I496">
        <f>_xlfn.XLOOKUP(tblFinancials[[#This Row],[AccountKey]],tblAccounts[AccountKey],tblAccounts[AccountNumber],"")</f>
        <v>6100</v>
      </c>
      <c r="J496" t="str">
        <f>_xlfn.XLOOKUP(tblFinancials[[#This Row],[AccountKey]],tblAccounts[AccountKey],tblAccounts[AccountName],"")</f>
        <v>Salaries Expense</v>
      </c>
      <c r="K496" s="8" t="str">
        <f>_xlfn.XLOOKUP(tblFinancials[[#This Row],[AccountKey]],tblAccounts[AccountKey],tblAccounts[FinancialStatement],"")</f>
        <v>Income Statement</v>
      </c>
      <c r="L496" s="8" t="str">
        <f>_xlfn.XLOOKUP(tblFinancials[[#This Row],[AccountKey]],tblAccounts[AccountKey],tblAccounts[AccountCategory],"")</f>
        <v>Operating Expense</v>
      </c>
      <c r="M496" s="8" t="str">
        <f>_xlfn.XLOOKUP(tblFinancials[[#This Row],[AccountKey]],tblAccounts[AccountKey],tblAccounts[NormalBalance],"")</f>
        <v>Debit</v>
      </c>
      <c r="N496" s="8" t="str">
        <f>_xlfn.XLOOKUP(tblFinancials[[#This Row],[DepartmentKey]],tblDepartments[DepartmentKey],tblDepartments[DepartmentName],"")</f>
        <v>Operations</v>
      </c>
      <c r="O496" s="8" t="str">
        <f>_xlfn.XLOOKUP(tblFinancials[[#This Row],[BusinessUnitKey]],tblBusinessUnits[BusinessUnitKey],tblBusinessUnits[BusinessUnitName],"")</f>
        <v xml:space="preserve">Manufacturing </v>
      </c>
      <c r="P496" s="8" t="str">
        <f>_xlfn.XLOOKUP(tblFinancials[[#This Row],[RegionKey]],tblRegions[RegionKey],tblRegions[RegionName],"")</f>
        <v>Midwest</v>
      </c>
    </row>
    <row r="497" spans="1:16">
      <c r="A497">
        <v>20240201</v>
      </c>
      <c r="B497">
        <v>1</v>
      </c>
      <c r="C497">
        <v>3</v>
      </c>
      <c r="D497">
        <v>2</v>
      </c>
      <c r="E497">
        <v>16</v>
      </c>
      <c r="F497" t="s">
        <v>92</v>
      </c>
      <c r="G497">
        <v>-6832.67</v>
      </c>
      <c r="H497">
        <f>_xlfn.XLOOKUP(tblFinancials[[#This Row],[DateKey]],tblCalendar[DateKey],tblCalendar[FullDate],"")</f>
        <v>45323</v>
      </c>
      <c r="I497">
        <f>_xlfn.XLOOKUP(tblFinancials[[#This Row],[AccountKey]],tblAccounts[AccountKey],tblAccounts[AccountNumber],"")</f>
        <v>6110</v>
      </c>
      <c r="J497" t="str">
        <f>_xlfn.XLOOKUP(tblFinancials[[#This Row],[AccountKey]],tblAccounts[AccountKey],tblAccounts[AccountName],"")</f>
        <v>Payroll Taxes</v>
      </c>
      <c r="K497" s="8" t="str">
        <f>_xlfn.XLOOKUP(tblFinancials[[#This Row],[AccountKey]],tblAccounts[AccountKey],tblAccounts[FinancialStatement],"")</f>
        <v>Income Statement</v>
      </c>
      <c r="L497" s="8" t="str">
        <f>_xlfn.XLOOKUP(tblFinancials[[#This Row],[AccountKey]],tblAccounts[AccountKey],tblAccounts[AccountCategory],"")</f>
        <v>Operating Expense</v>
      </c>
      <c r="M497" s="8" t="str">
        <f>_xlfn.XLOOKUP(tblFinancials[[#This Row],[AccountKey]],tblAccounts[AccountKey],tblAccounts[NormalBalance],"")</f>
        <v>Debit</v>
      </c>
      <c r="N497" s="8" t="str">
        <f>_xlfn.XLOOKUP(tblFinancials[[#This Row],[DepartmentKey]],tblDepartments[DepartmentKey],tblDepartments[DepartmentName],"")</f>
        <v>Executive</v>
      </c>
      <c r="O497" s="8" t="str">
        <f>_xlfn.XLOOKUP(tblFinancials[[#This Row],[BusinessUnitKey]],tblBusinessUnits[BusinessUnitKey],tblBusinessUnits[BusinessUnitName],"")</f>
        <v>Retail</v>
      </c>
      <c r="P497" s="8" t="str">
        <f>_xlfn.XLOOKUP(tblFinancials[[#This Row],[RegionKey]],tblRegions[RegionKey],tblRegions[RegionName],"")</f>
        <v>Midwest</v>
      </c>
    </row>
    <row r="498" spans="1:16">
      <c r="A498">
        <v>20240201</v>
      </c>
      <c r="B498">
        <v>1</v>
      </c>
      <c r="C498">
        <v>1</v>
      </c>
      <c r="D498">
        <v>3</v>
      </c>
      <c r="E498">
        <v>25</v>
      </c>
      <c r="F498" t="s">
        <v>92</v>
      </c>
      <c r="G498">
        <v>-6332.68</v>
      </c>
      <c r="H498">
        <f>_xlfn.XLOOKUP(tblFinancials[[#This Row],[DateKey]],tblCalendar[DateKey],tblCalendar[FullDate],"")</f>
        <v>45323</v>
      </c>
      <c r="I498">
        <f>_xlfn.XLOOKUP(tblFinancials[[#This Row],[AccountKey]],tblAccounts[AccountKey],tblAccounts[AccountNumber],"")</f>
        <v>8200</v>
      </c>
      <c r="J498" t="str">
        <f>_xlfn.XLOOKUP(tblFinancials[[#This Row],[AccountKey]],tblAccounts[AccountKey],tblAccounts[AccountName],"")</f>
        <v>Income Tax Expense</v>
      </c>
      <c r="K498" s="8" t="str">
        <f>_xlfn.XLOOKUP(tblFinancials[[#This Row],[AccountKey]],tblAccounts[AccountKey],tblAccounts[FinancialStatement],"")</f>
        <v>Income Statement</v>
      </c>
      <c r="L498" s="8" t="str">
        <f>_xlfn.XLOOKUP(tblFinancials[[#This Row],[AccountKey]],tblAccounts[AccountKey],tblAccounts[AccountCategory],"")</f>
        <v>Tax Expense</v>
      </c>
      <c r="M498" s="8" t="str">
        <f>_xlfn.XLOOKUP(tblFinancials[[#This Row],[AccountKey]],tblAccounts[AccountKey],tblAccounts[NormalBalance],"")</f>
        <v>Debit</v>
      </c>
      <c r="N498" s="8" t="str">
        <f>_xlfn.XLOOKUP(tblFinancials[[#This Row],[DepartmentKey]],tblDepartments[DepartmentKey],tblDepartments[DepartmentName],"")</f>
        <v>Executive</v>
      </c>
      <c r="O498" s="8" t="str">
        <f>_xlfn.XLOOKUP(tblFinancials[[#This Row],[BusinessUnitKey]],tblBusinessUnits[BusinessUnitKey],tblBusinessUnits[BusinessUnitName],"")</f>
        <v xml:space="preserve">Manufacturing </v>
      </c>
      <c r="P498" s="8" t="str">
        <f>_xlfn.XLOOKUP(tblFinancials[[#This Row],[RegionKey]],tblRegions[RegionKey],tblRegions[RegionName],"")</f>
        <v>South</v>
      </c>
    </row>
    <row r="499" spans="1:16">
      <c r="A499">
        <v>20240201</v>
      </c>
      <c r="B499">
        <v>8</v>
      </c>
      <c r="C499">
        <v>1</v>
      </c>
      <c r="D499">
        <v>3</v>
      </c>
      <c r="E499">
        <v>19</v>
      </c>
      <c r="F499" t="s">
        <v>92</v>
      </c>
      <c r="G499">
        <v>-6567.7</v>
      </c>
      <c r="H499">
        <f>_xlfn.XLOOKUP(tblFinancials[[#This Row],[DateKey]],tblCalendar[DateKey],tblCalendar[FullDate],"")</f>
        <v>45323</v>
      </c>
      <c r="I499">
        <f>_xlfn.XLOOKUP(tblFinancials[[#This Row],[AccountKey]],tblAccounts[AccountKey],tblAccounts[AccountNumber],"")</f>
        <v>6300</v>
      </c>
      <c r="J499" t="str">
        <f>_xlfn.XLOOKUP(tblFinancials[[#This Row],[AccountKey]],tblAccounts[AccountKey],tblAccounts[AccountName],"")</f>
        <v>Software Expense</v>
      </c>
      <c r="K499" s="8" t="str">
        <f>_xlfn.XLOOKUP(tblFinancials[[#This Row],[AccountKey]],tblAccounts[AccountKey],tblAccounts[FinancialStatement],"")</f>
        <v>Income Statement</v>
      </c>
      <c r="L499" s="8" t="str">
        <f>_xlfn.XLOOKUP(tblFinancials[[#This Row],[AccountKey]],tblAccounts[AccountKey],tblAccounts[AccountCategory],"")</f>
        <v>Operating Expense</v>
      </c>
      <c r="M499" s="8" t="str">
        <f>_xlfn.XLOOKUP(tblFinancials[[#This Row],[AccountKey]],tblAccounts[AccountKey],tblAccounts[NormalBalance],"")</f>
        <v>Debit</v>
      </c>
      <c r="N499" s="8" t="str">
        <f>_xlfn.XLOOKUP(tblFinancials[[#This Row],[DepartmentKey]],tblDepartments[DepartmentKey],tblDepartments[DepartmentName],"")</f>
        <v>Customer Service</v>
      </c>
      <c r="O499" s="8" t="str">
        <f>_xlfn.XLOOKUP(tblFinancials[[#This Row],[BusinessUnitKey]],tblBusinessUnits[BusinessUnitKey],tblBusinessUnits[BusinessUnitName],"")</f>
        <v xml:space="preserve">Manufacturing </v>
      </c>
      <c r="P499" s="8" t="str">
        <f>_xlfn.XLOOKUP(tblFinancials[[#This Row],[RegionKey]],tblRegions[RegionKey],tblRegions[RegionName],"")</f>
        <v>South</v>
      </c>
    </row>
    <row r="500" spans="1:16">
      <c r="A500">
        <v>20240201</v>
      </c>
      <c r="B500">
        <v>8</v>
      </c>
      <c r="C500">
        <v>4</v>
      </c>
      <c r="D500">
        <v>2</v>
      </c>
      <c r="E500">
        <v>23</v>
      </c>
      <c r="F500" t="s">
        <v>92</v>
      </c>
      <c r="G500">
        <v>-5460.09</v>
      </c>
      <c r="H500">
        <f>_xlfn.XLOOKUP(tblFinancials[[#This Row],[DateKey]],tblCalendar[DateKey],tblCalendar[FullDate],"")</f>
        <v>45323</v>
      </c>
      <c r="I500">
        <f>_xlfn.XLOOKUP(tblFinancials[[#This Row],[AccountKey]],tblAccounts[AccountKey],tblAccounts[AccountNumber],"")</f>
        <v>6800</v>
      </c>
      <c r="J500" t="str">
        <f>_xlfn.XLOOKUP(tblFinancials[[#This Row],[AccountKey]],tblAccounts[AccountKey],tblAccounts[AccountName],"")</f>
        <v>Travel Expense</v>
      </c>
      <c r="K500" s="8" t="str">
        <f>_xlfn.XLOOKUP(tblFinancials[[#This Row],[AccountKey]],tblAccounts[AccountKey],tblAccounts[FinancialStatement],"")</f>
        <v>Income Statement</v>
      </c>
      <c r="L500" s="8" t="str">
        <f>_xlfn.XLOOKUP(tblFinancials[[#This Row],[AccountKey]],tblAccounts[AccountKey],tblAccounts[AccountCategory],"")</f>
        <v>Operating Expense</v>
      </c>
      <c r="M500" s="8" t="str">
        <f>_xlfn.XLOOKUP(tblFinancials[[#This Row],[AccountKey]],tblAccounts[AccountKey],tblAccounts[NormalBalance],"")</f>
        <v>Debit</v>
      </c>
      <c r="N500" s="8" t="str">
        <f>_xlfn.XLOOKUP(tblFinancials[[#This Row],[DepartmentKey]],tblDepartments[DepartmentKey],tblDepartments[DepartmentName],"")</f>
        <v>Customer Service</v>
      </c>
      <c r="O500" s="8" t="str">
        <f>_xlfn.XLOOKUP(tblFinancials[[#This Row],[BusinessUnitKey]],tblBusinessUnits[BusinessUnitKey],tblBusinessUnits[BusinessUnitName],"")</f>
        <v>E-Commerce</v>
      </c>
      <c r="P500" s="8" t="str">
        <f>_xlfn.XLOOKUP(tblFinancials[[#This Row],[RegionKey]],tblRegions[RegionKey],tblRegions[RegionName],"")</f>
        <v>Midwest</v>
      </c>
    </row>
    <row r="501" spans="1:16">
      <c r="A501">
        <v>20240201</v>
      </c>
      <c r="B501">
        <v>1</v>
      </c>
      <c r="C501">
        <v>3</v>
      </c>
      <c r="D501">
        <v>1</v>
      </c>
      <c r="E501">
        <v>19</v>
      </c>
      <c r="F501" t="s">
        <v>92</v>
      </c>
      <c r="G501">
        <v>-5958.12</v>
      </c>
      <c r="H501">
        <f>_xlfn.XLOOKUP(tblFinancials[[#This Row],[DateKey]],tblCalendar[DateKey],tblCalendar[FullDate],"")</f>
        <v>45323</v>
      </c>
      <c r="I501">
        <f>_xlfn.XLOOKUP(tblFinancials[[#This Row],[AccountKey]],tblAccounts[AccountKey],tblAccounts[AccountNumber],"")</f>
        <v>6300</v>
      </c>
      <c r="J501" t="str">
        <f>_xlfn.XLOOKUP(tblFinancials[[#This Row],[AccountKey]],tblAccounts[AccountKey],tblAccounts[AccountName],"")</f>
        <v>Software Expense</v>
      </c>
      <c r="K501" s="8" t="str">
        <f>_xlfn.XLOOKUP(tblFinancials[[#This Row],[AccountKey]],tblAccounts[AccountKey],tblAccounts[FinancialStatement],"")</f>
        <v>Income Statement</v>
      </c>
      <c r="L501" s="8" t="str">
        <f>_xlfn.XLOOKUP(tblFinancials[[#This Row],[AccountKey]],tblAccounts[AccountKey],tblAccounts[AccountCategory],"")</f>
        <v>Operating Expense</v>
      </c>
      <c r="M501" s="8" t="str">
        <f>_xlfn.XLOOKUP(tblFinancials[[#This Row],[AccountKey]],tblAccounts[AccountKey],tblAccounts[NormalBalance],"")</f>
        <v>Debit</v>
      </c>
      <c r="N501" s="8" t="str">
        <f>_xlfn.XLOOKUP(tblFinancials[[#This Row],[DepartmentKey]],tblDepartments[DepartmentKey],tblDepartments[DepartmentName],"")</f>
        <v>Executive</v>
      </c>
      <c r="O501" s="8" t="str">
        <f>_xlfn.XLOOKUP(tblFinancials[[#This Row],[BusinessUnitKey]],tblBusinessUnits[BusinessUnitKey],tblBusinessUnits[BusinessUnitName],"")</f>
        <v>Retail</v>
      </c>
      <c r="P501" s="8" t="str">
        <f>_xlfn.XLOOKUP(tblFinancials[[#This Row],[RegionKey]],tblRegions[RegionKey],tblRegions[RegionName],"")</f>
        <v>West</v>
      </c>
    </row>
    <row r="502" spans="1:16">
      <c r="A502">
        <v>20240201</v>
      </c>
      <c r="B502">
        <v>8</v>
      </c>
      <c r="C502">
        <v>4</v>
      </c>
      <c r="D502">
        <v>2</v>
      </c>
      <c r="E502">
        <v>24</v>
      </c>
      <c r="F502" t="s">
        <v>92</v>
      </c>
      <c r="G502">
        <v>-6468.05</v>
      </c>
      <c r="H502">
        <f>_xlfn.XLOOKUP(tblFinancials[[#This Row],[DateKey]],tblCalendar[DateKey],tblCalendar[FullDate],"")</f>
        <v>45323</v>
      </c>
      <c r="I502">
        <f>_xlfn.XLOOKUP(tblFinancials[[#This Row],[AccountKey]],tblAccounts[AccountKey],tblAccounts[AccountNumber],"")</f>
        <v>6900</v>
      </c>
      <c r="J502" t="str">
        <f>_xlfn.XLOOKUP(tblFinancials[[#This Row],[AccountKey]],tblAccounts[AccountKey],tblAccounts[AccountName],"")</f>
        <v>Professional Services</v>
      </c>
      <c r="K502" s="8" t="str">
        <f>_xlfn.XLOOKUP(tblFinancials[[#This Row],[AccountKey]],tblAccounts[AccountKey],tblAccounts[FinancialStatement],"")</f>
        <v>Income Statement</v>
      </c>
      <c r="L502" s="8" t="str">
        <f>_xlfn.XLOOKUP(tblFinancials[[#This Row],[AccountKey]],tblAccounts[AccountKey],tblAccounts[AccountCategory],"")</f>
        <v>Operating Expense</v>
      </c>
      <c r="M502" s="8" t="str">
        <f>_xlfn.XLOOKUP(tblFinancials[[#This Row],[AccountKey]],tblAccounts[AccountKey],tblAccounts[NormalBalance],"")</f>
        <v>Debit</v>
      </c>
      <c r="N502" s="8" t="str">
        <f>_xlfn.XLOOKUP(tblFinancials[[#This Row],[DepartmentKey]],tblDepartments[DepartmentKey],tblDepartments[DepartmentName],"")</f>
        <v>Customer Service</v>
      </c>
      <c r="O502" s="8" t="str">
        <f>_xlfn.XLOOKUP(tblFinancials[[#This Row],[BusinessUnitKey]],tblBusinessUnits[BusinessUnitKey],tblBusinessUnits[BusinessUnitName],"")</f>
        <v>E-Commerce</v>
      </c>
      <c r="P502" s="8" t="str">
        <f>_xlfn.XLOOKUP(tblFinancials[[#This Row],[RegionKey]],tblRegions[RegionKey],tblRegions[RegionName],"")</f>
        <v>Midwest</v>
      </c>
    </row>
    <row r="503" spans="1:16">
      <c r="A503">
        <v>20240201</v>
      </c>
      <c r="B503">
        <v>3</v>
      </c>
      <c r="C503">
        <v>3</v>
      </c>
      <c r="D503">
        <v>4</v>
      </c>
      <c r="E503">
        <v>24</v>
      </c>
      <c r="F503" t="s">
        <v>92</v>
      </c>
      <c r="G503">
        <v>-6658.76</v>
      </c>
      <c r="H503">
        <f>_xlfn.XLOOKUP(tblFinancials[[#This Row],[DateKey]],tblCalendar[DateKey],tblCalendar[FullDate],"")</f>
        <v>45323</v>
      </c>
      <c r="I503">
        <f>_xlfn.XLOOKUP(tblFinancials[[#This Row],[AccountKey]],tblAccounts[AccountKey],tblAccounts[AccountNumber],"")</f>
        <v>6900</v>
      </c>
      <c r="J503" t="str">
        <f>_xlfn.XLOOKUP(tblFinancials[[#This Row],[AccountKey]],tblAccounts[AccountKey],tblAccounts[AccountName],"")</f>
        <v>Professional Services</v>
      </c>
      <c r="K503" s="8" t="str">
        <f>_xlfn.XLOOKUP(tblFinancials[[#This Row],[AccountKey]],tblAccounts[AccountKey],tblAccounts[FinancialStatement],"")</f>
        <v>Income Statement</v>
      </c>
      <c r="L503" s="8" t="str">
        <f>_xlfn.XLOOKUP(tblFinancials[[#This Row],[AccountKey]],tblAccounts[AccountKey],tblAccounts[AccountCategory],"")</f>
        <v>Operating Expense</v>
      </c>
      <c r="M503" s="8" t="str">
        <f>_xlfn.XLOOKUP(tblFinancials[[#This Row],[AccountKey]],tblAccounts[AccountKey],tblAccounts[NormalBalance],"")</f>
        <v>Debit</v>
      </c>
      <c r="N503" s="8" t="str">
        <f>_xlfn.XLOOKUP(tblFinancials[[#This Row],[DepartmentKey]],tblDepartments[DepartmentKey],tblDepartments[DepartmentName],"")</f>
        <v>Human Resources</v>
      </c>
      <c r="O503" s="8" t="str">
        <f>_xlfn.XLOOKUP(tblFinancials[[#This Row],[BusinessUnitKey]],tblBusinessUnits[BusinessUnitKey],tblBusinessUnits[BusinessUnitName],"")</f>
        <v>Retail</v>
      </c>
      <c r="P503" s="8" t="str">
        <f>_xlfn.XLOOKUP(tblFinancials[[#This Row],[RegionKey]],tblRegions[RegionKey],tblRegions[RegionName],"")</f>
        <v>East</v>
      </c>
    </row>
    <row r="504" spans="1:16">
      <c r="A504">
        <v>20240201</v>
      </c>
      <c r="B504">
        <v>5</v>
      </c>
      <c r="C504">
        <v>2</v>
      </c>
      <c r="D504">
        <v>3</v>
      </c>
      <c r="E504">
        <v>24</v>
      </c>
      <c r="F504" t="s">
        <v>92</v>
      </c>
      <c r="G504">
        <v>-6269.34</v>
      </c>
      <c r="H504">
        <f>_xlfn.XLOOKUP(tblFinancials[[#This Row],[DateKey]],tblCalendar[DateKey],tblCalendar[FullDate],"")</f>
        <v>45323</v>
      </c>
      <c r="I504">
        <f>_xlfn.XLOOKUP(tblFinancials[[#This Row],[AccountKey]],tblAccounts[AccountKey],tblAccounts[AccountNumber],"")</f>
        <v>6900</v>
      </c>
      <c r="J504" t="str">
        <f>_xlfn.XLOOKUP(tblFinancials[[#This Row],[AccountKey]],tblAccounts[AccountKey],tblAccounts[AccountName],"")</f>
        <v>Professional Services</v>
      </c>
      <c r="K504" s="8" t="str">
        <f>_xlfn.XLOOKUP(tblFinancials[[#This Row],[AccountKey]],tblAccounts[AccountKey],tblAccounts[FinancialStatement],"")</f>
        <v>Income Statement</v>
      </c>
      <c r="L504" s="8" t="str">
        <f>_xlfn.XLOOKUP(tblFinancials[[#This Row],[AccountKey]],tblAccounts[AccountKey],tblAccounts[AccountCategory],"")</f>
        <v>Operating Expense</v>
      </c>
      <c r="M504" s="8" t="str">
        <f>_xlfn.XLOOKUP(tblFinancials[[#This Row],[AccountKey]],tblAccounts[AccountKey],tblAccounts[NormalBalance],"")</f>
        <v>Debit</v>
      </c>
      <c r="N504" s="8" t="str">
        <f>_xlfn.XLOOKUP(tblFinancials[[#This Row],[DepartmentKey]],tblDepartments[DepartmentKey],tblDepartments[DepartmentName],"")</f>
        <v>Marketing</v>
      </c>
      <c r="O504" s="8" t="str">
        <f>_xlfn.XLOOKUP(tblFinancials[[#This Row],[BusinessUnitKey]],tblBusinessUnits[BusinessUnitKey],tblBusinessUnits[BusinessUnitName],"")</f>
        <v>Wholesale</v>
      </c>
      <c r="P504" s="8" t="str">
        <f>_xlfn.XLOOKUP(tblFinancials[[#This Row],[RegionKey]],tblRegions[RegionKey],tblRegions[RegionName],"")</f>
        <v>South</v>
      </c>
    </row>
    <row r="505" spans="1:16">
      <c r="A505">
        <v>20240201</v>
      </c>
      <c r="B505">
        <v>3</v>
      </c>
      <c r="C505">
        <v>3</v>
      </c>
      <c r="D505">
        <v>4</v>
      </c>
      <c r="E505">
        <v>23</v>
      </c>
      <c r="F505" t="s">
        <v>92</v>
      </c>
      <c r="G505">
        <v>-7200.97</v>
      </c>
      <c r="H505">
        <f>_xlfn.XLOOKUP(tblFinancials[[#This Row],[DateKey]],tblCalendar[DateKey],tblCalendar[FullDate],"")</f>
        <v>45323</v>
      </c>
      <c r="I505">
        <f>_xlfn.XLOOKUP(tblFinancials[[#This Row],[AccountKey]],tblAccounts[AccountKey],tblAccounts[AccountNumber],"")</f>
        <v>6800</v>
      </c>
      <c r="J505" t="str">
        <f>_xlfn.XLOOKUP(tblFinancials[[#This Row],[AccountKey]],tblAccounts[AccountKey],tblAccounts[AccountName],"")</f>
        <v>Travel Expense</v>
      </c>
      <c r="K505" s="8" t="str">
        <f>_xlfn.XLOOKUP(tblFinancials[[#This Row],[AccountKey]],tblAccounts[AccountKey],tblAccounts[FinancialStatement],"")</f>
        <v>Income Statement</v>
      </c>
      <c r="L505" s="8" t="str">
        <f>_xlfn.XLOOKUP(tblFinancials[[#This Row],[AccountKey]],tblAccounts[AccountKey],tblAccounts[AccountCategory],"")</f>
        <v>Operating Expense</v>
      </c>
      <c r="M505" s="8" t="str">
        <f>_xlfn.XLOOKUP(tblFinancials[[#This Row],[AccountKey]],tblAccounts[AccountKey],tblAccounts[NormalBalance],"")</f>
        <v>Debit</v>
      </c>
      <c r="N505" s="8" t="str">
        <f>_xlfn.XLOOKUP(tblFinancials[[#This Row],[DepartmentKey]],tblDepartments[DepartmentKey],tblDepartments[DepartmentName],"")</f>
        <v>Human Resources</v>
      </c>
      <c r="O505" s="8" t="str">
        <f>_xlfn.XLOOKUP(tblFinancials[[#This Row],[BusinessUnitKey]],tblBusinessUnits[BusinessUnitKey],tblBusinessUnits[BusinessUnitName],"")</f>
        <v>Retail</v>
      </c>
      <c r="P505" s="8" t="str">
        <f>_xlfn.XLOOKUP(tblFinancials[[#This Row],[RegionKey]],tblRegions[RegionKey],tblRegions[RegionName],"")</f>
        <v>East</v>
      </c>
    </row>
    <row r="506" spans="1:16">
      <c r="A506">
        <v>20240301</v>
      </c>
      <c r="B506">
        <v>8</v>
      </c>
      <c r="C506">
        <v>4</v>
      </c>
      <c r="D506">
        <v>3</v>
      </c>
      <c r="E506">
        <v>11</v>
      </c>
      <c r="F506" t="s">
        <v>92</v>
      </c>
      <c r="G506">
        <v>28896.76</v>
      </c>
      <c r="H506">
        <f>_xlfn.XLOOKUP(tblFinancials[[#This Row],[DateKey]],tblCalendar[DateKey],tblCalendar[FullDate],"")</f>
        <v>45352</v>
      </c>
      <c r="I506">
        <f>_xlfn.XLOOKUP(tblFinancials[[#This Row],[AccountKey]],tblAccounts[AccountKey],tblAccounts[AccountNumber],"")</f>
        <v>4000</v>
      </c>
      <c r="J506" t="str">
        <f>_xlfn.XLOOKUP(tblFinancials[[#This Row],[AccountKey]],tblAccounts[AccountKey],tblAccounts[AccountName],"")</f>
        <v>Product Revenue</v>
      </c>
      <c r="K506" s="8" t="str">
        <f>_xlfn.XLOOKUP(tblFinancials[[#This Row],[AccountKey]],tblAccounts[AccountKey],tblAccounts[FinancialStatement],"")</f>
        <v>Income Statement</v>
      </c>
      <c r="L506" s="8" t="str">
        <f>_xlfn.XLOOKUP(tblFinancials[[#This Row],[AccountKey]],tblAccounts[AccountKey],tblAccounts[AccountCategory],"")</f>
        <v>Revenue</v>
      </c>
      <c r="M506" s="8" t="str">
        <f>_xlfn.XLOOKUP(tblFinancials[[#This Row],[AccountKey]],tblAccounts[AccountKey],tblAccounts[NormalBalance],"")</f>
        <v>Credit</v>
      </c>
      <c r="N506" s="8" t="str">
        <f>_xlfn.XLOOKUP(tblFinancials[[#This Row],[DepartmentKey]],tblDepartments[DepartmentKey],tblDepartments[DepartmentName],"")</f>
        <v>Customer Service</v>
      </c>
      <c r="O506" s="8" t="str">
        <f>_xlfn.XLOOKUP(tblFinancials[[#This Row],[BusinessUnitKey]],tblBusinessUnits[BusinessUnitKey],tblBusinessUnits[BusinessUnitName],"")</f>
        <v>E-Commerce</v>
      </c>
      <c r="P506" s="8" t="str">
        <f>_xlfn.XLOOKUP(tblFinancials[[#This Row],[RegionKey]],tblRegions[RegionKey],tblRegions[RegionName],"")</f>
        <v>South</v>
      </c>
    </row>
    <row r="507" spans="1:16">
      <c r="A507">
        <v>20240301</v>
      </c>
      <c r="B507">
        <v>1</v>
      </c>
      <c r="C507">
        <v>4</v>
      </c>
      <c r="D507">
        <v>1</v>
      </c>
      <c r="E507">
        <v>11</v>
      </c>
      <c r="F507" t="s">
        <v>92</v>
      </c>
      <c r="G507">
        <v>30042.14</v>
      </c>
      <c r="H507">
        <f>_xlfn.XLOOKUP(tblFinancials[[#This Row],[DateKey]],tblCalendar[DateKey],tblCalendar[FullDate],"")</f>
        <v>45352</v>
      </c>
      <c r="I507">
        <f>_xlfn.XLOOKUP(tblFinancials[[#This Row],[AccountKey]],tblAccounts[AccountKey],tblAccounts[AccountNumber],"")</f>
        <v>4000</v>
      </c>
      <c r="J507" t="str">
        <f>_xlfn.XLOOKUP(tblFinancials[[#This Row],[AccountKey]],tblAccounts[AccountKey],tblAccounts[AccountName],"")</f>
        <v>Product Revenue</v>
      </c>
      <c r="K507" s="8" t="str">
        <f>_xlfn.XLOOKUP(tblFinancials[[#This Row],[AccountKey]],tblAccounts[AccountKey],tblAccounts[FinancialStatement],"")</f>
        <v>Income Statement</v>
      </c>
      <c r="L507" s="8" t="str">
        <f>_xlfn.XLOOKUP(tblFinancials[[#This Row],[AccountKey]],tblAccounts[AccountKey],tblAccounts[AccountCategory],"")</f>
        <v>Revenue</v>
      </c>
      <c r="M507" s="8" t="str">
        <f>_xlfn.XLOOKUP(tblFinancials[[#This Row],[AccountKey]],tblAccounts[AccountKey],tblAccounts[NormalBalance],"")</f>
        <v>Credit</v>
      </c>
      <c r="N507" s="8" t="str">
        <f>_xlfn.XLOOKUP(tblFinancials[[#This Row],[DepartmentKey]],tblDepartments[DepartmentKey],tblDepartments[DepartmentName],"")</f>
        <v>Executive</v>
      </c>
      <c r="O507" s="8" t="str">
        <f>_xlfn.XLOOKUP(tblFinancials[[#This Row],[BusinessUnitKey]],tblBusinessUnits[BusinessUnitKey],tblBusinessUnits[BusinessUnitName],"")</f>
        <v>E-Commerce</v>
      </c>
      <c r="P507" s="8" t="str">
        <f>_xlfn.XLOOKUP(tblFinancials[[#This Row],[RegionKey]],tblRegions[RegionKey],tblRegions[RegionName],"")</f>
        <v>West</v>
      </c>
    </row>
    <row r="508" spans="1:16">
      <c r="A508">
        <v>20240301</v>
      </c>
      <c r="B508">
        <v>3</v>
      </c>
      <c r="C508">
        <v>4</v>
      </c>
      <c r="D508">
        <v>4</v>
      </c>
      <c r="E508">
        <v>13</v>
      </c>
      <c r="F508" t="s">
        <v>92</v>
      </c>
      <c r="G508">
        <v>30146.880000000001</v>
      </c>
      <c r="H508">
        <f>_xlfn.XLOOKUP(tblFinancials[[#This Row],[DateKey]],tblCalendar[DateKey],tblCalendar[FullDate],"")</f>
        <v>45352</v>
      </c>
      <c r="I508">
        <f>_xlfn.XLOOKUP(tblFinancials[[#This Row],[AccountKey]],tblAccounts[AccountKey],tblAccounts[AccountNumber],"")</f>
        <v>4020</v>
      </c>
      <c r="J508" t="str">
        <f>_xlfn.XLOOKUP(tblFinancials[[#This Row],[AccountKey]],tblAccounts[AccountKey],tblAccounts[AccountName],"")</f>
        <v>Online Revenue</v>
      </c>
      <c r="K508" s="8" t="str">
        <f>_xlfn.XLOOKUP(tblFinancials[[#This Row],[AccountKey]],tblAccounts[AccountKey],tblAccounts[FinancialStatement],"")</f>
        <v>Income Statement</v>
      </c>
      <c r="L508" s="8" t="str">
        <f>_xlfn.XLOOKUP(tblFinancials[[#This Row],[AccountKey]],tblAccounts[AccountKey],tblAccounts[AccountCategory],"")</f>
        <v>Revenue</v>
      </c>
      <c r="M508" s="8" t="str">
        <f>_xlfn.XLOOKUP(tblFinancials[[#This Row],[AccountKey]],tblAccounts[AccountKey],tblAccounts[NormalBalance],"")</f>
        <v>Credit</v>
      </c>
      <c r="N508" s="8" t="str">
        <f>_xlfn.XLOOKUP(tblFinancials[[#This Row],[DepartmentKey]],tblDepartments[DepartmentKey],tblDepartments[DepartmentName],"")</f>
        <v>Human Resources</v>
      </c>
      <c r="O508" s="8" t="str">
        <f>_xlfn.XLOOKUP(tblFinancials[[#This Row],[BusinessUnitKey]],tblBusinessUnits[BusinessUnitKey],tblBusinessUnits[BusinessUnitName],"")</f>
        <v>E-Commerce</v>
      </c>
      <c r="P508" s="8" t="str">
        <f>_xlfn.XLOOKUP(tblFinancials[[#This Row],[RegionKey]],tblRegions[RegionKey],tblRegions[RegionName],"")</f>
        <v>East</v>
      </c>
    </row>
    <row r="509" spans="1:16">
      <c r="A509">
        <v>20240301</v>
      </c>
      <c r="B509">
        <v>6</v>
      </c>
      <c r="C509">
        <v>4</v>
      </c>
      <c r="D509">
        <v>2</v>
      </c>
      <c r="E509">
        <v>11</v>
      </c>
      <c r="F509" t="s">
        <v>92</v>
      </c>
      <c r="G509">
        <v>29001.599999999999</v>
      </c>
      <c r="H509">
        <f>_xlfn.XLOOKUP(tblFinancials[[#This Row],[DateKey]],tblCalendar[DateKey],tblCalendar[FullDate],"")</f>
        <v>45352</v>
      </c>
      <c r="I509">
        <f>_xlfn.XLOOKUP(tblFinancials[[#This Row],[AccountKey]],tblAccounts[AccountKey],tblAccounts[AccountNumber],"")</f>
        <v>4000</v>
      </c>
      <c r="J509" t="str">
        <f>_xlfn.XLOOKUP(tblFinancials[[#This Row],[AccountKey]],tblAccounts[AccountKey],tblAccounts[AccountName],"")</f>
        <v>Product Revenue</v>
      </c>
      <c r="K509" s="8" t="str">
        <f>_xlfn.XLOOKUP(tblFinancials[[#This Row],[AccountKey]],tblAccounts[AccountKey],tblAccounts[FinancialStatement],"")</f>
        <v>Income Statement</v>
      </c>
      <c r="L509" s="8" t="str">
        <f>_xlfn.XLOOKUP(tblFinancials[[#This Row],[AccountKey]],tblAccounts[AccountKey],tblAccounts[AccountCategory],"")</f>
        <v>Revenue</v>
      </c>
      <c r="M509" s="8" t="str">
        <f>_xlfn.XLOOKUP(tblFinancials[[#This Row],[AccountKey]],tblAccounts[AccountKey],tblAccounts[NormalBalance],"")</f>
        <v>Credit</v>
      </c>
      <c r="N509" s="8" t="str">
        <f>_xlfn.XLOOKUP(tblFinancials[[#This Row],[DepartmentKey]],tblDepartments[DepartmentKey],tblDepartments[DepartmentName],"")</f>
        <v>Operations</v>
      </c>
      <c r="O509" s="8" t="str">
        <f>_xlfn.XLOOKUP(tblFinancials[[#This Row],[BusinessUnitKey]],tblBusinessUnits[BusinessUnitKey],tblBusinessUnits[BusinessUnitName],"")</f>
        <v>E-Commerce</v>
      </c>
      <c r="P509" s="8" t="str">
        <f>_xlfn.XLOOKUP(tblFinancials[[#This Row],[RegionKey]],tblRegions[RegionKey],tblRegions[RegionName],"")</f>
        <v>Midwest</v>
      </c>
    </row>
    <row r="510" spans="1:16">
      <c r="A510">
        <v>20240301</v>
      </c>
      <c r="B510">
        <v>6</v>
      </c>
      <c r="C510">
        <v>1</v>
      </c>
      <c r="D510">
        <v>2</v>
      </c>
      <c r="E510">
        <v>12</v>
      </c>
      <c r="F510" t="s">
        <v>92</v>
      </c>
      <c r="G510">
        <v>29862.99</v>
      </c>
      <c r="H510">
        <f>_xlfn.XLOOKUP(tblFinancials[[#This Row],[DateKey]],tblCalendar[DateKey],tblCalendar[FullDate],"")</f>
        <v>45352</v>
      </c>
      <c r="I510">
        <f>_xlfn.XLOOKUP(tblFinancials[[#This Row],[AccountKey]],tblAccounts[AccountKey],tblAccounts[AccountNumber],"")</f>
        <v>4010</v>
      </c>
      <c r="J510" t="str">
        <f>_xlfn.XLOOKUP(tblFinancials[[#This Row],[AccountKey]],tblAccounts[AccountKey],tblAccounts[AccountName],"")</f>
        <v>Service Revenue</v>
      </c>
      <c r="K510" s="8" t="str">
        <f>_xlfn.XLOOKUP(tblFinancials[[#This Row],[AccountKey]],tblAccounts[AccountKey],tblAccounts[FinancialStatement],"")</f>
        <v>Income Statement</v>
      </c>
      <c r="L510" s="8" t="str">
        <f>_xlfn.XLOOKUP(tblFinancials[[#This Row],[AccountKey]],tblAccounts[AccountKey],tblAccounts[AccountCategory],"")</f>
        <v>Revenue</v>
      </c>
      <c r="M510" s="8" t="str">
        <f>_xlfn.XLOOKUP(tblFinancials[[#This Row],[AccountKey]],tblAccounts[AccountKey],tblAccounts[NormalBalance],"")</f>
        <v>Credit</v>
      </c>
      <c r="N510" s="8" t="str">
        <f>_xlfn.XLOOKUP(tblFinancials[[#This Row],[DepartmentKey]],tblDepartments[DepartmentKey],tblDepartments[DepartmentName],"")</f>
        <v>Operations</v>
      </c>
      <c r="O510" s="8" t="str">
        <f>_xlfn.XLOOKUP(tblFinancials[[#This Row],[BusinessUnitKey]],tblBusinessUnits[BusinessUnitKey],tblBusinessUnits[BusinessUnitName],"")</f>
        <v xml:space="preserve">Manufacturing </v>
      </c>
      <c r="P510" s="8" t="str">
        <f>_xlfn.XLOOKUP(tblFinancials[[#This Row],[RegionKey]],tblRegions[RegionKey],tblRegions[RegionName],"")</f>
        <v>Midwest</v>
      </c>
    </row>
    <row r="511" spans="1:16">
      <c r="A511">
        <v>20240301</v>
      </c>
      <c r="B511">
        <v>1</v>
      </c>
      <c r="C511">
        <v>4</v>
      </c>
      <c r="D511">
        <v>3</v>
      </c>
      <c r="E511">
        <v>11</v>
      </c>
      <c r="F511" t="s">
        <v>92</v>
      </c>
      <c r="G511">
        <v>29684.240000000002</v>
      </c>
      <c r="H511">
        <f>_xlfn.XLOOKUP(tblFinancials[[#This Row],[DateKey]],tblCalendar[DateKey],tblCalendar[FullDate],"")</f>
        <v>45352</v>
      </c>
      <c r="I511">
        <f>_xlfn.XLOOKUP(tblFinancials[[#This Row],[AccountKey]],tblAccounts[AccountKey],tblAccounts[AccountNumber],"")</f>
        <v>4000</v>
      </c>
      <c r="J511" t="str">
        <f>_xlfn.XLOOKUP(tblFinancials[[#This Row],[AccountKey]],tblAccounts[AccountKey],tblAccounts[AccountName],"")</f>
        <v>Product Revenue</v>
      </c>
      <c r="K511" s="8" t="str">
        <f>_xlfn.XLOOKUP(tblFinancials[[#This Row],[AccountKey]],tblAccounts[AccountKey],tblAccounts[FinancialStatement],"")</f>
        <v>Income Statement</v>
      </c>
      <c r="L511" s="8" t="str">
        <f>_xlfn.XLOOKUP(tblFinancials[[#This Row],[AccountKey]],tblAccounts[AccountKey],tblAccounts[AccountCategory],"")</f>
        <v>Revenue</v>
      </c>
      <c r="M511" s="8" t="str">
        <f>_xlfn.XLOOKUP(tblFinancials[[#This Row],[AccountKey]],tblAccounts[AccountKey],tblAccounts[NormalBalance],"")</f>
        <v>Credit</v>
      </c>
      <c r="N511" s="8" t="str">
        <f>_xlfn.XLOOKUP(tblFinancials[[#This Row],[DepartmentKey]],tblDepartments[DepartmentKey],tblDepartments[DepartmentName],"")</f>
        <v>Executive</v>
      </c>
      <c r="O511" s="8" t="str">
        <f>_xlfn.XLOOKUP(tblFinancials[[#This Row],[BusinessUnitKey]],tblBusinessUnits[BusinessUnitKey],tblBusinessUnits[BusinessUnitName],"")</f>
        <v>E-Commerce</v>
      </c>
      <c r="P511" s="8" t="str">
        <f>_xlfn.XLOOKUP(tblFinancials[[#This Row],[RegionKey]],tblRegions[RegionKey],tblRegions[RegionName],"")</f>
        <v>South</v>
      </c>
    </row>
    <row r="512" spans="1:16">
      <c r="A512">
        <v>20240301</v>
      </c>
      <c r="B512">
        <v>6</v>
      </c>
      <c r="C512">
        <v>3</v>
      </c>
      <c r="D512">
        <v>4</v>
      </c>
      <c r="E512">
        <v>13</v>
      </c>
      <c r="F512" t="s">
        <v>92</v>
      </c>
      <c r="G512">
        <v>28008.9</v>
      </c>
      <c r="H512">
        <f>_xlfn.XLOOKUP(tblFinancials[[#This Row],[DateKey]],tblCalendar[DateKey],tblCalendar[FullDate],"")</f>
        <v>45352</v>
      </c>
      <c r="I512">
        <f>_xlfn.XLOOKUP(tblFinancials[[#This Row],[AccountKey]],tblAccounts[AccountKey],tblAccounts[AccountNumber],"")</f>
        <v>4020</v>
      </c>
      <c r="J512" t="str">
        <f>_xlfn.XLOOKUP(tblFinancials[[#This Row],[AccountKey]],tblAccounts[AccountKey],tblAccounts[AccountName],"")</f>
        <v>Online Revenue</v>
      </c>
      <c r="K512" s="8" t="str">
        <f>_xlfn.XLOOKUP(tblFinancials[[#This Row],[AccountKey]],tblAccounts[AccountKey],tblAccounts[FinancialStatement],"")</f>
        <v>Income Statement</v>
      </c>
      <c r="L512" s="8" t="str">
        <f>_xlfn.XLOOKUP(tblFinancials[[#This Row],[AccountKey]],tblAccounts[AccountKey],tblAccounts[AccountCategory],"")</f>
        <v>Revenue</v>
      </c>
      <c r="M512" s="8" t="str">
        <f>_xlfn.XLOOKUP(tblFinancials[[#This Row],[AccountKey]],tblAccounts[AccountKey],tblAccounts[NormalBalance],"")</f>
        <v>Credit</v>
      </c>
      <c r="N512" s="8" t="str">
        <f>_xlfn.XLOOKUP(tblFinancials[[#This Row],[DepartmentKey]],tblDepartments[DepartmentKey],tblDepartments[DepartmentName],"")</f>
        <v>Operations</v>
      </c>
      <c r="O512" s="8" t="str">
        <f>_xlfn.XLOOKUP(tblFinancials[[#This Row],[BusinessUnitKey]],tblBusinessUnits[BusinessUnitKey],tblBusinessUnits[BusinessUnitName],"")</f>
        <v>Retail</v>
      </c>
      <c r="P512" s="8" t="str">
        <f>_xlfn.XLOOKUP(tblFinancials[[#This Row],[RegionKey]],tblRegions[RegionKey],tblRegions[RegionName],"")</f>
        <v>East</v>
      </c>
    </row>
    <row r="513" spans="1:16">
      <c r="A513">
        <v>20240301</v>
      </c>
      <c r="B513">
        <v>5</v>
      </c>
      <c r="C513">
        <v>1</v>
      </c>
      <c r="D513">
        <v>3</v>
      </c>
      <c r="E513">
        <v>12</v>
      </c>
      <c r="F513" t="s">
        <v>92</v>
      </c>
      <c r="G513">
        <v>29223.8</v>
      </c>
      <c r="H513">
        <f>_xlfn.XLOOKUP(tblFinancials[[#This Row],[DateKey]],tblCalendar[DateKey],tblCalendar[FullDate],"")</f>
        <v>45352</v>
      </c>
      <c r="I513">
        <f>_xlfn.XLOOKUP(tblFinancials[[#This Row],[AccountKey]],tblAccounts[AccountKey],tblAccounts[AccountNumber],"")</f>
        <v>4010</v>
      </c>
      <c r="J513" t="str">
        <f>_xlfn.XLOOKUP(tblFinancials[[#This Row],[AccountKey]],tblAccounts[AccountKey],tblAccounts[AccountName],"")</f>
        <v>Service Revenue</v>
      </c>
      <c r="K513" s="8" t="str">
        <f>_xlfn.XLOOKUP(tblFinancials[[#This Row],[AccountKey]],tblAccounts[AccountKey],tblAccounts[FinancialStatement],"")</f>
        <v>Income Statement</v>
      </c>
      <c r="L513" s="8" t="str">
        <f>_xlfn.XLOOKUP(tblFinancials[[#This Row],[AccountKey]],tblAccounts[AccountKey],tblAccounts[AccountCategory],"")</f>
        <v>Revenue</v>
      </c>
      <c r="M513" s="8" t="str">
        <f>_xlfn.XLOOKUP(tblFinancials[[#This Row],[AccountKey]],tblAccounts[AccountKey],tblAccounts[NormalBalance],"")</f>
        <v>Credit</v>
      </c>
      <c r="N513" s="8" t="str">
        <f>_xlfn.XLOOKUP(tblFinancials[[#This Row],[DepartmentKey]],tblDepartments[DepartmentKey],tblDepartments[DepartmentName],"")</f>
        <v>Marketing</v>
      </c>
      <c r="O513" s="8" t="str">
        <f>_xlfn.XLOOKUP(tblFinancials[[#This Row],[BusinessUnitKey]],tblBusinessUnits[BusinessUnitKey],tblBusinessUnits[BusinessUnitName],"")</f>
        <v xml:space="preserve">Manufacturing </v>
      </c>
      <c r="P513" s="8" t="str">
        <f>_xlfn.XLOOKUP(tblFinancials[[#This Row],[RegionKey]],tblRegions[RegionKey],tblRegions[RegionName],"")</f>
        <v>South</v>
      </c>
    </row>
    <row r="514" spans="1:16">
      <c r="A514">
        <v>20240301</v>
      </c>
      <c r="B514">
        <v>3</v>
      </c>
      <c r="C514">
        <v>1</v>
      </c>
      <c r="D514">
        <v>1</v>
      </c>
      <c r="E514">
        <v>12</v>
      </c>
      <c r="F514" t="s">
        <v>92</v>
      </c>
      <c r="G514">
        <v>29198.21</v>
      </c>
      <c r="H514">
        <f>_xlfn.XLOOKUP(tblFinancials[[#This Row],[DateKey]],tblCalendar[DateKey],tblCalendar[FullDate],"")</f>
        <v>45352</v>
      </c>
      <c r="I514">
        <f>_xlfn.XLOOKUP(tblFinancials[[#This Row],[AccountKey]],tblAccounts[AccountKey],tblAccounts[AccountNumber],"")</f>
        <v>4010</v>
      </c>
      <c r="J514" t="str">
        <f>_xlfn.XLOOKUP(tblFinancials[[#This Row],[AccountKey]],tblAccounts[AccountKey],tblAccounts[AccountName],"")</f>
        <v>Service Revenue</v>
      </c>
      <c r="K514" s="8" t="str">
        <f>_xlfn.XLOOKUP(tblFinancials[[#This Row],[AccountKey]],tblAccounts[AccountKey],tblAccounts[FinancialStatement],"")</f>
        <v>Income Statement</v>
      </c>
      <c r="L514" s="8" t="str">
        <f>_xlfn.XLOOKUP(tblFinancials[[#This Row],[AccountKey]],tblAccounts[AccountKey],tblAccounts[AccountCategory],"")</f>
        <v>Revenue</v>
      </c>
      <c r="M514" s="8" t="str">
        <f>_xlfn.XLOOKUP(tblFinancials[[#This Row],[AccountKey]],tblAccounts[AccountKey],tblAccounts[NormalBalance],"")</f>
        <v>Credit</v>
      </c>
      <c r="N514" s="8" t="str">
        <f>_xlfn.XLOOKUP(tblFinancials[[#This Row],[DepartmentKey]],tblDepartments[DepartmentKey],tblDepartments[DepartmentName],"")</f>
        <v>Human Resources</v>
      </c>
      <c r="O514" s="8" t="str">
        <f>_xlfn.XLOOKUP(tblFinancials[[#This Row],[BusinessUnitKey]],tblBusinessUnits[BusinessUnitKey],tblBusinessUnits[BusinessUnitName],"")</f>
        <v xml:space="preserve">Manufacturing </v>
      </c>
      <c r="P514" s="8" t="str">
        <f>_xlfn.XLOOKUP(tblFinancials[[#This Row],[RegionKey]],tblRegions[RegionKey],tblRegions[RegionName],"")</f>
        <v>West</v>
      </c>
    </row>
    <row r="515" spans="1:16">
      <c r="A515">
        <v>20240301</v>
      </c>
      <c r="B515">
        <v>3</v>
      </c>
      <c r="C515">
        <v>1</v>
      </c>
      <c r="D515">
        <v>2</v>
      </c>
      <c r="E515">
        <v>12</v>
      </c>
      <c r="F515" t="s">
        <v>92</v>
      </c>
      <c r="G515">
        <v>28611.38</v>
      </c>
      <c r="H515">
        <f>_xlfn.XLOOKUP(tblFinancials[[#This Row],[DateKey]],tblCalendar[DateKey],tblCalendar[FullDate],"")</f>
        <v>45352</v>
      </c>
      <c r="I515">
        <f>_xlfn.XLOOKUP(tblFinancials[[#This Row],[AccountKey]],tblAccounts[AccountKey],tblAccounts[AccountNumber],"")</f>
        <v>4010</v>
      </c>
      <c r="J515" t="str">
        <f>_xlfn.XLOOKUP(tblFinancials[[#This Row],[AccountKey]],tblAccounts[AccountKey],tblAccounts[AccountName],"")</f>
        <v>Service Revenue</v>
      </c>
      <c r="K515" s="8" t="str">
        <f>_xlfn.XLOOKUP(tblFinancials[[#This Row],[AccountKey]],tblAccounts[AccountKey],tblAccounts[FinancialStatement],"")</f>
        <v>Income Statement</v>
      </c>
      <c r="L515" s="8" t="str">
        <f>_xlfn.XLOOKUP(tblFinancials[[#This Row],[AccountKey]],tblAccounts[AccountKey],tblAccounts[AccountCategory],"")</f>
        <v>Revenue</v>
      </c>
      <c r="M515" s="8" t="str">
        <f>_xlfn.XLOOKUP(tblFinancials[[#This Row],[AccountKey]],tblAccounts[AccountKey],tblAccounts[NormalBalance],"")</f>
        <v>Credit</v>
      </c>
      <c r="N515" s="8" t="str">
        <f>_xlfn.XLOOKUP(tblFinancials[[#This Row],[DepartmentKey]],tblDepartments[DepartmentKey],tblDepartments[DepartmentName],"")</f>
        <v>Human Resources</v>
      </c>
      <c r="O515" s="8" t="str">
        <f>_xlfn.XLOOKUP(tblFinancials[[#This Row],[BusinessUnitKey]],tblBusinessUnits[BusinessUnitKey],tblBusinessUnits[BusinessUnitName],"")</f>
        <v xml:space="preserve">Manufacturing </v>
      </c>
      <c r="P515" s="8" t="str">
        <f>_xlfn.XLOOKUP(tblFinancials[[#This Row],[RegionKey]],tblRegions[RegionKey],tblRegions[RegionName],"")</f>
        <v>Midwest</v>
      </c>
    </row>
    <row r="516" spans="1:16">
      <c r="A516">
        <v>20240301</v>
      </c>
      <c r="B516">
        <v>7</v>
      </c>
      <c r="C516">
        <v>3</v>
      </c>
      <c r="D516">
        <v>4</v>
      </c>
      <c r="E516">
        <v>13</v>
      </c>
      <c r="F516" t="s">
        <v>92</v>
      </c>
      <c r="G516">
        <v>28003.53</v>
      </c>
      <c r="H516">
        <f>_xlfn.XLOOKUP(tblFinancials[[#This Row],[DateKey]],tblCalendar[DateKey],tblCalendar[FullDate],"")</f>
        <v>45352</v>
      </c>
      <c r="I516">
        <f>_xlfn.XLOOKUP(tblFinancials[[#This Row],[AccountKey]],tblAccounts[AccountKey],tblAccounts[AccountNumber],"")</f>
        <v>4020</v>
      </c>
      <c r="J516" t="str">
        <f>_xlfn.XLOOKUP(tblFinancials[[#This Row],[AccountKey]],tblAccounts[AccountKey],tblAccounts[AccountName],"")</f>
        <v>Online Revenue</v>
      </c>
      <c r="K516" s="8" t="str">
        <f>_xlfn.XLOOKUP(tblFinancials[[#This Row],[AccountKey]],tblAccounts[AccountKey],tblAccounts[FinancialStatement],"")</f>
        <v>Income Statement</v>
      </c>
      <c r="L516" s="8" t="str">
        <f>_xlfn.XLOOKUP(tblFinancials[[#This Row],[AccountKey]],tblAccounts[AccountKey],tblAccounts[AccountCategory],"")</f>
        <v>Revenue</v>
      </c>
      <c r="M516" s="8" t="str">
        <f>_xlfn.XLOOKUP(tblFinancials[[#This Row],[AccountKey]],tblAccounts[AccountKey],tblAccounts[NormalBalance],"")</f>
        <v>Credit</v>
      </c>
      <c r="N516" s="8" t="str">
        <f>_xlfn.XLOOKUP(tblFinancials[[#This Row],[DepartmentKey]],tblDepartments[DepartmentKey],tblDepartments[DepartmentName],"")</f>
        <v>Information Technology</v>
      </c>
      <c r="O516" s="8" t="str">
        <f>_xlfn.XLOOKUP(tblFinancials[[#This Row],[BusinessUnitKey]],tblBusinessUnits[BusinessUnitKey],tblBusinessUnits[BusinessUnitName],"")</f>
        <v>Retail</v>
      </c>
      <c r="P516" s="8" t="str">
        <f>_xlfn.XLOOKUP(tblFinancials[[#This Row],[RegionKey]],tblRegions[RegionKey],tblRegions[RegionName],"")</f>
        <v>East</v>
      </c>
    </row>
    <row r="517" spans="1:16">
      <c r="A517">
        <v>20240301</v>
      </c>
      <c r="B517">
        <v>1</v>
      </c>
      <c r="C517">
        <v>4</v>
      </c>
      <c r="D517">
        <v>3</v>
      </c>
      <c r="E517">
        <v>13</v>
      </c>
      <c r="F517" t="s">
        <v>92</v>
      </c>
      <c r="G517">
        <v>27913.61</v>
      </c>
      <c r="H517">
        <f>_xlfn.XLOOKUP(tblFinancials[[#This Row],[DateKey]],tblCalendar[DateKey],tblCalendar[FullDate],"")</f>
        <v>45352</v>
      </c>
      <c r="I517">
        <f>_xlfn.XLOOKUP(tblFinancials[[#This Row],[AccountKey]],tblAccounts[AccountKey],tblAccounts[AccountNumber],"")</f>
        <v>4020</v>
      </c>
      <c r="J517" t="str">
        <f>_xlfn.XLOOKUP(tblFinancials[[#This Row],[AccountKey]],tblAccounts[AccountKey],tblAccounts[AccountName],"")</f>
        <v>Online Revenue</v>
      </c>
      <c r="K517" s="8" t="str">
        <f>_xlfn.XLOOKUP(tblFinancials[[#This Row],[AccountKey]],tblAccounts[AccountKey],tblAccounts[FinancialStatement],"")</f>
        <v>Income Statement</v>
      </c>
      <c r="L517" s="8" t="str">
        <f>_xlfn.XLOOKUP(tblFinancials[[#This Row],[AccountKey]],tblAccounts[AccountKey],tblAccounts[AccountCategory],"")</f>
        <v>Revenue</v>
      </c>
      <c r="M517" s="8" t="str">
        <f>_xlfn.XLOOKUP(tblFinancials[[#This Row],[AccountKey]],tblAccounts[AccountKey],tblAccounts[NormalBalance],"")</f>
        <v>Credit</v>
      </c>
      <c r="N517" s="8" t="str">
        <f>_xlfn.XLOOKUP(tblFinancials[[#This Row],[DepartmentKey]],tblDepartments[DepartmentKey],tblDepartments[DepartmentName],"")</f>
        <v>Executive</v>
      </c>
      <c r="O517" s="8" t="str">
        <f>_xlfn.XLOOKUP(tblFinancials[[#This Row],[BusinessUnitKey]],tblBusinessUnits[BusinessUnitKey],tblBusinessUnits[BusinessUnitName],"")</f>
        <v>E-Commerce</v>
      </c>
      <c r="P517" s="8" t="str">
        <f>_xlfn.XLOOKUP(tblFinancials[[#This Row],[RegionKey]],tblRegions[RegionKey],tblRegions[RegionName],"")</f>
        <v>South</v>
      </c>
    </row>
    <row r="518" spans="1:16">
      <c r="A518">
        <v>20240301</v>
      </c>
      <c r="B518">
        <v>4</v>
      </c>
      <c r="C518">
        <v>4</v>
      </c>
      <c r="D518">
        <v>3</v>
      </c>
      <c r="E518">
        <v>14</v>
      </c>
      <c r="F518" t="s">
        <v>92</v>
      </c>
      <c r="G518">
        <v>-16863.7</v>
      </c>
      <c r="H518">
        <f>_xlfn.XLOOKUP(tblFinancials[[#This Row],[DateKey]],tblCalendar[DateKey],tblCalendar[FullDate],"")</f>
        <v>45352</v>
      </c>
      <c r="I518">
        <f>_xlfn.XLOOKUP(tblFinancials[[#This Row],[AccountKey]],tblAccounts[AccountKey],tblAccounts[AccountNumber],"")</f>
        <v>5000</v>
      </c>
      <c r="J518" t="str">
        <f>_xlfn.XLOOKUP(tblFinancials[[#This Row],[AccountKey]],tblAccounts[AccountKey],tblAccounts[AccountName],"")</f>
        <v>Cost of Goods Sold</v>
      </c>
      <c r="K518" s="8" t="str">
        <f>_xlfn.XLOOKUP(tblFinancials[[#This Row],[AccountKey]],tblAccounts[AccountKey],tblAccounts[FinancialStatement],"")</f>
        <v>Income Statement</v>
      </c>
      <c r="L518" s="8" t="str">
        <f>_xlfn.XLOOKUP(tblFinancials[[#This Row],[AccountKey]],tblAccounts[AccountKey],tblAccounts[AccountCategory],"")</f>
        <v>Cost of Sales</v>
      </c>
      <c r="M518" s="8" t="str">
        <f>_xlfn.XLOOKUP(tblFinancials[[#This Row],[AccountKey]],tblAccounts[AccountKey],tblAccounts[NormalBalance],"")</f>
        <v>Debit</v>
      </c>
      <c r="N518" s="8" t="str">
        <f>_xlfn.XLOOKUP(tblFinancials[[#This Row],[DepartmentKey]],tblDepartments[DepartmentKey],tblDepartments[DepartmentName],"")</f>
        <v>Sales</v>
      </c>
      <c r="O518" s="8" t="str">
        <f>_xlfn.XLOOKUP(tblFinancials[[#This Row],[BusinessUnitKey]],tblBusinessUnits[BusinessUnitKey],tblBusinessUnits[BusinessUnitName],"")</f>
        <v>E-Commerce</v>
      </c>
      <c r="P518" s="8" t="str">
        <f>_xlfn.XLOOKUP(tblFinancials[[#This Row],[RegionKey]],tblRegions[RegionKey],tblRegions[RegionName],"")</f>
        <v>South</v>
      </c>
    </row>
    <row r="519" spans="1:16">
      <c r="A519">
        <v>20240301</v>
      </c>
      <c r="B519">
        <v>7</v>
      </c>
      <c r="C519">
        <v>1</v>
      </c>
      <c r="D519">
        <v>4</v>
      </c>
      <c r="E519">
        <v>14</v>
      </c>
      <c r="F519" t="s">
        <v>92</v>
      </c>
      <c r="G519">
        <v>-17984.439999999999</v>
      </c>
      <c r="H519">
        <f>_xlfn.XLOOKUP(tblFinancials[[#This Row],[DateKey]],tblCalendar[DateKey],tblCalendar[FullDate],"")</f>
        <v>45352</v>
      </c>
      <c r="I519">
        <f>_xlfn.XLOOKUP(tblFinancials[[#This Row],[AccountKey]],tblAccounts[AccountKey],tblAccounts[AccountNumber],"")</f>
        <v>5000</v>
      </c>
      <c r="J519" t="str">
        <f>_xlfn.XLOOKUP(tblFinancials[[#This Row],[AccountKey]],tblAccounts[AccountKey],tblAccounts[AccountName],"")</f>
        <v>Cost of Goods Sold</v>
      </c>
      <c r="K519" s="8" t="str">
        <f>_xlfn.XLOOKUP(tblFinancials[[#This Row],[AccountKey]],tblAccounts[AccountKey],tblAccounts[FinancialStatement],"")</f>
        <v>Income Statement</v>
      </c>
      <c r="L519" s="8" t="str">
        <f>_xlfn.XLOOKUP(tblFinancials[[#This Row],[AccountKey]],tblAccounts[AccountKey],tblAccounts[AccountCategory],"")</f>
        <v>Cost of Sales</v>
      </c>
      <c r="M519" s="8" t="str">
        <f>_xlfn.XLOOKUP(tblFinancials[[#This Row],[AccountKey]],tblAccounts[AccountKey],tblAccounts[NormalBalance],"")</f>
        <v>Debit</v>
      </c>
      <c r="N519" s="8" t="str">
        <f>_xlfn.XLOOKUP(tblFinancials[[#This Row],[DepartmentKey]],tblDepartments[DepartmentKey],tblDepartments[DepartmentName],"")</f>
        <v>Information Technology</v>
      </c>
      <c r="O519" s="8" t="str">
        <f>_xlfn.XLOOKUP(tblFinancials[[#This Row],[BusinessUnitKey]],tblBusinessUnits[BusinessUnitKey],tblBusinessUnits[BusinessUnitName],"")</f>
        <v xml:space="preserve">Manufacturing </v>
      </c>
      <c r="P519" s="8" t="str">
        <f>_xlfn.XLOOKUP(tblFinancials[[#This Row],[RegionKey]],tblRegions[RegionKey],tblRegions[RegionName],"")</f>
        <v>East</v>
      </c>
    </row>
    <row r="520" spans="1:16">
      <c r="A520">
        <v>20240301</v>
      </c>
      <c r="B520">
        <v>5</v>
      </c>
      <c r="C520">
        <v>2</v>
      </c>
      <c r="D520">
        <v>2</v>
      </c>
      <c r="E520">
        <v>14</v>
      </c>
      <c r="F520" t="s">
        <v>92</v>
      </c>
      <c r="G520">
        <v>-17487.419999999998</v>
      </c>
      <c r="H520">
        <f>_xlfn.XLOOKUP(tblFinancials[[#This Row],[DateKey]],tblCalendar[DateKey],tblCalendar[FullDate],"")</f>
        <v>45352</v>
      </c>
      <c r="I520">
        <f>_xlfn.XLOOKUP(tblFinancials[[#This Row],[AccountKey]],tblAccounts[AccountKey],tblAccounts[AccountNumber],"")</f>
        <v>5000</v>
      </c>
      <c r="J520" t="str">
        <f>_xlfn.XLOOKUP(tblFinancials[[#This Row],[AccountKey]],tblAccounts[AccountKey],tblAccounts[AccountName],"")</f>
        <v>Cost of Goods Sold</v>
      </c>
      <c r="K520" s="8" t="str">
        <f>_xlfn.XLOOKUP(tblFinancials[[#This Row],[AccountKey]],tblAccounts[AccountKey],tblAccounts[FinancialStatement],"")</f>
        <v>Income Statement</v>
      </c>
      <c r="L520" s="8" t="str">
        <f>_xlfn.XLOOKUP(tblFinancials[[#This Row],[AccountKey]],tblAccounts[AccountKey],tblAccounts[AccountCategory],"")</f>
        <v>Cost of Sales</v>
      </c>
      <c r="M520" s="8" t="str">
        <f>_xlfn.XLOOKUP(tblFinancials[[#This Row],[AccountKey]],tblAccounts[AccountKey],tblAccounts[NormalBalance],"")</f>
        <v>Debit</v>
      </c>
      <c r="N520" s="8" t="str">
        <f>_xlfn.XLOOKUP(tblFinancials[[#This Row],[DepartmentKey]],tblDepartments[DepartmentKey],tblDepartments[DepartmentName],"")</f>
        <v>Marketing</v>
      </c>
      <c r="O520" s="8" t="str">
        <f>_xlfn.XLOOKUP(tblFinancials[[#This Row],[BusinessUnitKey]],tblBusinessUnits[BusinessUnitKey],tblBusinessUnits[BusinessUnitName],"")</f>
        <v>Wholesale</v>
      </c>
      <c r="P520" s="8" t="str">
        <f>_xlfn.XLOOKUP(tblFinancials[[#This Row],[RegionKey]],tblRegions[RegionKey],tblRegions[RegionName],"")</f>
        <v>Midwest</v>
      </c>
    </row>
    <row r="521" spans="1:16">
      <c r="A521">
        <v>20240301</v>
      </c>
      <c r="B521">
        <v>5</v>
      </c>
      <c r="C521">
        <v>2</v>
      </c>
      <c r="D521">
        <v>3</v>
      </c>
      <c r="E521">
        <v>14</v>
      </c>
      <c r="F521" t="s">
        <v>92</v>
      </c>
      <c r="G521">
        <v>-16411.060000000001</v>
      </c>
      <c r="H521">
        <f>_xlfn.XLOOKUP(tblFinancials[[#This Row],[DateKey]],tblCalendar[DateKey],tblCalendar[FullDate],"")</f>
        <v>45352</v>
      </c>
      <c r="I521">
        <f>_xlfn.XLOOKUP(tblFinancials[[#This Row],[AccountKey]],tblAccounts[AccountKey],tblAccounts[AccountNumber],"")</f>
        <v>5000</v>
      </c>
      <c r="J521" t="str">
        <f>_xlfn.XLOOKUP(tblFinancials[[#This Row],[AccountKey]],tblAccounts[AccountKey],tblAccounts[AccountName],"")</f>
        <v>Cost of Goods Sold</v>
      </c>
      <c r="K521" s="8" t="str">
        <f>_xlfn.XLOOKUP(tblFinancials[[#This Row],[AccountKey]],tblAccounts[AccountKey],tblAccounts[FinancialStatement],"")</f>
        <v>Income Statement</v>
      </c>
      <c r="L521" s="8" t="str">
        <f>_xlfn.XLOOKUP(tblFinancials[[#This Row],[AccountKey]],tblAccounts[AccountKey],tblAccounts[AccountCategory],"")</f>
        <v>Cost of Sales</v>
      </c>
      <c r="M521" s="8" t="str">
        <f>_xlfn.XLOOKUP(tblFinancials[[#This Row],[AccountKey]],tblAccounts[AccountKey],tblAccounts[NormalBalance],"")</f>
        <v>Debit</v>
      </c>
      <c r="N521" s="8" t="str">
        <f>_xlfn.XLOOKUP(tblFinancials[[#This Row],[DepartmentKey]],tblDepartments[DepartmentKey],tblDepartments[DepartmentName],"")</f>
        <v>Marketing</v>
      </c>
      <c r="O521" s="8" t="str">
        <f>_xlfn.XLOOKUP(tblFinancials[[#This Row],[BusinessUnitKey]],tblBusinessUnits[BusinessUnitKey],tblBusinessUnits[BusinessUnitName],"")</f>
        <v>Wholesale</v>
      </c>
      <c r="P521" s="8" t="str">
        <f>_xlfn.XLOOKUP(tblFinancials[[#This Row],[RegionKey]],tblRegions[RegionKey],tblRegions[RegionName],"")</f>
        <v>South</v>
      </c>
    </row>
    <row r="522" spans="1:16">
      <c r="A522">
        <v>20240301</v>
      </c>
      <c r="B522">
        <v>6</v>
      </c>
      <c r="C522">
        <v>4</v>
      </c>
      <c r="D522">
        <v>1</v>
      </c>
      <c r="E522">
        <v>14</v>
      </c>
      <c r="F522" t="s">
        <v>92</v>
      </c>
      <c r="G522">
        <v>-16309.34</v>
      </c>
      <c r="H522">
        <f>_xlfn.XLOOKUP(tblFinancials[[#This Row],[DateKey]],tblCalendar[DateKey],tblCalendar[FullDate],"")</f>
        <v>45352</v>
      </c>
      <c r="I522">
        <f>_xlfn.XLOOKUP(tblFinancials[[#This Row],[AccountKey]],tblAccounts[AccountKey],tblAccounts[AccountNumber],"")</f>
        <v>5000</v>
      </c>
      <c r="J522" t="str">
        <f>_xlfn.XLOOKUP(tblFinancials[[#This Row],[AccountKey]],tblAccounts[AccountKey],tblAccounts[AccountName],"")</f>
        <v>Cost of Goods Sold</v>
      </c>
      <c r="K522" s="8" t="str">
        <f>_xlfn.XLOOKUP(tblFinancials[[#This Row],[AccountKey]],tblAccounts[AccountKey],tblAccounts[FinancialStatement],"")</f>
        <v>Income Statement</v>
      </c>
      <c r="L522" s="8" t="str">
        <f>_xlfn.XLOOKUP(tblFinancials[[#This Row],[AccountKey]],tblAccounts[AccountKey],tblAccounts[AccountCategory],"")</f>
        <v>Cost of Sales</v>
      </c>
      <c r="M522" s="8" t="str">
        <f>_xlfn.XLOOKUP(tblFinancials[[#This Row],[AccountKey]],tblAccounts[AccountKey],tblAccounts[NormalBalance],"")</f>
        <v>Debit</v>
      </c>
      <c r="N522" s="8" t="str">
        <f>_xlfn.XLOOKUP(tblFinancials[[#This Row],[DepartmentKey]],tblDepartments[DepartmentKey],tblDepartments[DepartmentName],"")</f>
        <v>Operations</v>
      </c>
      <c r="O522" s="8" t="str">
        <f>_xlfn.XLOOKUP(tblFinancials[[#This Row],[BusinessUnitKey]],tblBusinessUnits[BusinessUnitKey],tblBusinessUnits[BusinessUnitName],"")</f>
        <v>E-Commerce</v>
      </c>
      <c r="P522" s="8" t="str">
        <f>_xlfn.XLOOKUP(tblFinancials[[#This Row],[RegionKey]],tblRegions[RegionKey],tblRegions[RegionName],"")</f>
        <v>West</v>
      </c>
    </row>
    <row r="523" spans="1:16">
      <c r="A523">
        <v>20240301</v>
      </c>
      <c r="B523">
        <v>6</v>
      </c>
      <c r="C523">
        <v>2</v>
      </c>
      <c r="D523">
        <v>1</v>
      </c>
      <c r="E523">
        <v>14</v>
      </c>
      <c r="F523" t="s">
        <v>92</v>
      </c>
      <c r="G523">
        <v>-16106.59</v>
      </c>
      <c r="H523">
        <f>_xlfn.XLOOKUP(tblFinancials[[#This Row],[DateKey]],tblCalendar[DateKey],tblCalendar[FullDate],"")</f>
        <v>45352</v>
      </c>
      <c r="I523">
        <f>_xlfn.XLOOKUP(tblFinancials[[#This Row],[AccountKey]],tblAccounts[AccountKey],tblAccounts[AccountNumber],"")</f>
        <v>5000</v>
      </c>
      <c r="J523" t="str">
        <f>_xlfn.XLOOKUP(tblFinancials[[#This Row],[AccountKey]],tblAccounts[AccountKey],tblAccounts[AccountName],"")</f>
        <v>Cost of Goods Sold</v>
      </c>
      <c r="K523" s="8" t="str">
        <f>_xlfn.XLOOKUP(tblFinancials[[#This Row],[AccountKey]],tblAccounts[AccountKey],tblAccounts[FinancialStatement],"")</f>
        <v>Income Statement</v>
      </c>
      <c r="L523" s="8" t="str">
        <f>_xlfn.XLOOKUP(tblFinancials[[#This Row],[AccountKey]],tblAccounts[AccountKey],tblAccounts[AccountCategory],"")</f>
        <v>Cost of Sales</v>
      </c>
      <c r="M523" s="8" t="str">
        <f>_xlfn.XLOOKUP(tblFinancials[[#This Row],[AccountKey]],tblAccounts[AccountKey],tblAccounts[NormalBalance],"")</f>
        <v>Debit</v>
      </c>
      <c r="N523" s="8" t="str">
        <f>_xlfn.XLOOKUP(tblFinancials[[#This Row],[DepartmentKey]],tblDepartments[DepartmentKey],tblDepartments[DepartmentName],"")</f>
        <v>Operations</v>
      </c>
      <c r="O523" s="8" t="str">
        <f>_xlfn.XLOOKUP(tblFinancials[[#This Row],[BusinessUnitKey]],tblBusinessUnits[BusinessUnitKey],tblBusinessUnits[BusinessUnitName],"")</f>
        <v>Wholesale</v>
      </c>
      <c r="P523" s="8" t="str">
        <f>_xlfn.XLOOKUP(tblFinancials[[#This Row],[RegionKey]],tblRegions[RegionKey],tblRegions[RegionName],"")</f>
        <v>West</v>
      </c>
    </row>
    <row r="524" spans="1:16">
      <c r="A524">
        <v>20240301</v>
      </c>
      <c r="B524">
        <v>2</v>
      </c>
      <c r="C524">
        <v>1</v>
      </c>
      <c r="D524">
        <v>4</v>
      </c>
      <c r="E524">
        <v>14</v>
      </c>
      <c r="F524" t="s">
        <v>92</v>
      </c>
      <c r="G524">
        <v>-16318.93</v>
      </c>
      <c r="H524">
        <f>_xlfn.XLOOKUP(tblFinancials[[#This Row],[DateKey]],tblCalendar[DateKey],tblCalendar[FullDate],"")</f>
        <v>45352</v>
      </c>
      <c r="I524">
        <f>_xlfn.XLOOKUP(tblFinancials[[#This Row],[AccountKey]],tblAccounts[AccountKey],tblAccounts[AccountNumber],"")</f>
        <v>5000</v>
      </c>
      <c r="J524" t="str">
        <f>_xlfn.XLOOKUP(tblFinancials[[#This Row],[AccountKey]],tblAccounts[AccountKey],tblAccounts[AccountName],"")</f>
        <v>Cost of Goods Sold</v>
      </c>
      <c r="K524" s="8" t="str">
        <f>_xlfn.XLOOKUP(tblFinancials[[#This Row],[AccountKey]],tblAccounts[AccountKey],tblAccounts[FinancialStatement],"")</f>
        <v>Income Statement</v>
      </c>
      <c r="L524" s="8" t="str">
        <f>_xlfn.XLOOKUP(tblFinancials[[#This Row],[AccountKey]],tblAccounts[AccountKey],tblAccounts[AccountCategory],"")</f>
        <v>Cost of Sales</v>
      </c>
      <c r="M524" s="8" t="str">
        <f>_xlfn.XLOOKUP(tblFinancials[[#This Row],[AccountKey]],tblAccounts[AccountKey],tblAccounts[NormalBalance],"")</f>
        <v>Debit</v>
      </c>
      <c r="N524" s="8" t="str">
        <f>_xlfn.XLOOKUP(tblFinancials[[#This Row],[DepartmentKey]],tblDepartments[DepartmentKey],tblDepartments[DepartmentName],"")</f>
        <v>Finance</v>
      </c>
      <c r="O524" s="8" t="str">
        <f>_xlfn.XLOOKUP(tblFinancials[[#This Row],[BusinessUnitKey]],tblBusinessUnits[BusinessUnitKey],tblBusinessUnits[BusinessUnitName],"")</f>
        <v xml:space="preserve">Manufacturing </v>
      </c>
      <c r="P524" s="8" t="str">
        <f>_xlfn.XLOOKUP(tblFinancials[[#This Row],[RegionKey]],tblRegions[RegionKey],tblRegions[RegionName],"")</f>
        <v>East</v>
      </c>
    </row>
    <row r="525" spans="1:16">
      <c r="A525">
        <v>20240301</v>
      </c>
      <c r="B525">
        <v>2</v>
      </c>
      <c r="C525">
        <v>1</v>
      </c>
      <c r="D525">
        <v>4</v>
      </c>
      <c r="E525">
        <v>14</v>
      </c>
      <c r="F525" t="s">
        <v>92</v>
      </c>
      <c r="G525">
        <v>-17292.75</v>
      </c>
      <c r="H525">
        <f>_xlfn.XLOOKUP(tblFinancials[[#This Row],[DateKey]],tblCalendar[DateKey],tblCalendar[FullDate],"")</f>
        <v>45352</v>
      </c>
      <c r="I525">
        <f>_xlfn.XLOOKUP(tblFinancials[[#This Row],[AccountKey]],tblAccounts[AccountKey],tblAccounts[AccountNumber],"")</f>
        <v>5000</v>
      </c>
      <c r="J525" t="str">
        <f>_xlfn.XLOOKUP(tblFinancials[[#This Row],[AccountKey]],tblAccounts[AccountKey],tblAccounts[AccountName],"")</f>
        <v>Cost of Goods Sold</v>
      </c>
      <c r="K525" s="8" t="str">
        <f>_xlfn.XLOOKUP(tblFinancials[[#This Row],[AccountKey]],tblAccounts[AccountKey],tblAccounts[FinancialStatement],"")</f>
        <v>Income Statement</v>
      </c>
      <c r="L525" s="8" t="str">
        <f>_xlfn.XLOOKUP(tblFinancials[[#This Row],[AccountKey]],tblAccounts[AccountKey],tblAccounts[AccountCategory],"")</f>
        <v>Cost of Sales</v>
      </c>
      <c r="M525" s="8" t="str">
        <f>_xlfn.XLOOKUP(tblFinancials[[#This Row],[AccountKey]],tblAccounts[AccountKey],tblAccounts[NormalBalance],"")</f>
        <v>Debit</v>
      </c>
      <c r="N525" s="8" t="str">
        <f>_xlfn.XLOOKUP(tblFinancials[[#This Row],[DepartmentKey]],tblDepartments[DepartmentKey],tblDepartments[DepartmentName],"")</f>
        <v>Finance</v>
      </c>
      <c r="O525" s="8" t="str">
        <f>_xlfn.XLOOKUP(tblFinancials[[#This Row],[BusinessUnitKey]],tblBusinessUnits[BusinessUnitKey],tblBusinessUnits[BusinessUnitName],"")</f>
        <v xml:space="preserve">Manufacturing </v>
      </c>
      <c r="P525" s="8" t="str">
        <f>_xlfn.XLOOKUP(tblFinancials[[#This Row],[RegionKey]],tblRegions[RegionKey],tblRegions[RegionName],"")</f>
        <v>East</v>
      </c>
    </row>
    <row r="526" spans="1:16">
      <c r="A526">
        <v>20240301</v>
      </c>
      <c r="B526">
        <v>7</v>
      </c>
      <c r="C526">
        <v>4</v>
      </c>
      <c r="D526">
        <v>3</v>
      </c>
      <c r="E526">
        <v>14</v>
      </c>
      <c r="F526" t="s">
        <v>92</v>
      </c>
      <c r="G526">
        <v>-17137.12</v>
      </c>
      <c r="H526">
        <f>_xlfn.XLOOKUP(tblFinancials[[#This Row],[DateKey]],tblCalendar[DateKey],tblCalendar[FullDate],"")</f>
        <v>45352</v>
      </c>
      <c r="I526">
        <f>_xlfn.XLOOKUP(tblFinancials[[#This Row],[AccountKey]],tblAccounts[AccountKey],tblAccounts[AccountNumber],"")</f>
        <v>5000</v>
      </c>
      <c r="J526" t="str">
        <f>_xlfn.XLOOKUP(tblFinancials[[#This Row],[AccountKey]],tblAccounts[AccountKey],tblAccounts[AccountName],"")</f>
        <v>Cost of Goods Sold</v>
      </c>
      <c r="K526" s="8" t="str">
        <f>_xlfn.XLOOKUP(tblFinancials[[#This Row],[AccountKey]],tblAccounts[AccountKey],tblAccounts[FinancialStatement],"")</f>
        <v>Income Statement</v>
      </c>
      <c r="L526" s="8" t="str">
        <f>_xlfn.XLOOKUP(tblFinancials[[#This Row],[AccountKey]],tblAccounts[AccountKey],tblAccounts[AccountCategory],"")</f>
        <v>Cost of Sales</v>
      </c>
      <c r="M526" s="8" t="str">
        <f>_xlfn.XLOOKUP(tblFinancials[[#This Row],[AccountKey]],tblAccounts[AccountKey],tblAccounts[NormalBalance],"")</f>
        <v>Debit</v>
      </c>
      <c r="N526" s="8" t="str">
        <f>_xlfn.XLOOKUP(tblFinancials[[#This Row],[DepartmentKey]],tblDepartments[DepartmentKey],tblDepartments[DepartmentName],"")</f>
        <v>Information Technology</v>
      </c>
      <c r="O526" s="8" t="str">
        <f>_xlfn.XLOOKUP(tblFinancials[[#This Row],[BusinessUnitKey]],tblBusinessUnits[BusinessUnitKey],tblBusinessUnits[BusinessUnitName],"")</f>
        <v>E-Commerce</v>
      </c>
      <c r="P526" s="8" t="str">
        <f>_xlfn.XLOOKUP(tblFinancials[[#This Row],[RegionKey]],tblRegions[RegionKey],tblRegions[RegionName],"")</f>
        <v>South</v>
      </c>
    </row>
    <row r="527" spans="1:16">
      <c r="A527">
        <v>20240301</v>
      </c>
      <c r="B527">
        <v>3</v>
      </c>
      <c r="C527">
        <v>4</v>
      </c>
      <c r="D527">
        <v>2</v>
      </c>
      <c r="E527">
        <v>14</v>
      </c>
      <c r="F527" t="s">
        <v>92</v>
      </c>
      <c r="G527">
        <v>-17220.09</v>
      </c>
      <c r="H527">
        <f>_xlfn.XLOOKUP(tblFinancials[[#This Row],[DateKey]],tblCalendar[DateKey],tblCalendar[FullDate],"")</f>
        <v>45352</v>
      </c>
      <c r="I527">
        <f>_xlfn.XLOOKUP(tblFinancials[[#This Row],[AccountKey]],tblAccounts[AccountKey],tblAccounts[AccountNumber],"")</f>
        <v>5000</v>
      </c>
      <c r="J527" t="str">
        <f>_xlfn.XLOOKUP(tblFinancials[[#This Row],[AccountKey]],tblAccounts[AccountKey],tblAccounts[AccountName],"")</f>
        <v>Cost of Goods Sold</v>
      </c>
      <c r="K527" s="8" t="str">
        <f>_xlfn.XLOOKUP(tblFinancials[[#This Row],[AccountKey]],tblAccounts[AccountKey],tblAccounts[FinancialStatement],"")</f>
        <v>Income Statement</v>
      </c>
      <c r="L527" s="8" t="str">
        <f>_xlfn.XLOOKUP(tblFinancials[[#This Row],[AccountKey]],tblAccounts[AccountKey],tblAccounts[AccountCategory],"")</f>
        <v>Cost of Sales</v>
      </c>
      <c r="M527" s="8" t="str">
        <f>_xlfn.XLOOKUP(tblFinancials[[#This Row],[AccountKey]],tblAccounts[AccountKey],tblAccounts[NormalBalance],"")</f>
        <v>Debit</v>
      </c>
      <c r="N527" s="8" t="str">
        <f>_xlfn.XLOOKUP(tblFinancials[[#This Row],[DepartmentKey]],tblDepartments[DepartmentKey],tblDepartments[DepartmentName],"")</f>
        <v>Human Resources</v>
      </c>
      <c r="O527" s="8" t="str">
        <f>_xlfn.XLOOKUP(tblFinancials[[#This Row],[BusinessUnitKey]],tblBusinessUnits[BusinessUnitKey],tblBusinessUnits[BusinessUnitName],"")</f>
        <v>E-Commerce</v>
      </c>
      <c r="P527" s="8" t="str">
        <f>_xlfn.XLOOKUP(tblFinancials[[#This Row],[RegionKey]],tblRegions[RegionKey],tblRegions[RegionName],"")</f>
        <v>Midwest</v>
      </c>
    </row>
    <row r="528" spans="1:16">
      <c r="A528">
        <v>20240301</v>
      </c>
      <c r="B528">
        <v>5</v>
      </c>
      <c r="C528">
        <v>2</v>
      </c>
      <c r="D528">
        <v>2</v>
      </c>
      <c r="E528">
        <v>14</v>
      </c>
      <c r="F528" t="s">
        <v>92</v>
      </c>
      <c r="G528">
        <v>-16823.240000000002</v>
      </c>
      <c r="H528">
        <f>_xlfn.XLOOKUP(tblFinancials[[#This Row],[DateKey]],tblCalendar[DateKey],tblCalendar[FullDate],"")</f>
        <v>45352</v>
      </c>
      <c r="I528">
        <f>_xlfn.XLOOKUP(tblFinancials[[#This Row],[AccountKey]],tblAccounts[AccountKey],tblAccounts[AccountNumber],"")</f>
        <v>5000</v>
      </c>
      <c r="J528" t="str">
        <f>_xlfn.XLOOKUP(tblFinancials[[#This Row],[AccountKey]],tblAccounts[AccountKey],tblAccounts[AccountName],"")</f>
        <v>Cost of Goods Sold</v>
      </c>
      <c r="K528" s="8" t="str">
        <f>_xlfn.XLOOKUP(tblFinancials[[#This Row],[AccountKey]],tblAccounts[AccountKey],tblAccounts[FinancialStatement],"")</f>
        <v>Income Statement</v>
      </c>
      <c r="L528" s="8" t="str">
        <f>_xlfn.XLOOKUP(tblFinancials[[#This Row],[AccountKey]],tblAccounts[AccountKey],tblAccounts[AccountCategory],"")</f>
        <v>Cost of Sales</v>
      </c>
      <c r="M528" s="8" t="str">
        <f>_xlfn.XLOOKUP(tblFinancials[[#This Row],[AccountKey]],tblAccounts[AccountKey],tblAccounts[NormalBalance],"")</f>
        <v>Debit</v>
      </c>
      <c r="N528" s="8" t="str">
        <f>_xlfn.XLOOKUP(tblFinancials[[#This Row],[DepartmentKey]],tblDepartments[DepartmentKey],tblDepartments[DepartmentName],"")</f>
        <v>Marketing</v>
      </c>
      <c r="O528" s="8" t="str">
        <f>_xlfn.XLOOKUP(tblFinancials[[#This Row],[BusinessUnitKey]],tblBusinessUnits[BusinessUnitKey],tblBusinessUnits[BusinessUnitName],"")</f>
        <v>Wholesale</v>
      </c>
      <c r="P528" s="8" t="str">
        <f>_xlfn.XLOOKUP(tblFinancials[[#This Row],[RegionKey]],tblRegions[RegionKey],tblRegions[RegionName],"")</f>
        <v>Midwest</v>
      </c>
    </row>
    <row r="529" spans="1:16">
      <c r="A529">
        <v>20240301</v>
      </c>
      <c r="B529">
        <v>6</v>
      </c>
      <c r="C529">
        <v>1</v>
      </c>
      <c r="D529">
        <v>4</v>
      </c>
      <c r="E529">
        <v>14</v>
      </c>
      <c r="F529" t="s">
        <v>92</v>
      </c>
      <c r="G529">
        <v>-17972.84</v>
      </c>
      <c r="H529">
        <f>_xlfn.XLOOKUP(tblFinancials[[#This Row],[DateKey]],tblCalendar[DateKey],tblCalendar[FullDate],"")</f>
        <v>45352</v>
      </c>
      <c r="I529">
        <f>_xlfn.XLOOKUP(tblFinancials[[#This Row],[AccountKey]],tblAccounts[AccountKey],tblAccounts[AccountNumber],"")</f>
        <v>5000</v>
      </c>
      <c r="J529" t="str">
        <f>_xlfn.XLOOKUP(tblFinancials[[#This Row],[AccountKey]],tblAccounts[AccountKey],tblAccounts[AccountName],"")</f>
        <v>Cost of Goods Sold</v>
      </c>
      <c r="K529" s="8" t="str">
        <f>_xlfn.XLOOKUP(tblFinancials[[#This Row],[AccountKey]],tblAccounts[AccountKey],tblAccounts[FinancialStatement],"")</f>
        <v>Income Statement</v>
      </c>
      <c r="L529" s="8" t="str">
        <f>_xlfn.XLOOKUP(tblFinancials[[#This Row],[AccountKey]],tblAccounts[AccountKey],tblAccounts[AccountCategory],"")</f>
        <v>Cost of Sales</v>
      </c>
      <c r="M529" s="8" t="str">
        <f>_xlfn.XLOOKUP(tblFinancials[[#This Row],[AccountKey]],tblAccounts[AccountKey],tblAccounts[NormalBalance],"")</f>
        <v>Debit</v>
      </c>
      <c r="N529" s="8" t="str">
        <f>_xlfn.XLOOKUP(tblFinancials[[#This Row],[DepartmentKey]],tblDepartments[DepartmentKey],tblDepartments[DepartmentName],"")</f>
        <v>Operations</v>
      </c>
      <c r="O529" s="8" t="str">
        <f>_xlfn.XLOOKUP(tblFinancials[[#This Row],[BusinessUnitKey]],tblBusinessUnits[BusinessUnitKey],tblBusinessUnits[BusinessUnitName],"")</f>
        <v xml:space="preserve">Manufacturing </v>
      </c>
      <c r="P529" s="8" t="str">
        <f>_xlfn.XLOOKUP(tblFinancials[[#This Row],[RegionKey]],tblRegions[RegionKey],tblRegions[RegionName],"")</f>
        <v>East</v>
      </c>
    </row>
    <row r="530" spans="1:16">
      <c r="A530">
        <v>20240301</v>
      </c>
      <c r="B530">
        <v>6</v>
      </c>
      <c r="C530">
        <v>3</v>
      </c>
      <c r="D530">
        <v>4</v>
      </c>
      <c r="E530">
        <v>21</v>
      </c>
      <c r="F530" t="s">
        <v>92</v>
      </c>
      <c r="G530">
        <v>-6572.2</v>
      </c>
      <c r="H530">
        <f>_xlfn.XLOOKUP(tblFinancials[[#This Row],[DateKey]],tblCalendar[DateKey],tblCalendar[FullDate],"")</f>
        <v>45352</v>
      </c>
      <c r="I530">
        <f>_xlfn.XLOOKUP(tblFinancials[[#This Row],[AccountKey]],tblAccounts[AccountKey],tblAccounts[AccountNumber],"")</f>
        <v>6600</v>
      </c>
      <c r="J530" t="str">
        <f>_xlfn.XLOOKUP(tblFinancials[[#This Row],[AccountKey]],tblAccounts[AccountKey],tblAccounts[AccountName],"")</f>
        <v>Utilities Expense</v>
      </c>
      <c r="K530" s="8" t="str">
        <f>_xlfn.XLOOKUP(tblFinancials[[#This Row],[AccountKey]],tblAccounts[AccountKey],tblAccounts[FinancialStatement],"")</f>
        <v>Income Statement</v>
      </c>
      <c r="L530" s="8" t="str">
        <f>_xlfn.XLOOKUP(tblFinancials[[#This Row],[AccountKey]],tblAccounts[AccountKey],tblAccounts[AccountCategory],"")</f>
        <v>Operating Expense</v>
      </c>
      <c r="M530" s="8" t="str">
        <f>_xlfn.XLOOKUP(tblFinancials[[#This Row],[AccountKey]],tblAccounts[AccountKey],tblAccounts[NormalBalance],"")</f>
        <v>Debit</v>
      </c>
      <c r="N530" s="8" t="str">
        <f>_xlfn.XLOOKUP(tblFinancials[[#This Row],[DepartmentKey]],tblDepartments[DepartmentKey],tblDepartments[DepartmentName],"")</f>
        <v>Operations</v>
      </c>
      <c r="O530" s="8" t="str">
        <f>_xlfn.XLOOKUP(tblFinancials[[#This Row],[BusinessUnitKey]],tblBusinessUnits[BusinessUnitKey],tblBusinessUnits[BusinessUnitName],"")</f>
        <v>Retail</v>
      </c>
      <c r="P530" s="8" t="str">
        <f>_xlfn.XLOOKUP(tblFinancials[[#This Row],[RegionKey]],tblRegions[RegionKey],tblRegions[RegionName],"")</f>
        <v>East</v>
      </c>
    </row>
    <row r="531" spans="1:16">
      <c r="A531">
        <v>20240301</v>
      </c>
      <c r="B531">
        <v>4</v>
      </c>
      <c r="C531">
        <v>3</v>
      </c>
      <c r="D531">
        <v>4</v>
      </c>
      <c r="E531">
        <v>18</v>
      </c>
      <c r="F531" t="s">
        <v>92</v>
      </c>
      <c r="G531">
        <v>-7408.16</v>
      </c>
      <c r="H531">
        <f>_xlfn.XLOOKUP(tblFinancials[[#This Row],[DateKey]],tblCalendar[DateKey],tblCalendar[FullDate],"")</f>
        <v>45352</v>
      </c>
      <c r="I531">
        <f>_xlfn.XLOOKUP(tblFinancials[[#This Row],[AccountKey]],tblAccounts[AccountKey],tblAccounts[AccountNumber],"")</f>
        <v>6200</v>
      </c>
      <c r="J531" t="str">
        <f>_xlfn.XLOOKUP(tblFinancials[[#This Row],[AccountKey]],tblAccounts[AccountKey],tblAccounts[AccountName],"")</f>
        <v>Marketing Expense</v>
      </c>
      <c r="K531" s="8" t="str">
        <f>_xlfn.XLOOKUP(tblFinancials[[#This Row],[AccountKey]],tblAccounts[AccountKey],tblAccounts[FinancialStatement],"")</f>
        <v>Income Statement</v>
      </c>
      <c r="L531" s="8" t="str">
        <f>_xlfn.XLOOKUP(tblFinancials[[#This Row],[AccountKey]],tblAccounts[AccountKey],tblAccounts[AccountCategory],"")</f>
        <v>Operating Expense</v>
      </c>
      <c r="M531" s="8" t="str">
        <f>_xlfn.XLOOKUP(tblFinancials[[#This Row],[AccountKey]],tblAccounts[AccountKey],tblAccounts[NormalBalance],"")</f>
        <v>Debit</v>
      </c>
      <c r="N531" s="8" t="str">
        <f>_xlfn.XLOOKUP(tblFinancials[[#This Row],[DepartmentKey]],tblDepartments[DepartmentKey],tblDepartments[DepartmentName],"")</f>
        <v>Sales</v>
      </c>
      <c r="O531" s="8" t="str">
        <f>_xlfn.XLOOKUP(tblFinancials[[#This Row],[BusinessUnitKey]],tblBusinessUnits[BusinessUnitKey],tblBusinessUnits[BusinessUnitName],"")</f>
        <v>Retail</v>
      </c>
      <c r="P531" s="8" t="str">
        <f>_xlfn.XLOOKUP(tblFinancials[[#This Row],[RegionKey]],tblRegions[RegionKey],tblRegions[RegionName],"")</f>
        <v>East</v>
      </c>
    </row>
    <row r="532" spans="1:16">
      <c r="A532">
        <v>20240301</v>
      </c>
      <c r="B532">
        <v>5</v>
      </c>
      <c r="C532">
        <v>1</v>
      </c>
      <c r="D532">
        <v>4</v>
      </c>
      <c r="E532">
        <v>21</v>
      </c>
      <c r="F532" t="s">
        <v>92</v>
      </c>
      <c r="G532">
        <v>-7188.04</v>
      </c>
      <c r="H532">
        <f>_xlfn.XLOOKUP(tblFinancials[[#This Row],[DateKey]],tblCalendar[DateKey],tblCalendar[FullDate],"")</f>
        <v>45352</v>
      </c>
      <c r="I532">
        <f>_xlfn.XLOOKUP(tblFinancials[[#This Row],[AccountKey]],tblAccounts[AccountKey],tblAccounts[AccountNumber],"")</f>
        <v>6600</v>
      </c>
      <c r="J532" t="str">
        <f>_xlfn.XLOOKUP(tblFinancials[[#This Row],[AccountKey]],tblAccounts[AccountKey],tblAccounts[AccountName],"")</f>
        <v>Utilities Expense</v>
      </c>
      <c r="K532" s="8" t="str">
        <f>_xlfn.XLOOKUP(tblFinancials[[#This Row],[AccountKey]],tblAccounts[AccountKey],tblAccounts[FinancialStatement],"")</f>
        <v>Income Statement</v>
      </c>
      <c r="L532" s="8" t="str">
        <f>_xlfn.XLOOKUP(tblFinancials[[#This Row],[AccountKey]],tblAccounts[AccountKey],tblAccounts[AccountCategory],"")</f>
        <v>Operating Expense</v>
      </c>
      <c r="M532" s="8" t="str">
        <f>_xlfn.XLOOKUP(tblFinancials[[#This Row],[AccountKey]],tblAccounts[AccountKey],tblAccounts[NormalBalance],"")</f>
        <v>Debit</v>
      </c>
      <c r="N532" s="8" t="str">
        <f>_xlfn.XLOOKUP(tblFinancials[[#This Row],[DepartmentKey]],tblDepartments[DepartmentKey],tblDepartments[DepartmentName],"")</f>
        <v>Marketing</v>
      </c>
      <c r="O532" s="8" t="str">
        <f>_xlfn.XLOOKUP(tblFinancials[[#This Row],[BusinessUnitKey]],tblBusinessUnits[BusinessUnitKey],tblBusinessUnits[BusinessUnitName],"")</f>
        <v xml:space="preserve">Manufacturing </v>
      </c>
      <c r="P532" s="8" t="str">
        <f>_xlfn.XLOOKUP(tblFinancials[[#This Row],[RegionKey]],tblRegions[RegionKey],tblRegions[RegionName],"")</f>
        <v>East</v>
      </c>
    </row>
    <row r="533" spans="1:16">
      <c r="A533">
        <v>20240301</v>
      </c>
      <c r="B533">
        <v>2</v>
      </c>
      <c r="C533">
        <v>4</v>
      </c>
      <c r="D533">
        <v>2</v>
      </c>
      <c r="E533">
        <v>25</v>
      </c>
      <c r="F533" t="s">
        <v>92</v>
      </c>
      <c r="G533">
        <v>-6490.58</v>
      </c>
      <c r="H533">
        <f>_xlfn.XLOOKUP(tblFinancials[[#This Row],[DateKey]],tblCalendar[DateKey],tblCalendar[FullDate],"")</f>
        <v>45352</v>
      </c>
      <c r="I533">
        <f>_xlfn.XLOOKUP(tblFinancials[[#This Row],[AccountKey]],tblAccounts[AccountKey],tblAccounts[AccountNumber],"")</f>
        <v>8200</v>
      </c>
      <c r="J533" t="str">
        <f>_xlfn.XLOOKUP(tblFinancials[[#This Row],[AccountKey]],tblAccounts[AccountKey],tblAccounts[AccountName],"")</f>
        <v>Income Tax Expense</v>
      </c>
      <c r="K533" s="8" t="str">
        <f>_xlfn.XLOOKUP(tblFinancials[[#This Row],[AccountKey]],tblAccounts[AccountKey],tblAccounts[FinancialStatement],"")</f>
        <v>Income Statement</v>
      </c>
      <c r="L533" s="8" t="str">
        <f>_xlfn.XLOOKUP(tblFinancials[[#This Row],[AccountKey]],tblAccounts[AccountKey],tblAccounts[AccountCategory],"")</f>
        <v>Tax Expense</v>
      </c>
      <c r="M533" s="8" t="str">
        <f>_xlfn.XLOOKUP(tblFinancials[[#This Row],[AccountKey]],tblAccounts[AccountKey],tblAccounts[NormalBalance],"")</f>
        <v>Debit</v>
      </c>
      <c r="N533" s="8" t="str">
        <f>_xlfn.XLOOKUP(tblFinancials[[#This Row],[DepartmentKey]],tblDepartments[DepartmentKey],tblDepartments[DepartmentName],"")</f>
        <v>Finance</v>
      </c>
      <c r="O533" s="8" t="str">
        <f>_xlfn.XLOOKUP(tblFinancials[[#This Row],[BusinessUnitKey]],tblBusinessUnits[BusinessUnitKey],tblBusinessUnits[BusinessUnitName],"")</f>
        <v>E-Commerce</v>
      </c>
      <c r="P533" s="8" t="str">
        <f>_xlfn.XLOOKUP(tblFinancials[[#This Row],[RegionKey]],tblRegions[RegionKey],tblRegions[RegionName],"")</f>
        <v>Midwest</v>
      </c>
    </row>
    <row r="534" spans="1:16">
      <c r="A534">
        <v>20240301</v>
      </c>
      <c r="B534">
        <v>4</v>
      </c>
      <c r="C534">
        <v>3</v>
      </c>
      <c r="D534">
        <v>3</v>
      </c>
      <c r="E534">
        <v>22</v>
      </c>
      <c r="F534" t="s">
        <v>92</v>
      </c>
      <c r="G534">
        <v>-6269.83</v>
      </c>
      <c r="H534">
        <f>_xlfn.XLOOKUP(tblFinancials[[#This Row],[DateKey]],tblCalendar[DateKey],tblCalendar[FullDate],"")</f>
        <v>45352</v>
      </c>
      <c r="I534">
        <f>_xlfn.XLOOKUP(tblFinancials[[#This Row],[AccountKey]],tblAccounts[AccountKey],tblAccounts[AccountNumber],"")</f>
        <v>6700</v>
      </c>
      <c r="J534" t="str">
        <f>_xlfn.XLOOKUP(tblFinancials[[#This Row],[AccountKey]],tblAccounts[AccountKey],tblAccounts[AccountName],"")</f>
        <v>Insurance Expense</v>
      </c>
      <c r="K534" s="8" t="str">
        <f>_xlfn.XLOOKUP(tblFinancials[[#This Row],[AccountKey]],tblAccounts[AccountKey],tblAccounts[FinancialStatement],"")</f>
        <v>Income Statement</v>
      </c>
      <c r="L534" s="8" t="str">
        <f>_xlfn.XLOOKUP(tblFinancials[[#This Row],[AccountKey]],tblAccounts[AccountKey],tblAccounts[AccountCategory],"")</f>
        <v>Operating Expense</v>
      </c>
      <c r="M534" s="8" t="str">
        <f>_xlfn.XLOOKUP(tblFinancials[[#This Row],[AccountKey]],tblAccounts[AccountKey],tblAccounts[NormalBalance],"")</f>
        <v>Debit</v>
      </c>
      <c r="N534" s="8" t="str">
        <f>_xlfn.XLOOKUP(tblFinancials[[#This Row],[DepartmentKey]],tblDepartments[DepartmentKey],tblDepartments[DepartmentName],"")</f>
        <v>Sales</v>
      </c>
      <c r="O534" s="8" t="str">
        <f>_xlfn.XLOOKUP(tblFinancials[[#This Row],[BusinessUnitKey]],tblBusinessUnits[BusinessUnitKey],tblBusinessUnits[BusinessUnitName],"")</f>
        <v>Retail</v>
      </c>
      <c r="P534" s="8" t="str">
        <f>_xlfn.XLOOKUP(tblFinancials[[#This Row],[RegionKey]],tblRegions[RegionKey],tblRegions[RegionName],"")</f>
        <v>South</v>
      </c>
    </row>
    <row r="535" spans="1:16">
      <c r="A535">
        <v>20240301</v>
      </c>
      <c r="B535">
        <v>8</v>
      </c>
      <c r="C535">
        <v>2</v>
      </c>
      <c r="D535">
        <v>1</v>
      </c>
      <c r="E535">
        <v>17</v>
      </c>
      <c r="F535" t="s">
        <v>92</v>
      </c>
      <c r="G535">
        <v>-7202.28</v>
      </c>
      <c r="H535">
        <f>_xlfn.XLOOKUP(tblFinancials[[#This Row],[DateKey]],tblCalendar[DateKey],tblCalendar[FullDate],"")</f>
        <v>45352</v>
      </c>
      <c r="I535">
        <f>_xlfn.XLOOKUP(tblFinancials[[#This Row],[AccountKey]],tblAccounts[AccountKey],tblAccounts[AccountNumber],"")</f>
        <v>6120</v>
      </c>
      <c r="J535" t="str">
        <f>_xlfn.XLOOKUP(tblFinancials[[#This Row],[AccountKey]],tblAccounts[AccountKey],tblAccounts[AccountName],"")</f>
        <v>Employee Benefits</v>
      </c>
      <c r="K535" s="8" t="str">
        <f>_xlfn.XLOOKUP(tblFinancials[[#This Row],[AccountKey]],tblAccounts[AccountKey],tblAccounts[FinancialStatement],"")</f>
        <v>Income Statement</v>
      </c>
      <c r="L535" s="8" t="str">
        <f>_xlfn.XLOOKUP(tblFinancials[[#This Row],[AccountKey]],tblAccounts[AccountKey],tblAccounts[AccountCategory],"")</f>
        <v>Operating Expense</v>
      </c>
      <c r="M535" s="8" t="str">
        <f>_xlfn.XLOOKUP(tblFinancials[[#This Row],[AccountKey]],tblAccounts[AccountKey],tblAccounts[NormalBalance],"")</f>
        <v>Debit</v>
      </c>
      <c r="N535" s="8" t="str">
        <f>_xlfn.XLOOKUP(tblFinancials[[#This Row],[DepartmentKey]],tblDepartments[DepartmentKey],tblDepartments[DepartmentName],"")</f>
        <v>Customer Service</v>
      </c>
      <c r="O535" s="8" t="str">
        <f>_xlfn.XLOOKUP(tblFinancials[[#This Row],[BusinessUnitKey]],tblBusinessUnits[BusinessUnitKey],tblBusinessUnits[BusinessUnitName],"")</f>
        <v>Wholesale</v>
      </c>
      <c r="P535" s="8" t="str">
        <f>_xlfn.XLOOKUP(tblFinancials[[#This Row],[RegionKey]],tblRegions[RegionKey],tblRegions[RegionName],"")</f>
        <v>West</v>
      </c>
    </row>
    <row r="536" spans="1:16">
      <c r="A536">
        <v>20240301</v>
      </c>
      <c r="B536">
        <v>7</v>
      </c>
      <c r="C536">
        <v>2</v>
      </c>
      <c r="D536">
        <v>3</v>
      </c>
      <c r="E536">
        <v>21</v>
      </c>
      <c r="F536" t="s">
        <v>92</v>
      </c>
      <c r="G536">
        <v>-7964.14</v>
      </c>
      <c r="H536">
        <f>_xlfn.XLOOKUP(tblFinancials[[#This Row],[DateKey]],tblCalendar[DateKey],tblCalendar[FullDate],"")</f>
        <v>45352</v>
      </c>
      <c r="I536">
        <f>_xlfn.XLOOKUP(tblFinancials[[#This Row],[AccountKey]],tblAccounts[AccountKey],tblAccounts[AccountNumber],"")</f>
        <v>6600</v>
      </c>
      <c r="J536" t="str">
        <f>_xlfn.XLOOKUP(tblFinancials[[#This Row],[AccountKey]],tblAccounts[AccountKey],tblAccounts[AccountName],"")</f>
        <v>Utilities Expense</v>
      </c>
      <c r="K536" s="8" t="str">
        <f>_xlfn.XLOOKUP(tblFinancials[[#This Row],[AccountKey]],tblAccounts[AccountKey],tblAccounts[FinancialStatement],"")</f>
        <v>Income Statement</v>
      </c>
      <c r="L536" s="8" t="str">
        <f>_xlfn.XLOOKUP(tblFinancials[[#This Row],[AccountKey]],tblAccounts[AccountKey],tblAccounts[AccountCategory],"")</f>
        <v>Operating Expense</v>
      </c>
      <c r="M536" s="8" t="str">
        <f>_xlfn.XLOOKUP(tblFinancials[[#This Row],[AccountKey]],tblAccounts[AccountKey],tblAccounts[NormalBalance],"")</f>
        <v>Debit</v>
      </c>
      <c r="N536" s="8" t="str">
        <f>_xlfn.XLOOKUP(tblFinancials[[#This Row],[DepartmentKey]],tblDepartments[DepartmentKey],tblDepartments[DepartmentName],"")</f>
        <v>Information Technology</v>
      </c>
      <c r="O536" s="8" t="str">
        <f>_xlfn.XLOOKUP(tblFinancials[[#This Row],[BusinessUnitKey]],tblBusinessUnits[BusinessUnitKey],tblBusinessUnits[BusinessUnitName],"")</f>
        <v>Wholesale</v>
      </c>
      <c r="P536" s="8" t="str">
        <f>_xlfn.XLOOKUP(tblFinancials[[#This Row],[RegionKey]],tblRegions[RegionKey],tblRegions[RegionName],"")</f>
        <v>South</v>
      </c>
    </row>
    <row r="537" spans="1:16">
      <c r="A537">
        <v>20240301</v>
      </c>
      <c r="B537">
        <v>4</v>
      </c>
      <c r="C537">
        <v>1</v>
      </c>
      <c r="D537">
        <v>4</v>
      </c>
      <c r="E537">
        <v>17</v>
      </c>
      <c r="F537" t="s">
        <v>92</v>
      </c>
      <c r="G537">
        <v>-7278.64</v>
      </c>
      <c r="H537">
        <f>_xlfn.XLOOKUP(tblFinancials[[#This Row],[DateKey]],tblCalendar[DateKey],tblCalendar[FullDate],"")</f>
        <v>45352</v>
      </c>
      <c r="I537">
        <f>_xlfn.XLOOKUP(tblFinancials[[#This Row],[AccountKey]],tblAccounts[AccountKey],tblAccounts[AccountNumber],"")</f>
        <v>6120</v>
      </c>
      <c r="J537" t="str">
        <f>_xlfn.XLOOKUP(tblFinancials[[#This Row],[AccountKey]],tblAccounts[AccountKey],tblAccounts[AccountName],"")</f>
        <v>Employee Benefits</v>
      </c>
      <c r="K537" s="8" t="str">
        <f>_xlfn.XLOOKUP(tblFinancials[[#This Row],[AccountKey]],tblAccounts[AccountKey],tblAccounts[FinancialStatement],"")</f>
        <v>Income Statement</v>
      </c>
      <c r="L537" s="8" t="str">
        <f>_xlfn.XLOOKUP(tblFinancials[[#This Row],[AccountKey]],tblAccounts[AccountKey],tblAccounts[AccountCategory],"")</f>
        <v>Operating Expense</v>
      </c>
      <c r="M537" s="8" t="str">
        <f>_xlfn.XLOOKUP(tblFinancials[[#This Row],[AccountKey]],tblAccounts[AccountKey],tblAccounts[NormalBalance],"")</f>
        <v>Debit</v>
      </c>
      <c r="N537" s="8" t="str">
        <f>_xlfn.XLOOKUP(tblFinancials[[#This Row],[DepartmentKey]],tblDepartments[DepartmentKey],tblDepartments[DepartmentName],"")</f>
        <v>Sales</v>
      </c>
      <c r="O537" s="8" t="str">
        <f>_xlfn.XLOOKUP(tblFinancials[[#This Row],[BusinessUnitKey]],tblBusinessUnits[BusinessUnitKey],tblBusinessUnits[BusinessUnitName],"")</f>
        <v xml:space="preserve">Manufacturing </v>
      </c>
      <c r="P537" s="8" t="str">
        <f>_xlfn.XLOOKUP(tblFinancials[[#This Row],[RegionKey]],tblRegions[RegionKey],tblRegions[RegionName],"")</f>
        <v>East</v>
      </c>
    </row>
    <row r="538" spans="1:16">
      <c r="A538">
        <v>20240301</v>
      </c>
      <c r="B538">
        <v>4</v>
      </c>
      <c r="C538">
        <v>3</v>
      </c>
      <c r="D538">
        <v>2</v>
      </c>
      <c r="E538">
        <v>21</v>
      </c>
      <c r="F538" t="s">
        <v>92</v>
      </c>
      <c r="G538">
        <v>-5683.36</v>
      </c>
      <c r="H538">
        <f>_xlfn.XLOOKUP(tblFinancials[[#This Row],[DateKey]],tblCalendar[DateKey],tblCalendar[FullDate],"")</f>
        <v>45352</v>
      </c>
      <c r="I538">
        <f>_xlfn.XLOOKUP(tblFinancials[[#This Row],[AccountKey]],tblAccounts[AccountKey],tblAccounts[AccountNumber],"")</f>
        <v>6600</v>
      </c>
      <c r="J538" t="str">
        <f>_xlfn.XLOOKUP(tblFinancials[[#This Row],[AccountKey]],tblAccounts[AccountKey],tblAccounts[AccountName],"")</f>
        <v>Utilities Expense</v>
      </c>
      <c r="K538" s="8" t="str">
        <f>_xlfn.XLOOKUP(tblFinancials[[#This Row],[AccountKey]],tblAccounts[AccountKey],tblAccounts[FinancialStatement],"")</f>
        <v>Income Statement</v>
      </c>
      <c r="L538" s="8" t="str">
        <f>_xlfn.XLOOKUP(tblFinancials[[#This Row],[AccountKey]],tblAccounts[AccountKey],tblAccounts[AccountCategory],"")</f>
        <v>Operating Expense</v>
      </c>
      <c r="M538" s="8" t="str">
        <f>_xlfn.XLOOKUP(tblFinancials[[#This Row],[AccountKey]],tblAccounts[AccountKey],tblAccounts[NormalBalance],"")</f>
        <v>Debit</v>
      </c>
      <c r="N538" s="8" t="str">
        <f>_xlfn.XLOOKUP(tblFinancials[[#This Row],[DepartmentKey]],tblDepartments[DepartmentKey],tblDepartments[DepartmentName],"")</f>
        <v>Sales</v>
      </c>
      <c r="O538" s="8" t="str">
        <f>_xlfn.XLOOKUP(tblFinancials[[#This Row],[BusinessUnitKey]],tblBusinessUnits[BusinessUnitKey],tblBusinessUnits[BusinessUnitName],"")</f>
        <v>Retail</v>
      </c>
      <c r="P538" s="8" t="str">
        <f>_xlfn.XLOOKUP(tblFinancials[[#This Row],[RegionKey]],tblRegions[RegionKey],tblRegions[RegionName],"")</f>
        <v>Midwest</v>
      </c>
    </row>
    <row r="539" spans="1:16">
      <c r="A539">
        <v>20240301</v>
      </c>
      <c r="B539">
        <v>7</v>
      </c>
      <c r="C539">
        <v>4</v>
      </c>
      <c r="D539">
        <v>4</v>
      </c>
      <c r="E539">
        <v>24</v>
      </c>
      <c r="F539" t="s">
        <v>92</v>
      </c>
      <c r="G539">
        <v>-6923.53</v>
      </c>
      <c r="H539">
        <f>_xlfn.XLOOKUP(tblFinancials[[#This Row],[DateKey]],tblCalendar[DateKey],tblCalendar[FullDate],"")</f>
        <v>45352</v>
      </c>
      <c r="I539">
        <f>_xlfn.XLOOKUP(tblFinancials[[#This Row],[AccountKey]],tblAccounts[AccountKey],tblAccounts[AccountNumber],"")</f>
        <v>6900</v>
      </c>
      <c r="J539" t="str">
        <f>_xlfn.XLOOKUP(tblFinancials[[#This Row],[AccountKey]],tblAccounts[AccountKey],tblAccounts[AccountName],"")</f>
        <v>Professional Services</v>
      </c>
      <c r="K539" s="8" t="str">
        <f>_xlfn.XLOOKUP(tblFinancials[[#This Row],[AccountKey]],tblAccounts[AccountKey],tblAccounts[FinancialStatement],"")</f>
        <v>Income Statement</v>
      </c>
      <c r="L539" s="8" t="str">
        <f>_xlfn.XLOOKUP(tblFinancials[[#This Row],[AccountKey]],tblAccounts[AccountKey],tblAccounts[AccountCategory],"")</f>
        <v>Operating Expense</v>
      </c>
      <c r="M539" s="8" t="str">
        <f>_xlfn.XLOOKUP(tblFinancials[[#This Row],[AccountKey]],tblAccounts[AccountKey],tblAccounts[NormalBalance],"")</f>
        <v>Debit</v>
      </c>
      <c r="N539" s="8" t="str">
        <f>_xlfn.XLOOKUP(tblFinancials[[#This Row],[DepartmentKey]],tblDepartments[DepartmentKey],tblDepartments[DepartmentName],"")</f>
        <v>Information Technology</v>
      </c>
      <c r="O539" s="8" t="str">
        <f>_xlfn.XLOOKUP(tblFinancials[[#This Row],[BusinessUnitKey]],tblBusinessUnits[BusinessUnitKey],tblBusinessUnits[BusinessUnitName],"")</f>
        <v>E-Commerce</v>
      </c>
      <c r="P539" s="8" t="str">
        <f>_xlfn.XLOOKUP(tblFinancials[[#This Row],[RegionKey]],tblRegions[RegionKey],tblRegions[RegionName],"")</f>
        <v>East</v>
      </c>
    </row>
    <row r="540" spans="1:16">
      <c r="A540">
        <v>20240301</v>
      </c>
      <c r="B540">
        <v>1</v>
      </c>
      <c r="C540">
        <v>4</v>
      </c>
      <c r="D540">
        <v>2</v>
      </c>
      <c r="E540">
        <v>21</v>
      </c>
      <c r="F540" t="s">
        <v>92</v>
      </c>
      <c r="G540">
        <v>-7697.7</v>
      </c>
      <c r="H540">
        <f>_xlfn.XLOOKUP(tblFinancials[[#This Row],[DateKey]],tblCalendar[DateKey],tblCalendar[FullDate],"")</f>
        <v>45352</v>
      </c>
      <c r="I540">
        <f>_xlfn.XLOOKUP(tblFinancials[[#This Row],[AccountKey]],tblAccounts[AccountKey],tblAccounts[AccountNumber],"")</f>
        <v>6600</v>
      </c>
      <c r="J540" t="str">
        <f>_xlfn.XLOOKUP(tblFinancials[[#This Row],[AccountKey]],tblAccounts[AccountKey],tblAccounts[AccountName],"")</f>
        <v>Utilities Expense</v>
      </c>
      <c r="K540" s="8" t="str">
        <f>_xlfn.XLOOKUP(tblFinancials[[#This Row],[AccountKey]],tblAccounts[AccountKey],tblAccounts[FinancialStatement],"")</f>
        <v>Income Statement</v>
      </c>
      <c r="L540" s="8" t="str">
        <f>_xlfn.XLOOKUP(tblFinancials[[#This Row],[AccountKey]],tblAccounts[AccountKey],tblAccounts[AccountCategory],"")</f>
        <v>Operating Expense</v>
      </c>
      <c r="M540" s="8" t="str">
        <f>_xlfn.XLOOKUP(tblFinancials[[#This Row],[AccountKey]],tblAccounts[AccountKey],tblAccounts[NormalBalance],"")</f>
        <v>Debit</v>
      </c>
      <c r="N540" s="8" t="str">
        <f>_xlfn.XLOOKUP(tblFinancials[[#This Row],[DepartmentKey]],tblDepartments[DepartmentKey],tblDepartments[DepartmentName],"")</f>
        <v>Executive</v>
      </c>
      <c r="O540" s="8" t="str">
        <f>_xlfn.XLOOKUP(tblFinancials[[#This Row],[BusinessUnitKey]],tblBusinessUnits[BusinessUnitKey],tblBusinessUnits[BusinessUnitName],"")</f>
        <v>E-Commerce</v>
      </c>
      <c r="P540" s="8" t="str">
        <f>_xlfn.XLOOKUP(tblFinancials[[#This Row],[RegionKey]],tblRegions[RegionKey],tblRegions[RegionName],"")</f>
        <v>Midwest</v>
      </c>
    </row>
    <row r="541" spans="1:16">
      <c r="A541">
        <v>20240301</v>
      </c>
      <c r="B541">
        <v>7</v>
      </c>
      <c r="C541">
        <v>2</v>
      </c>
      <c r="D541">
        <v>4</v>
      </c>
      <c r="E541">
        <v>15</v>
      </c>
      <c r="F541" t="s">
        <v>92</v>
      </c>
      <c r="G541">
        <v>-5241.1400000000003</v>
      </c>
      <c r="H541">
        <f>_xlfn.XLOOKUP(tblFinancials[[#This Row],[DateKey]],tblCalendar[DateKey],tblCalendar[FullDate],"")</f>
        <v>45352</v>
      </c>
      <c r="I541">
        <f>_xlfn.XLOOKUP(tblFinancials[[#This Row],[AccountKey]],tblAccounts[AccountKey],tblAccounts[AccountNumber],"")</f>
        <v>6100</v>
      </c>
      <c r="J541" t="str">
        <f>_xlfn.XLOOKUP(tblFinancials[[#This Row],[AccountKey]],tblAccounts[AccountKey],tblAccounts[AccountName],"")</f>
        <v>Salaries Expense</v>
      </c>
      <c r="K541" s="8" t="str">
        <f>_xlfn.XLOOKUP(tblFinancials[[#This Row],[AccountKey]],tblAccounts[AccountKey],tblAccounts[FinancialStatement],"")</f>
        <v>Income Statement</v>
      </c>
      <c r="L541" s="8" t="str">
        <f>_xlfn.XLOOKUP(tblFinancials[[#This Row],[AccountKey]],tblAccounts[AccountKey],tblAccounts[AccountCategory],"")</f>
        <v>Operating Expense</v>
      </c>
      <c r="M541" s="8" t="str">
        <f>_xlfn.XLOOKUP(tblFinancials[[#This Row],[AccountKey]],tblAccounts[AccountKey],tblAccounts[NormalBalance],"")</f>
        <v>Debit</v>
      </c>
      <c r="N541" s="8" t="str">
        <f>_xlfn.XLOOKUP(tblFinancials[[#This Row],[DepartmentKey]],tblDepartments[DepartmentKey],tblDepartments[DepartmentName],"")</f>
        <v>Information Technology</v>
      </c>
      <c r="O541" s="8" t="str">
        <f>_xlfn.XLOOKUP(tblFinancials[[#This Row],[BusinessUnitKey]],tblBusinessUnits[BusinessUnitKey],tblBusinessUnits[BusinessUnitName],"")</f>
        <v>Wholesale</v>
      </c>
      <c r="P541" s="8" t="str">
        <f>_xlfn.XLOOKUP(tblFinancials[[#This Row],[RegionKey]],tblRegions[RegionKey],tblRegions[RegionName],"")</f>
        <v>East</v>
      </c>
    </row>
    <row r="542" spans="1:16">
      <c r="A542">
        <v>20240401</v>
      </c>
      <c r="B542">
        <v>5</v>
      </c>
      <c r="C542">
        <v>2</v>
      </c>
      <c r="D542">
        <v>2</v>
      </c>
      <c r="E542">
        <v>12</v>
      </c>
      <c r="F542" t="s">
        <v>92</v>
      </c>
      <c r="G542">
        <v>30656.98</v>
      </c>
      <c r="H542">
        <f>_xlfn.XLOOKUP(tblFinancials[[#This Row],[DateKey]],tblCalendar[DateKey],tblCalendar[FullDate],"")</f>
        <v>45383</v>
      </c>
      <c r="I542">
        <f>_xlfn.XLOOKUP(tblFinancials[[#This Row],[AccountKey]],tblAccounts[AccountKey],tblAccounts[AccountNumber],"")</f>
        <v>4010</v>
      </c>
      <c r="J542" t="str">
        <f>_xlfn.XLOOKUP(tblFinancials[[#This Row],[AccountKey]],tblAccounts[AccountKey],tblAccounts[AccountName],"")</f>
        <v>Service Revenue</v>
      </c>
      <c r="K542" s="8" t="str">
        <f>_xlfn.XLOOKUP(tblFinancials[[#This Row],[AccountKey]],tblAccounts[AccountKey],tblAccounts[FinancialStatement],"")</f>
        <v>Income Statement</v>
      </c>
      <c r="L542" s="8" t="str">
        <f>_xlfn.XLOOKUP(tblFinancials[[#This Row],[AccountKey]],tblAccounts[AccountKey],tblAccounts[AccountCategory],"")</f>
        <v>Revenue</v>
      </c>
      <c r="M542" s="8" t="str">
        <f>_xlfn.XLOOKUP(tblFinancials[[#This Row],[AccountKey]],tblAccounts[AccountKey],tblAccounts[NormalBalance],"")</f>
        <v>Credit</v>
      </c>
      <c r="N542" s="8" t="str">
        <f>_xlfn.XLOOKUP(tblFinancials[[#This Row],[DepartmentKey]],tblDepartments[DepartmentKey],tblDepartments[DepartmentName],"")</f>
        <v>Marketing</v>
      </c>
      <c r="O542" s="8" t="str">
        <f>_xlfn.XLOOKUP(tblFinancials[[#This Row],[BusinessUnitKey]],tblBusinessUnits[BusinessUnitKey],tblBusinessUnits[BusinessUnitName],"")</f>
        <v>Wholesale</v>
      </c>
      <c r="P542" s="8" t="str">
        <f>_xlfn.XLOOKUP(tblFinancials[[#This Row],[RegionKey]],tblRegions[RegionKey],tblRegions[RegionName],"")</f>
        <v>Midwest</v>
      </c>
    </row>
    <row r="543" spans="1:16">
      <c r="A543">
        <v>20240401</v>
      </c>
      <c r="B543">
        <v>7</v>
      </c>
      <c r="C543">
        <v>1</v>
      </c>
      <c r="D543">
        <v>1</v>
      </c>
      <c r="E543">
        <v>13</v>
      </c>
      <c r="F543" t="s">
        <v>92</v>
      </c>
      <c r="G543">
        <v>31155.59</v>
      </c>
      <c r="H543">
        <f>_xlfn.XLOOKUP(tblFinancials[[#This Row],[DateKey]],tblCalendar[DateKey],tblCalendar[FullDate],"")</f>
        <v>45383</v>
      </c>
      <c r="I543">
        <f>_xlfn.XLOOKUP(tblFinancials[[#This Row],[AccountKey]],tblAccounts[AccountKey],tblAccounts[AccountNumber],"")</f>
        <v>4020</v>
      </c>
      <c r="J543" t="str">
        <f>_xlfn.XLOOKUP(tblFinancials[[#This Row],[AccountKey]],tblAccounts[AccountKey],tblAccounts[AccountName],"")</f>
        <v>Online Revenue</v>
      </c>
      <c r="K543" s="8" t="str">
        <f>_xlfn.XLOOKUP(tblFinancials[[#This Row],[AccountKey]],tblAccounts[AccountKey],tblAccounts[FinancialStatement],"")</f>
        <v>Income Statement</v>
      </c>
      <c r="L543" s="8" t="str">
        <f>_xlfn.XLOOKUP(tblFinancials[[#This Row],[AccountKey]],tblAccounts[AccountKey],tblAccounts[AccountCategory],"")</f>
        <v>Revenue</v>
      </c>
      <c r="M543" s="8" t="str">
        <f>_xlfn.XLOOKUP(tblFinancials[[#This Row],[AccountKey]],tblAccounts[AccountKey],tblAccounts[NormalBalance],"")</f>
        <v>Credit</v>
      </c>
      <c r="N543" s="8" t="str">
        <f>_xlfn.XLOOKUP(tblFinancials[[#This Row],[DepartmentKey]],tblDepartments[DepartmentKey],tblDepartments[DepartmentName],"")</f>
        <v>Information Technology</v>
      </c>
      <c r="O543" s="8" t="str">
        <f>_xlfn.XLOOKUP(tblFinancials[[#This Row],[BusinessUnitKey]],tblBusinessUnits[BusinessUnitKey],tblBusinessUnits[BusinessUnitName],"")</f>
        <v xml:space="preserve">Manufacturing </v>
      </c>
      <c r="P543" s="8" t="str">
        <f>_xlfn.XLOOKUP(tblFinancials[[#This Row],[RegionKey]],tblRegions[RegionKey],tblRegions[RegionName],"")</f>
        <v>West</v>
      </c>
    </row>
    <row r="544" spans="1:16">
      <c r="A544">
        <v>20240401</v>
      </c>
      <c r="B544">
        <v>3</v>
      </c>
      <c r="C544">
        <v>2</v>
      </c>
      <c r="D544">
        <v>4</v>
      </c>
      <c r="E544">
        <v>12</v>
      </c>
      <c r="F544" t="s">
        <v>92</v>
      </c>
      <c r="G544">
        <v>30381.34</v>
      </c>
      <c r="H544">
        <f>_xlfn.XLOOKUP(tblFinancials[[#This Row],[DateKey]],tblCalendar[DateKey],tblCalendar[FullDate],"")</f>
        <v>45383</v>
      </c>
      <c r="I544">
        <f>_xlfn.XLOOKUP(tblFinancials[[#This Row],[AccountKey]],tblAccounts[AccountKey],tblAccounts[AccountNumber],"")</f>
        <v>4010</v>
      </c>
      <c r="J544" t="str">
        <f>_xlfn.XLOOKUP(tblFinancials[[#This Row],[AccountKey]],tblAccounts[AccountKey],tblAccounts[AccountName],"")</f>
        <v>Service Revenue</v>
      </c>
      <c r="K544" s="8" t="str">
        <f>_xlfn.XLOOKUP(tblFinancials[[#This Row],[AccountKey]],tblAccounts[AccountKey],tblAccounts[FinancialStatement],"")</f>
        <v>Income Statement</v>
      </c>
      <c r="L544" s="8" t="str">
        <f>_xlfn.XLOOKUP(tblFinancials[[#This Row],[AccountKey]],tblAccounts[AccountKey],tblAccounts[AccountCategory],"")</f>
        <v>Revenue</v>
      </c>
      <c r="M544" s="8" t="str">
        <f>_xlfn.XLOOKUP(tblFinancials[[#This Row],[AccountKey]],tblAccounts[AccountKey],tblAccounts[NormalBalance],"")</f>
        <v>Credit</v>
      </c>
      <c r="N544" s="8" t="str">
        <f>_xlfn.XLOOKUP(tblFinancials[[#This Row],[DepartmentKey]],tblDepartments[DepartmentKey],tblDepartments[DepartmentName],"")</f>
        <v>Human Resources</v>
      </c>
      <c r="O544" s="8" t="str">
        <f>_xlfn.XLOOKUP(tblFinancials[[#This Row],[BusinessUnitKey]],tblBusinessUnits[BusinessUnitKey],tblBusinessUnits[BusinessUnitName],"")</f>
        <v>Wholesale</v>
      </c>
      <c r="P544" s="8" t="str">
        <f>_xlfn.XLOOKUP(tblFinancials[[#This Row],[RegionKey]],tblRegions[RegionKey],tblRegions[RegionName],"")</f>
        <v>East</v>
      </c>
    </row>
    <row r="545" spans="1:16">
      <c r="A545">
        <v>20240401</v>
      </c>
      <c r="B545">
        <v>5</v>
      </c>
      <c r="C545">
        <v>2</v>
      </c>
      <c r="D545">
        <v>4</v>
      </c>
      <c r="E545">
        <v>11</v>
      </c>
      <c r="F545" t="s">
        <v>92</v>
      </c>
      <c r="G545">
        <v>30854.53</v>
      </c>
      <c r="H545">
        <f>_xlfn.XLOOKUP(tblFinancials[[#This Row],[DateKey]],tblCalendar[DateKey],tblCalendar[FullDate],"")</f>
        <v>45383</v>
      </c>
      <c r="I545">
        <f>_xlfn.XLOOKUP(tblFinancials[[#This Row],[AccountKey]],tblAccounts[AccountKey],tblAccounts[AccountNumber],"")</f>
        <v>4000</v>
      </c>
      <c r="J545" t="str">
        <f>_xlfn.XLOOKUP(tblFinancials[[#This Row],[AccountKey]],tblAccounts[AccountKey],tblAccounts[AccountName],"")</f>
        <v>Product Revenue</v>
      </c>
      <c r="K545" s="8" t="str">
        <f>_xlfn.XLOOKUP(tblFinancials[[#This Row],[AccountKey]],tblAccounts[AccountKey],tblAccounts[FinancialStatement],"")</f>
        <v>Income Statement</v>
      </c>
      <c r="L545" s="8" t="str">
        <f>_xlfn.XLOOKUP(tblFinancials[[#This Row],[AccountKey]],tblAccounts[AccountKey],tblAccounts[AccountCategory],"")</f>
        <v>Revenue</v>
      </c>
      <c r="M545" s="8" t="str">
        <f>_xlfn.XLOOKUP(tblFinancials[[#This Row],[AccountKey]],tblAccounts[AccountKey],tblAccounts[NormalBalance],"")</f>
        <v>Credit</v>
      </c>
      <c r="N545" s="8" t="str">
        <f>_xlfn.XLOOKUP(tblFinancials[[#This Row],[DepartmentKey]],tblDepartments[DepartmentKey],tblDepartments[DepartmentName],"")</f>
        <v>Marketing</v>
      </c>
      <c r="O545" s="8" t="str">
        <f>_xlfn.XLOOKUP(tblFinancials[[#This Row],[BusinessUnitKey]],tblBusinessUnits[BusinessUnitKey],tblBusinessUnits[BusinessUnitName],"")</f>
        <v>Wholesale</v>
      </c>
      <c r="P545" s="8" t="str">
        <f>_xlfn.XLOOKUP(tblFinancials[[#This Row],[RegionKey]],tblRegions[RegionKey],tblRegions[RegionName],"")</f>
        <v>East</v>
      </c>
    </row>
    <row r="546" spans="1:16">
      <c r="A546">
        <v>20240401</v>
      </c>
      <c r="B546">
        <v>1</v>
      </c>
      <c r="C546">
        <v>2</v>
      </c>
      <c r="D546">
        <v>2</v>
      </c>
      <c r="E546">
        <v>13</v>
      </c>
      <c r="F546" t="s">
        <v>92</v>
      </c>
      <c r="G546">
        <v>30403.71</v>
      </c>
      <c r="H546">
        <f>_xlfn.XLOOKUP(tblFinancials[[#This Row],[DateKey]],tblCalendar[DateKey],tblCalendar[FullDate],"")</f>
        <v>45383</v>
      </c>
      <c r="I546">
        <f>_xlfn.XLOOKUP(tblFinancials[[#This Row],[AccountKey]],tblAccounts[AccountKey],tblAccounts[AccountNumber],"")</f>
        <v>4020</v>
      </c>
      <c r="J546" t="str">
        <f>_xlfn.XLOOKUP(tblFinancials[[#This Row],[AccountKey]],tblAccounts[AccountKey],tblAccounts[AccountName],"")</f>
        <v>Online Revenue</v>
      </c>
      <c r="K546" s="8" t="str">
        <f>_xlfn.XLOOKUP(tblFinancials[[#This Row],[AccountKey]],tblAccounts[AccountKey],tblAccounts[FinancialStatement],"")</f>
        <v>Income Statement</v>
      </c>
      <c r="L546" s="8" t="str">
        <f>_xlfn.XLOOKUP(tblFinancials[[#This Row],[AccountKey]],tblAccounts[AccountKey],tblAccounts[AccountCategory],"")</f>
        <v>Revenue</v>
      </c>
      <c r="M546" s="8" t="str">
        <f>_xlfn.XLOOKUP(tblFinancials[[#This Row],[AccountKey]],tblAccounts[AccountKey],tblAccounts[NormalBalance],"")</f>
        <v>Credit</v>
      </c>
      <c r="N546" s="8" t="str">
        <f>_xlfn.XLOOKUP(tblFinancials[[#This Row],[DepartmentKey]],tblDepartments[DepartmentKey],tblDepartments[DepartmentName],"")</f>
        <v>Executive</v>
      </c>
      <c r="O546" s="8" t="str">
        <f>_xlfn.XLOOKUP(tblFinancials[[#This Row],[BusinessUnitKey]],tblBusinessUnits[BusinessUnitKey],tblBusinessUnits[BusinessUnitName],"")</f>
        <v>Wholesale</v>
      </c>
      <c r="P546" s="8" t="str">
        <f>_xlfn.XLOOKUP(tblFinancials[[#This Row],[RegionKey]],tblRegions[RegionKey],tblRegions[RegionName],"")</f>
        <v>Midwest</v>
      </c>
    </row>
    <row r="547" spans="1:16">
      <c r="A547">
        <v>20240401</v>
      </c>
      <c r="B547">
        <v>2</v>
      </c>
      <c r="C547">
        <v>4</v>
      </c>
      <c r="D547">
        <v>2</v>
      </c>
      <c r="E547">
        <v>13</v>
      </c>
      <c r="F547" t="s">
        <v>92</v>
      </c>
      <c r="G547">
        <v>32496.65</v>
      </c>
      <c r="H547">
        <f>_xlfn.XLOOKUP(tblFinancials[[#This Row],[DateKey]],tblCalendar[DateKey],tblCalendar[FullDate],"")</f>
        <v>45383</v>
      </c>
      <c r="I547">
        <f>_xlfn.XLOOKUP(tblFinancials[[#This Row],[AccountKey]],tblAccounts[AccountKey],tblAccounts[AccountNumber],"")</f>
        <v>4020</v>
      </c>
      <c r="J547" t="str">
        <f>_xlfn.XLOOKUP(tblFinancials[[#This Row],[AccountKey]],tblAccounts[AccountKey],tblAccounts[AccountName],"")</f>
        <v>Online Revenue</v>
      </c>
      <c r="K547" s="8" t="str">
        <f>_xlfn.XLOOKUP(tblFinancials[[#This Row],[AccountKey]],tblAccounts[AccountKey],tblAccounts[FinancialStatement],"")</f>
        <v>Income Statement</v>
      </c>
      <c r="L547" s="8" t="str">
        <f>_xlfn.XLOOKUP(tblFinancials[[#This Row],[AccountKey]],tblAccounts[AccountKey],tblAccounts[AccountCategory],"")</f>
        <v>Revenue</v>
      </c>
      <c r="M547" s="8" t="str">
        <f>_xlfn.XLOOKUP(tblFinancials[[#This Row],[AccountKey]],tblAccounts[AccountKey],tblAccounts[NormalBalance],"")</f>
        <v>Credit</v>
      </c>
      <c r="N547" s="8" t="str">
        <f>_xlfn.XLOOKUP(tblFinancials[[#This Row],[DepartmentKey]],tblDepartments[DepartmentKey],tblDepartments[DepartmentName],"")</f>
        <v>Finance</v>
      </c>
      <c r="O547" s="8" t="str">
        <f>_xlfn.XLOOKUP(tblFinancials[[#This Row],[BusinessUnitKey]],tblBusinessUnits[BusinessUnitKey],tblBusinessUnits[BusinessUnitName],"")</f>
        <v>E-Commerce</v>
      </c>
      <c r="P547" s="8" t="str">
        <f>_xlfn.XLOOKUP(tblFinancials[[#This Row],[RegionKey]],tblRegions[RegionKey],tblRegions[RegionName],"")</f>
        <v>Midwest</v>
      </c>
    </row>
    <row r="548" spans="1:16">
      <c r="A548">
        <v>20240401</v>
      </c>
      <c r="B548">
        <v>8</v>
      </c>
      <c r="C548">
        <v>3</v>
      </c>
      <c r="D548">
        <v>1</v>
      </c>
      <c r="E548">
        <v>11</v>
      </c>
      <c r="F548" t="s">
        <v>92</v>
      </c>
      <c r="G548">
        <v>32123.19</v>
      </c>
      <c r="H548">
        <f>_xlfn.XLOOKUP(tblFinancials[[#This Row],[DateKey]],tblCalendar[DateKey],tblCalendar[FullDate],"")</f>
        <v>45383</v>
      </c>
      <c r="I548">
        <f>_xlfn.XLOOKUP(tblFinancials[[#This Row],[AccountKey]],tblAccounts[AccountKey],tblAccounts[AccountNumber],"")</f>
        <v>4000</v>
      </c>
      <c r="J548" t="str">
        <f>_xlfn.XLOOKUP(tblFinancials[[#This Row],[AccountKey]],tblAccounts[AccountKey],tblAccounts[AccountName],"")</f>
        <v>Product Revenue</v>
      </c>
      <c r="K548" s="8" t="str">
        <f>_xlfn.XLOOKUP(tblFinancials[[#This Row],[AccountKey]],tblAccounts[AccountKey],tblAccounts[FinancialStatement],"")</f>
        <v>Income Statement</v>
      </c>
      <c r="L548" s="8" t="str">
        <f>_xlfn.XLOOKUP(tblFinancials[[#This Row],[AccountKey]],tblAccounts[AccountKey],tblAccounts[AccountCategory],"")</f>
        <v>Revenue</v>
      </c>
      <c r="M548" s="8" t="str">
        <f>_xlfn.XLOOKUP(tblFinancials[[#This Row],[AccountKey]],tblAccounts[AccountKey],tblAccounts[NormalBalance],"")</f>
        <v>Credit</v>
      </c>
      <c r="N548" s="8" t="str">
        <f>_xlfn.XLOOKUP(tblFinancials[[#This Row],[DepartmentKey]],tblDepartments[DepartmentKey],tblDepartments[DepartmentName],"")</f>
        <v>Customer Service</v>
      </c>
      <c r="O548" s="8" t="str">
        <f>_xlfn.XLOOKUP(tblFinancials[[#This Row],[BusinessUnitKey]],tblBusinessUnits[BusinessUnitKey],tblBusinessUnits[BusinessUnitName],"")</f>
        <v>Retail</v>
      </c>
      <c r="P548" s="8" t="str">
        <f>_xlfn.XLOOKUP(tblFinancials[[#This Row],[RegionKey]],tblRegions[RegionKey],tblRegions[RegionName],"")</f>
        <v>West</v>
      </c>
    </row>
    <row r="549" spans="1:16">
      <c r="A549">
        <v>20240401</v>
      </c>
      <c r="B549">
        <v>3</v>
      </c>
      <c r="C549">
        <v>3</v>
      </c>
      <c r="D549">
        <v>1</v>
      </c>
      <c r="E549">
        <v>13</v>
      </c>
      <c r="F549" t="s">
        <v>92</v>
      </c>
      <c r="G549">
        <v>31964.53</v>
      </c>
      <c r="H549">
        <f>_xlfn.XLOOKUP(tblFinancials[[#This Row],[DateKey]],tblCalendar[DateKey],tblCalendar[FullDate],"")</f>
        <v>45383</v>
      </c>
      <c r="I549">
        <f>_xlfn.XLOOKUP(tblFinancials[[#This Row],[AccountKey]],tblAccounts[AccountKey],tblAccounts[AccountNumber],"")</f>
        <v>4020</v>
      </c>
      <c r="J549" t="str">
        <f>_xlfn.XLOOKUP(tblFinancials[[#This Row],[AccountKey]],tblAccounts[AccountKey],tblAccounts[AccountName],"")</f>
        <v>Online Revenue</v>
      </c>
      <c r="K549" s="8" t="str">
        <f>_xlfn.XLOOKUP(tblFinancials[[#This Row],[AccountKey]],tblAccounts[AccountKey],tblAccounts[FinancialStatement],"")</f>
        <v>Income Statement</v>
      </c>
      <c r="L549" s="8" t="str">
        <f>_xlfn.XLOOKUP(tblFinancials[[#This Row],[AccountKey]],tblAccounts[AccountKey],tblAccounts[AccountCategory],"")</f>
        <v>Revenue</v>
      </c>
      <c r="M549" s="8" t="str">
        <f>_xlfn.XLOOKUP(tblFinancials[[#This Row],[AccountKey]],tblAccounts[AccountKey],tblAccounts[NormalBalance],"")</f>
        <v>Credit</v>
      </c>
      <c r="N549" s="8" t="str">
        <f>_xlfn.XLOOKUP(tblFinancials[[#This Row],[DepartmentKey]],tblDepartments[DepartmentKey],tblDepartments[DepartmentName],"")</f>
        <v>Human Resources</v>
      </c>
      <c r="O549" s="8" t="str">
        <f>_xlfn.XLOOKUP(tblFinancials[[#This Row],[BusinessUnitKey]],tblBusinessUnits[BusinessUnitKey],tblBusinessUnits[BusinessUnitName],"")</f>
        <v>Retail</v>
      </c>
      <c r="P549" s="8" t="str">
        <f>_xlfn.XLOOKUP(tblFinancials[[#This Row],[RegionKey]],tblRegions[RegionKey],tblRegions[RegionName],"")</f>
        <v>West</v>
      </c>
    </row>
    <row r="550" spans="1:16">
      <c r="A550">
        <v>20240401</v>
      </c>
      <c r="B550">
        <v>4</v>
      </c>
      <c r="C550">
        <v>2</v>
      </c>
      <c r="D550">
        <v>1</v>
      </c>
      <c r="E550">
        <v>13</v>
      </c>
      <c r="F550" t="s">
        <v>92</v>
      </c>
      <c r="G550">
        <v>30803.32</v>
      </c>
      <c r="H550">
        <f>_xlfn.XLOOKUP(tblFinancials[[#This Row],[DateKey]],tblCalendar[DateKey],tblCalendar[FullDate],"")</f>
        <v>45383</v>
      </c>
      <c r="I550">
        <f>_xlfn.XLOOKUP(tblFinancials[[#This Row],[AccountKey]],tblAccounts[AccountKey],tblAccounts[AccountNumber],"")</f>
        <v>4020</v>
      </c>
      <c r="J550" t="str">
        <f>_xlfn.XLOOKUP(tblFinancials[[#This Row],[AccountKey]],tblAccounts[AccountKey],tblAccounts[AccountName],"")</f>
        <v>Online Revenue</v>
      </c>
      <c r="K550" s="8" t="str">
        <f>_xlfn.XLOOKUP(tblFinancials[[#This Row],[AccountKey]],tblAccounts[AccountKey],tblAccounts[FinancialStatement],"")</f>
        <v>Income Statement</v>
      </c>
      <c r="L550" s="8" t="str">
        <f>_xlfn.XLOOKUP(tblFinancials[[#This Row],[AccountKey]],tblAccounts[AccountKey],tblAccounts[AccountCategory],"")</f>
        <v>Revenue</v>
      </c>
      <c r="M550" s="8" t="str">
        <f>_xlfn.XLOOKUP(tblFinancials[[#This Row],[AccountKey]],tblAccounts[AccountKey],tblAccounts[NormalBalance],"")</f>
        <v>Credit</v>
      </c>
      <c r="N550" s="8" t="str">
        <f>_xlfn.XLOOKUP(tblFinancials[[#This Row],[DepartmentKey]],tblDepartments[DepartmentKey],tblDepartments[DepartmentName],"")</f>
        <v>Sales</v>
      </c>
      <c r="O550" s="8" t="str">
        <f>_xlfn.XLOOKUP(tblFinancials[[#This Row],[BusinessUnitKey]],tblBusinessUnits[BusinessUnitKey],tblBusinessUnits[BusinessUnitName],"")</f>
        <v>Wholesale</v>
      </c>
      <c r="P550" s="8" t="str">
        <f>_xlfn.XLOOKUP(tblFinancials[[#This Row],[RegionKey]],tblRegions[RegionKey],tblRegions[RegionName],"")</f>
        <v>West</v>
      </c>
    </row>
    <row r="551" spans="1:16">
      <c r="A551">
        <v>20240401</v>
      </c>
      <c r="B551">
        <v>1</v>
      </c>
      <c r="C551">
        <v>4</v>
      </c>
      <c r="D551">
        <v>3</v>
      </c>
      <c r="E551">
        <v>13</v>
      </c>
      <c r="F551" t="s">
        <v>92</v>
      </c>
      <c r="G551">
        <v>31866.49</v>
      </c>
      <c r="H551">
        <f>_xlfn.XLOOKUP(tblFinancials[[#This Row],[DateKey]],tblCalendar[DateKey],tblCalendar[FullDate],"")</f>
        <v>45383</v>
      </c>
      <c r="I551">
        <f>_xlfn.XLOOKUP(tblFinancials[[#This Row],[AccountKey]],tblAccounts[AccountKey],tblAccounts[AccountNumber],"")</f>
        <v>4020</v>
      </c>
      <c r="J551" t="str">
        <f>_xlfn.XLOOKUP(tblFinancials[[#This Row],[AccountKey]],tblAccounts[AccountKey],tblAccounts[AccountName],"")</f>
        <v>Online Revenue</v>
      </c>
      <c r="K551" s="8" t="str">
        <f>_xlfn.XLOOKUP(tblFinancials[[#This Row],[AccountKey]],tblAccounts[AccountKey],tblAccounts[FinancialStatement],"")</f>
        <v>Income Statement</v>
      </c>
      <c r="L551" s="8" t="str">
        <f>_xlfn.XLOOKUP(tblFinancials[[#This Row],[AccountKey]],tblAccounts[AccountKey],tblAccounts[AccountCategory],"")</f>
        <v>Revenue</v>
      </c>
      <c r="M551" s="8" t="str">
        <f>_xlfn.XLOOKUP(tblFinancials[[#This Row],[AccountKey]],tblAccounts[AccountKey],tblAccounts[NormalBalance],"")</f>
        <v>Credit</v>
      </c>
      <c r="N551" s="8" t="str">
        <f>_xlfn.XLOOKUP(tblFinancials[[#This Row],[DepartmentKey]],tblDepartments[DepartmentKey],tblDepartments[DepartmentName],"")</f>
        <v>Executive</v>
      </c>
      <c r="O551" s="8" t="str">
        <f>_xlfn.XLOOKUP(tblFinancials[[#This Row],[BusinessUnitKey]],tblBusinessUnits[BusinessUnitKey],tblBusinessUnits[BusinessUnitName],"")</f>
        <v>E-Commerce</v>
      </c>
      <c r="P551" s="8" t="str">
        <f>_xlfn.XLOOKUP(tblFinancials[[#This Row],[RegionKey]],tblRegions[RegionKey],tblRegions[RegionName],"")</f>
        <v>South</v>
      </c>
    </row>
    <row r="552" spans="1:16">
      <c r="A552">
        <v>20240401</v>
      </c>
      <c r="B552">
        <v>7</v>
      </c>
      <c r="C552">
        <v>4</v>
      </c>
      <c r="D552">
        <v>4</v>
      </c>
      <c r="E552">
        <v>13</v>
      </c>
      <c r="F552" t="s">
        <v>92</v>
      </c>
      <c r="G552">
        <v>30284.51</v>
      </c>
      <c r="H552">
        <f>_xlfn.XLOOKUP(tblFinancials[[#This Row],[DateKey]],tblCalendar[DateKey],tblCalendar[FullDate],"")</f>
        <v>45383</v>
      </c>
      <c r="I552">
        <f>_xlfn.XLOOKUP(tblFinancials[[#This Row],[AccountKey]],tblAccounts[AccountKey],tblAccounts[AccountNumber],"")</f>
        <v>4020</v>
      </c>
      <c r="J552" t="str">
        <f>_xlfn.XLOOKUP(tblFinancials[[#This Row],[AccountKey]],tblAccounts[AccountKey],tblAccounts[AccountName],"")</f>
        <v>Online Revenue</v>
      </c>
      <c r="K552" s="8" t="str">
        <f>_xlfn.XLOOKUP(tblFinancials[[#This Row],[AccountKey]],tblAccounts[AccountKey],tblAccounts[FinancialStatement],"")</f>
        <v>Income Statement</v>
      </c>
      <c r="L552" s="8" t="str">
        <f>_xlfn.XLOOKUP(tblFinancials[[#This Row],[AccountKey]],tblAccounts[AccountKey],tblAccounts[AccountCategory],"")</f>
        <v>Revenue</v>
      </c>
      <c r="M552" s="8" t="str">
        <f>_xlfn.XLOOKUP(tblFinancials[[#This Row],[AccountKey]],tblAccounts[AccountKey],tblAccounts[NormalBalance],"")</f>
        <v>Credit</v>
      </c>
      <c r="N552" s="8" t="str">
        <f>_xlfn.XLOOKUP(tblFinancials[[#This Row],[DepartmentKey]],tblDepartments[DepartmentKey],tblDepartments[DepartmentName],"")</f>
        <v>Information Technology</v>
      </c>
      <c r="O552" s="8" t="str">
        <f>_xlfn.XLOOKUP(tblFinancials[[#This Row],[BusinessUnitKey]],tblBusinessUnits[BusinessUnitKey],tblBusinessUnits[BusinessUnitName],"")</f>
        <v>E-Commerce</v>
      </c>
      <c r="P552" s="8" t="str">
        <f>_xlfn.XLOOKUP(tblFinancials[[#This Row],[RegionKey]],tblRegions[RegionKey],tblRegions[RegionName],"")</f>
        <v>East</v>
      </c>
    </row>
    <row r="553" spans="1:16">
      <c r="A553">
        <v>20240401</v>
      </c>
      <c r="B553">
        <v>1</v>
      </c>
      <c r="C553">
        <v>1</v>
      </c>
      <c r="D553">
        <v>1</v>
      </c>
      <c r="E553">
        <v>11</v>
      </c>
      <c r="F553" t="s">
        <v>92</v>
      </c>
      <c r="G553">
        <v>34167.35</v>
      </c>
      <c r="H553">
        <f>_xlfn.XLOOKUP(tblFinancials[[#This Row],[DateKey]],tblCalendar[DateKey],tblCalendar[FullDate],"")</f>
        <v>45383</v>
      </c>
      <c r="I553">
        <f>_xlfn.XLOOKUP(tblFinancials[[#This Row],[AccountKey]],tblAccounts[AccountKey],tblAccounts[AccountNumber],"")</f>
        <v>4000</v>
      </c>
      <c r="J553" t="str">
        <f>_xlfn.XLOOKUP(tblFinancials[[#This Row],[AccountKey]],tblAccounts[AccountKey],tblAccounts[AccountName],"")</f>
        <v>Product Revenue</v>
      </c>
      <c r="K553" s="8" t="str">
        <f>_xlfn.XLOOKUP(tblFinancials[[#This Row],[AccountKey]],tblAccounts[AccountKey],tblAccounts[FinancialStatement],"")</f>
        <v>Income Statement</v>
      </c>
      <c r="L553" s="8" t="str">
        <f>_xlfn.XLOOKUP(tblFinancials[[#This Row],[AccountKey]],tblAccounts[AccountKey],tblAccounts[AccountCategory],"")</f>
        <v>Revenue</v>
      </c>
      <c r="M553" s="8" t="str">
        <f>_xlfn.XLOOKUP(tblFinancials[[#This Row],[AccountKey]],tblAccounts[AccountKey],tblAccounts[NormalBalance],"")</f>
        <v>Credit</v>
      </c>
      <c r="N553" s="8" t="str">
        <f>_xlfn.XLOOKUP(tblFinancials[[#This Row],[DepartmentKey]],tblDepartments[DepartmentKey],tblDepartments[DepartmentName],"")</f>
        <v>Executive</v>
      </c>
      <c r="O553" s="8" t="str">
        <f>_xlfn.XLOOKUP(tblFinancials[[#This Row],[BusinessUnitKey]],tblBusinessUnits[BusinessUnitKey],tblBusinessUnits[BusinessUnitName],"")</f>
        <v xml:space="preserve">Manufacturing </v>
      </c>
      <c r="P553" s="8" t="str">
        <f>_xlfn.XLOOKUP(tblFinancials[[#This Row],[RegionKey]],tblRegions[RegionKey],tblRegions[RegionName],"")</f>
        <v>West</v>
      </c>
    </row>
    <row r="554" spans="1:16">
      <c r="A554">
        <v>20240401</v>
      </c>
      <c r="B554">
        <v>1</v>
      </c>
      <c r="C554">
        <v>1</v>
      </c>
      <c r="D554">
        <v>3</v>
      </c>
      <c r="E554">
        <v>14</v>
      </c>
      <c r="F554" t="s">
        <v>92</v>
      </c>
      <c r="G554">
        <v>-18962.740000000002</v>
      </c>
      <c r="H554">
        <f>_xlfn.XLOOKUP(tblFinancials[[#This Row],[DateKey]],tblCalendar[DateKey],tblCalendar[FullDate],"")</f>
        <v>45383</v>
      </c>
      <c r="I554">
        <f>_xlfn.XLOOKUP(tblFinancials[[#This Row],[AccountKey]],tblAccounts[AccountKey],tblAccounts[AccountNumber],"")</f>
        <v>5000</v>
      </c>
      <c r="J554" t="str">
        <f>_xlfn.XLOOKUP(tblFinancials[[#This Row],[AccountKey]],tblAccounts[AccountKey],tblAccounts[AccountName],"")</f>
        <v>Cost of Goods Sold</v>
      </c>
      <c r="K554" s="8" t="str">
        <f>_xlfn.XLOOKUP(tblFinancials[[#This Row],[AccountKey]],tblAccounts[AccountKey],tblAccounts[FinancialStatement],"")</f>
        <v>Income Statement</v>
      </c>
      <c r="L554" s="8" t="str">
        <f>_xlfn.XLOOKUP(tblFinancials[[#This Row],[AccountKey]],tblAccounts[AccountKey],tblAccounts[AccountCategory],"")</f>
        <v>Cost of Sales</v>
      </c>
      <c r="M554" s="8" t="str">
        <f>_xlfn.XLOOKUP(tblFinancials[[#This Row],[AccountKey]],tblAccounts[AccountKey],tblAccounts[NormalBalance],"")</f>
        <v>Debit</v>
      </c>
      <c r="N554" s="8" t="str">
        <f>_xlfn.XLOOKUP(tblFinancials[[#This Row],[DepartmentKey]],tblDepartments[DepartmentKey],tblDepartments[DepartmentName],"")</f>
        <v>Executive</v>
      </c>
      <c r="O554" s="8" t="str">
        <f>_xlfn.XLOOKUP(tblFinancials[[#This Row],[BusinessUnitKey]],tblBusinessUnits[BusinessUnitKey],tblBusinessUnits[BusinessUnitName],"")</f>
        <v xml:space="preserve">Manufacturing </v>
      </c>
      <c r="P554" s="8" t="str">
        <f>_xlfn.XLOOKUP(tblFinancials[[#This Row],[RegionKey]],tblRegions[RegionKey],tblRegions[RegionName],"")</f>
        <v>South</v>
      </c>
    </row>
    <row r="555" spans="1:16">
      <c r="A555">
        <v>20240401</v>
      </c>
      <c r="B555">
        <v>5</v>
      </c>
      <c r="C555">
        <v>1</v>
      </c>
      <c r="D555">
        <v>4</v>
      </c>
      <c r="E555">
        <v>14</v>
      </c>
      <c r="F555" t="s">
        <v>92</v>
      </c>
      <c r="G555">
        <v>-17428.689999999999</v>
      </c>
      <c r="H555">
        <f>_xlfn.XLOOKUP(tblFinancials[[#This Row],[DateKey]],tblCalendar[DateKey],tblCalendar[FullDate],"")</f>
        <v>45383</v>
      </c>
      <c r="I555">
        <f>_xlfn.XLOOKUP(tblFinancials[[#This Row],[AccountKey]],tblAccounts[AccountKey],tblAccounts[AccountNumber],"")</f>
        <v>5000</v>
      </c>
      <c r="J555" t="str">
        <f>_xlfn.XLOOKUP(tblFinancials[[#This Row],[AccountKey]],tblAccounts[AccountKey],tblAccounts[AccountName],"")</f>
        <v>Cost of Goods Sold</v>
      </c>
      <c r="K555" s="8" t="str">
        <f>_xlfn.XLOOKUP(tblFinancials[[#This Row],[AccountKey]],tblAccounts[AccountKey],tblAccounts[FinancialStatement],"")</f>
        <v>Income Statement</v>
      </c>
      <c r="L555" s="8" t="str">
        <f>_xlfn.XLOOKUP(tblFinancials[[#This Row],[AccountKey]],tblAccounts[AccountKey],tblAccounts[AccountCategory],"")</f>
        <v>Cost of Sales</v>
      </c>
      <c r="M555" s="8" t="str">
        <f>_xlfn.XLOOKUP(tblFinancials[[#This Row],[AccountKey]],tblAccounts[AccountKey],tblAccounts[NormalBalance],"")</f>
        <v>Debit</v>
      </c>
      <c r="N555" s="8" t="str">
        <f>_xlfn.XLOOKUP(tblFinancials[[#This Row],[DepartmentKey]],tblDepartments[DepartmentKey],tblDepartments[DepartmentName],"")</f>
        <v>Marketing</v>
      </c>
      <c r="O555" s="8" t="str">
        <f>_xlfn.XLOOKUP(tblFinancials[[#This Row],[BusinessUnitKey]],tblBusinessUnits[BusinessUnitKey],tblBusinessUnits[BusinessUnitName],"")</f>
        <v xml:space="preserve">Manufacturing </v>
      </c>
      <c r="P555" s="8" t="str">
        <f>_xlfn.XLOOKUP(tblFinancials[[#This Row],[RegionKey]],tblRegions[RegionKey],tblRegions[RegionName],"")</f>
        <v>East</v>
      </c>
    </row>
    <row r="556" spans="1:16">
      <c r="A556">
        <v>20240401</v>
      </c>
      <c r="B556">
        <v>8</v>
      </c>
      <c r="C556">
        <v>2</v>
      </c>
      <c r="D556">
        <v>3</v>
      </c>
      <c r="E556">
        <v>14</v>
      </c>
      <c r="F556" t="s">
        <v>92</v>
      </c>
      <c r="G556">
        <v>-19332.02</v>
      </c>
      <c r="H556">
        <f>_xlfn.XLOOKUP(tblFinancials[[#This Row],[DateKey]],tblCalendar[DateKey],tblCalendar[FullDate],"")</f>
        <v>45383</v>
      </c>
      <c r="I556">
        <f>_xlfn.XLOOKUP(tblFinancials[[#This Row],[AccountKey]],tblAccounts[AccountKey],tblAccounts[AccountNumber],"")</f>
        <v>5000</v>
      </c>
      <c r="J556" t="str">
        <f>_xlfn.XLOOKUP(tblFinancials[[#This Row],[AccountKey]],tblAccounts[AccountKey],tblAccounts[AccountName],"")</f>
        <v>Cost of Goods Sold</v>
      </c>
      <c r="K556" s="8" t="str">
        <f>_xlfn.XLOOKUP(tblFinancials[[#This Row],[AccountKey]],tblAccounts[AccountKey],tblAccounts[FinancialStatement],"")</f>
        <v>Income Statement</v>
      </c>
      <c r="L556" s="8" t="str">
        <f>_xlfn.XLOOKUP(tblFinancials[[#This Row],[AccountKey]],tblAccounts[AccountKey],tblAccounts[AccountCategory],"")</f>
        <v>Cost of Sales</v>
      </c>
      <c r="M556" s="8" t="str">
        <f>_xlfn.XLOOKUP(tblFinancials[[#This Row],[AccountKey]],tblAccounts[AccountKey],tblAccounts[NormalBalance],"")</f>
        <v>Debit</v>
      </c>
      <c r="N556" s="8" t="str">
        <f>_xlfn.XLOOKUP(tblFinancials[[#This Row],[DepartmentKey]],tblDepartments[DepartmentKey],tblDepartments[DepartmentName],"")</f>
        <v>Customer Service</v>
      </c>
      <c r="O556" s="8" t="str">
        <f>_xlfn.XLOOKUP(tblFinancials[[#This Row],[BusinessUnitKey]],tblBusinessUnits[BusinessUnitKey],tblBusinessUnits[BusinessUnitName],"")</f>
        <v>Wholesale</v>
      </c>
      <c r="P556" s="8" t="str">
        <f>_xlfn.XLOOKUP(tblFinancials[[#This Row],[RegionKey]],tblRegions[RegionKey],tblRegions[RegionName],"")</f>
        <v>South</v>
      </c>
    </row>
    <row r="557" spans="1:16">
      <c r="A557">
        <v>20240401</v>
      </c>
      <c r="B557">
        <v>3</v>
      </c>
      <c r="C557">
        <v>4</v>
      </c>
      <c r="D557">
        <v>4</v>
      </c>
      <c r="E557">
        <v>14</v>
      </c>
      <c r="F557" t="s">
        <v>92</v>
      </c>
      <c r="G557">
        <v>-19138.310000000001</v>
      </c>
      <c r="H557">
        <f>_xlfn.XLOOKUP(tblFinancials[[#This Row],[DateKey]],tblCalendar[DateKey],tblCalendar[FullDate],"")</f>
        <v>45383</v>
      </c>
      <c r="I557">
        <f>_xlfn.XLOOKUP(tblFinancials[[#This Row],[AccountKey]],tblAccounts[AccountKey],tblAccounts[AccountNumber],"")</f>
        <v>5000</v>
      </c>
      <c r="J557" t="str">
        <f>_xlfn.XLOOKUP(tblFinancials[[#This Row],[AccountKey]],tblAccounts[AccountKey],tblAccounts[AccountName],"")</f>
        <v>Cost of Goods Sold</v>
      </c>
      <c r="K557" s="8" t="str">
        <f>_xlfn.XLOOKUP(tblFinancials[[#This Row],[AccountKey]],tblAccounts[AccountKey],tblAccounts[FinancialStatement],"")</f>
        <v>Income Statement</v>
      </c>
      <c r="L557" s="8" t="str">
        <f>_xlfn.XLOOKUP(tblFinancials[[#This Row],[AccountKey]],tblAccounts[AccountKey],tblAccounts[AccountCategory],"")</f>
        <v>Cost of Sales</v>
      </c>
      <c r="M557" s="8" t="str">
        <f>_xlfn.XLOOKUP(tblFinancials[[#This Row],[AccountKey]],tblAccounts[AccountKey],tblAccounts[NormalBalance],"")</f>
        <v>Debit</v>
      </c>
      <c r="N557" s="8" t="str">
        <f>_xlfn.XLOOKUP(tblFinancials[[#This Row],[DepartmentKey]],tblDepartments[DepartmentKey],tblDepartments[DepartmentName],"")</f>
        <v>Human Resources</v>
      </c>
      <c r="O557" s="8" t="str">
        <f>_xlfn.XLOOKUP(tblFinancials[[#This Row],[BusinessUnitKey]],tblBusinessUnits[BusinessUnitKey],tblBusinessUnits[BusinessUnitName],"")</f>
        <v>E-Commerce</v>
      </c>
      <c r="P557" s="8" t="str">
        <f>_xlfn.XLOOKUP(tblFinancials[[#This Row],[RegionKey]],tblRegions[RegionKey],tblRegions[RegionName],"")</f>
        <v>East</v>
      </c>
    </row>
    <row r="558" spans="1:16">
      <c r="A558">
        <v>20240401</v>
      </c>
      <c r="B558">
        <v>6</v>
      </c>
      <c r="C558">
        <v>3</v>
      </c>
      <c r="D558">
        <v>3</v>
      </c>
      <c r="E558">
        <v>14</v>
      </c>
      <c r="F558" t="s">
        <v>92</v>
      </c>
      <c r="G558">
        <v>-18142.849999999999</v>
      </c>
      <c r="H558">
        <f>_xlfn.XLOOKUP(tblFinancials[[#This Row],[DateKey]],tblCalendar[DateKey],tblCalendar[FullDate],"")</f>
        <v>45383</v>
      </c>
      <c r="I558">
        <f>_xlfn.XLOOKUP(tblFinancials[[#This Row],[AccountKey]],tblAccounts[AccountKey],tblAccounts[AccountNumber],"")</f>
        <v>5000</v>
      </c>
      <c r="J558" t="str">
        <f>_xlfn.XLOOKUP(tblFinancials[[#This Row],[AccountKey]],tblAccounts[AccountKey],tblAccounts[AccountName],"")</f>
        <v>Cost of Goods Sold</v>
      </c>
      <c r="K558" s="8" t="str">
        <f>_xlfn.XLOOKUP(tblFinancials[[#This Row],[AccountKey]],tblAccounts[AccountKey],tblAccounts[FinancialStatement],"")</f>
        <v>Income Statement</v>
      </c>
      <c r="L558" s="8" t="str">
        <f>_xlfn.XLOOKUP(tblFinancials[[#This Row],[AccountKey]],tblAccounts[AccountKey],tblAccounts[AccountCategory],"")</f>
        <v>Cost of Sales</v>
      </c>
      <c r="M558" s="8" t="str">
        <f>_xlfn.XLOOKUP(tblFinancials[[#This Row],[AccountKey]],tblAccounts[AccountKey],tblAccounts[NormalBalance],"")</f>
        <v>Debit</v>
      </c>
      <c r="N558" s="8" t="str">
        <f>_xlfn.XLOOKUP(tblFinancials[[#This Row],[DepartmentKey]],tblDepartments[DepartmentKey],tblDepartments[DepartmentName],"")</f>
        <v>Operations</v>
      </c>
      <c r="O558" s="8" t="str">
        <f>_xlfn.XLOOKUP(tblFinancials[[#This Row],[BusinessUnitKey]],tblBusinessUnits[BusinessUnitKey],tblBusinessUnits[BusinessUnitName],"")</f>
        <v>Retail</v>
      </c>
      <c r="P558" s="8" t="str">
        <f>_xlfn.XLOOKUP(tblFinancials[[#This Row],[RegionKey]],tblRegions[RegionKey],tblRegions[RegionName],"")</f>
        <v>South</v>
      </c>
    </row>
    <row r="559" spans="1:16">
      <c r="A559">
        <v>20240401</v>
      </c>
      <c r="B559">
        <v>5</v>
      </c>
      <c r="C559">
        <v>2</v>
      </c>
      <c r="D559">
        <v>2</v>
      </c>
      <c r="E559">
        <v>14</v>
      </c>
      <c r="F559" t="s">
        <v>92</v>
      </c>
      <c r="G559">
        <v>-17474.599999999999</v>
      </c>
      <c r="H559">
        <f>_xlfn.XLOOKUP(tblFinancials[[#This Row],[DateKey]],tblCalendar[DateKey],tblCalendar[FullDate],"")</f>
        <v>45383</v>
      </c>
      <c r="I559">
        <f>_xlfn.XLOOKUP(tblFinancials[[#This Row],[AccountKey]],tblAccounts[AccountKey],tblAccounts[AccountNumber],"")</f>
        <v>5000</v>
      </c>
      <c r="J559" t="str">
        <f>_xlfn.XLOOKUP(tblFinancials[[#This Row],[AccountKey]],tblAccounts[AccountKey],tblAccounts[AccountName],"")</f>
        <v>Cost of Goods Sold</v>
      </c>
      <c r="K559" s="8" t="str">
        <f>_xlfn.XLOOKUP(tblFinancials[[#This Row],[AccountKey]],tblAccounts[AccountKey],tblAccounts[FinancialStatement],"")</f>
        <v>Income Statement</v>
      </c>
      <c r="L559" s="8" t="str">
        <f>_xlfn.XLOOKUP(tblFinancials[[#This Row],[AccountKey]],tblAccounts[AccountKey],tblAccounts[AccountCategory],"")</f>
        <v>Cost of Sales</v>
      </c>
      <c r="M559" s="8" t="str">
        <f>_xlfn.XLOOKUP(tblFinancials[[#This Row],[AccountKey]],tblAccounts[AccountKey],tblAccounts[NormalBalance],"")</f>
        <v>Debit</v>
      </c>
      <c r="N559" s="8" t="str">
        <f>_xlfn.XLOOKUP(tblFinancials[[#This Row],[DepartmentKey]],tblDepartments[DepartmentKey],tblDepartments[DepartmentName],"")</f>
        <v>Marketing</v>
      </c>
      <c r="O559" s="8" t="str">
        <f>_xlfn.XLOOKUP(tblFinancials[[#This Row],[BusinessUnitKey]],tblBusinessUnits[BusinessUnitKey],tblBusinessUnits[BusinessUnitName],"")</f>
        <v>Wholesale</v>
      </c>
      <c r="P559" s="8" t="str">
        <f>_xlfn.XLOOKUP(tblFinancials[[#This Row],[RegionKey]],tblRegions[RegionKey],tblRegions[RegionName],"")</f>
        <v>Midwest</v>
      </c>
    </row>
    <row r="560" spans="1:16">
      <c r="A560">
        <v>20240401</v>
      </c>
      <c r="B560">
        <v>6</v>
      </c>
      <c r="C560">
        <v>3</v>
      </c>
      <c r="D560">
        <v>3</v>
      </c>
      <c r="E560">
        <v>14</v>
      </c>
      <c r="F560" t="s">
        <v>92</v>
      </c>
      <c r="G560">
        <v>-17269.62</v>
      </c>
      <c r="H560">
        <f>_xlfn.XLOOKUP(tblFinancials[[#This Row],[DateKey]],tblCalendar[DateKey],tblCalendar[FullDate],"")</f>
        <v>45383</v>
      </c>
      <c r="I560">
        <f>_xlfn.XLOOKUP(tblFinancials[[#This Row],[AccountKey]],tblAccounts[AccountKey],tblAccounts[AccountNumber],"")</f>
        <v>5000</v>
      </c>
      <c r="J560" t="str">
        <f>_xlfn.XLOOKUP(tblFinancials[[#This Row],[AccountKey]],tblAccounts[AccountKey],tblAccounts[AccountName],"")</f>
        <v>Cost of Goods Sold</v>
      </c>
      <c r="K560" s="8" t="str">
        <f>_xlfn.XLOOKUP(tblFinancials[[#This Row],[AccountKey]],tblAccounts[AccountKey],tblAccounts[FinancialStatement],"")</f>
        <v>Income Statement</v>
      </c>
      <c r="L560" s="8" t="str">
        <f>_xlfn.XLOOKUP(tblFinancials[[#This Row],[AccountKey]],tblAccounts[AccountKey],tblAccounts[AccountCategory],"")</f>
        <v>Cost of Sales</v>
      </c>
      <c r="M560" s="8" t="str">
        <f>_xlfn.XLOOKUP(tblFinancials[[#This Row],[AccountKey]],tblAccounts[AccountKey],tblAccounts[NormalBalance],"")</f>
        <v>Debit</v>
      </c>
      <c r="N560" s="8" t="str">
        <f>_xlfn.XLOOKUP(tblFinancials[[#This Row],[DepartmentKey]],tblDepartments[DepartmentKey],tblDepartments[DepartmentName],"")</f>
        <v>Operations</v>
      </c>
      <c r="O560" s="8" t="str">
        <f>_xlfn.XLOOKUP(tblFinancials[[#This Row],[BusinessUnitKey]],tblBusinessUnits[BusinessUnitKey],tblBusinessUnits[BusinessUnitName],"")</f>
        <v>Retail</v>
      </c>
      <c r="P560" s="8" t="str">
        <f>_xlfn.XLOOKUP(tblFinancials[[#This Row],[RegionKey]],tblRegions[RegionKey],tblRegions[RegionName],"")</f>
        <v>South</v>
      </c>
    </row>
    <row r="561" spans="1:16">
      <c r="A561">
        <v>20240401</v>
      </c>
      <c r="B561">
        <v>6</v>
      </c>
      <c r="C561">
        <v>4</v>
      </c>
      <c r="D561">
        <v>2</v>
      </c>
      <c r="E561">
        <v>14</v>
      </c>
      <c r="F561" t="s">
        <v>92</v>
      </c>
      <c r="G561">
        <v>-18136.150000000001</v>
      </c>
      <c r="H561">
        <f>_xlfn.XLOOKUP(tblFinancials[[#This Row],[DateKey]],tblCalendar[DateKey],tblCalendar[FullDate],"")</f>
        <v>45383</v>
      </c>
      <c r="I561">
        <f>_xlfn.XLOOKUP(tblFinancials[[#This Row],[AccountKey]],tblAccounts[AccountKey],tblAccounts[AccountNumber],"")</f>
        <v>5000</v>
      </c>
      <c r="J561" t="str">
        <f>_xlfn.XLOOKUP(tblFinancials[[#This Row],[AccountKey]],tblAccounts[AccountKey],tblAccounts[AccountName],"")</f>
        <v>Cost of Goods Sold</v>
      </c>
      <c r="K561" s="8" t="str">
        <f>_xlfn.XLOOKUP(tblFinancials[[#This Row],[AccountKey]],tblAccounts[AccountKey],tblAccounts[FinancialStatement],"")</f>
        <v>Income Statement</v>
      </c>
      <c r="L561" s="8" t="str">
        <f>_xlfn.XLOOKUP(tblFinancials[[#This Row],[AccountKey]],tblAccounts[AccountKey],tblAccounts[AccountCategory],"")</f>
        <v>Cost of Sales</v>
      </c>
      <c r="M561" s="8" t="str">
        <f>_xlfn.XLOOKUP(tblFinancials[[#This Row],[AccountKey]],tblAccounts[AccountKey],tblAccounts[NormalBalance],"")</f>
        <v>Debit</v>
      </c>
      <c r="N561" s="8" t="str">
        <f>_xlfn.XLOOKUP(tblFinancials[[#This Row],[DepartmentKey]],tblDepartments[DepartmentKey],tblDepartments[DepartmentName],"")</f>
        <v>Operations</v>
      </c>
      <c r="O561" s="8" t="str">
        <f>_xlfn.XLOOKUP(tblFinancials[[#This Row],[BusinessUnitKey]],tblBusinessUnits[BusinessUnitKey],tblBusinessUnits[BusinessUnitName],"")</f>
        <v>E-Commerce</v>
      </c>
      <c r="P561" s="8" t="str">
        <f>_xlfn.XLOOKUP(tblFinancials[[#This Row],[RegionKey]],tblRegions[RegionKey],tblRegions[RegionName],"")</f>
        <v>Midwest</v>
      </c>
    </row>
    <row r="562" spans="1:16">
      <c r="A562">
        <v>20240401</v>
      </c>
      <c r="B562">
        <v>6</v>
      </c>
      <c r="C562">
        <v>1</v>
      </c>
      <c r="D562">
        <v>2</v>
      </c>
      <c r="E562">
        <v>14</v>
      </c>
      <c r="F562" t="s">
        <v>92</v>
      </c>
      <c r="G562">
        <v>-18795.79</v>
      </c>
      <c r="H562">
        <f>_xlfn.XLOOKUP(tblFinancials[[#This Row],[DateKey]],tblCalendar[DateKey],tblCalendar[FullDate],"")</f>
        <v>45383</v>
      </c>
      <c r="I562">
        <f>_xlfn.XLOOKUP(tblFinancials[[#This Row],[AccountKey]],tblAccounts[AccountKey],tblAccounts[AccountNumber],"")</f>
        <v>5000</v>
      </c>
      <c r="J562" t="str">
        <f>_xlfn.XLOOKUP(tblFinancials[[#This Row],[AccountKey]],tblAccounts[AccountKey],tblAccounts[AccountName],"")</f>
        <v>Cost of Goods Sold</v>
      </c>
      <c r="K562" s="8" t="str">
        <f>_xlfn.XLOOKUP(tblFinancials[[#This Row],[AccountKey]],tblAccounts[AccountKey],tblAccounts[FinancialStatement],"")</f>
        <v>Income Statement</v>
      </c>
      <c r="L562" s="8" t="str">
        <f>_xlfn.XLOOKUP(tblFinancials[[#This Row],[AccountKey]],tblAccounts[AccountKey],tblAccounts[AccountCategory],"")</f>
        <v>Cost of Sales</v>
      </c>
      <c r="M562" s="8" t="str">
        <f>_xlfn.XLOOKUP(tblFinancials[[#This Row],[AccountKey]],tblAccounts[AccountKey],tblAccounts[NormalBalance],"")</f>
        <v>Debit</v>
      </c>
      <c r="N562" s="8" t="str">
        <f>_xlfn.XLOOKUP(tblFinancials[[#This Row],[DepartmentKey]],tblDepartments[DepartmentKey],tblDepartments[DepartmentName],"")</f>
        <v>Operations</v>
      </c>
      <c r="O562" s="8" t="str">
        <f>_xlfn.XLOOKUP(tblFinancials[[#This Row],[BusinessUnitKey]],tblBusinessUnits[BusinessUnitKey],tblBusinessUnits[BusinessUnitName],"")</f>
        <v xml:space="preserve">Manufacturing </v>
      </c>
      <c r="P562" s="8" t="str">
        <f>_xlfn.XLOOKUP(tblFinancials[[#This Row],[RegionKey]],tblRegions[RegionKey],tblRegions[RegionName],"")</f>
        <v>Midwest</v>
      </c>
    </row>
    <row r="563" spans="1:16">
      <c r="A563">
        <v>20240401</v>
      </c>
      <c r="B563">
        <v>4</v>
      </c>
      <c r="C563">
        <v>2</v>
      </c>
      <c r="D563">
        <v>4</v>
      </c>
      <c r="E563">
        <v>14</v>
      </c>
      <c r="F563" t="s">
        <v>92</v>
      </c>
      <c r="G563">
        <v>-18485.96</v>
      </c>
      <c r="H563">
        <f>_xlfn.XLOOKUP(tblFinancials[[#This Row],[DateKey]],tblCalendar[DateKey],tblCalendar[FullDate],"")</f>
        <v>45383</v>
      </c>
      <c r="I563">
        <f>_xlfn.XLOOKUP(tblFinancials[[#This Row],[AccountKey]],tblAccounts[AccountKey],tblAccounts[AccountNumber],"")</f>
        <v>5000</v>
      </c>
      <c r="J563" t="str">
        <f>_xlfn.XLOOKUP(tblFinancials[[#This Row],[AccountKey]],tblAccounts[AccountKey],tblAccounts[AccountName],"")</f>
        <v>Cost of Goods Sold</v>
      </c>
      <c r="K563" s="8" t="str">
        <f>_xlfn.XLOOKUP(tblFinancials[[#This Row],[AccountKey]],tblAccounts[AccountKey],tblAccounts[FinancialStatement],"")</f>
        <v>Income Statement</v>
      </c>
      <c r="L563" s="8" t="str">
        <f>_xlfn.XLOOKUP(tblFinancials[[#This Row],[AccountKey]],tblAccounts[AccountKey],tblAccounts[AccountCategory],"")</f>
        <v>Cost of Sales</v>
      </c>
      <c r="M563" s="8" t="str">
        <f>_xlfn.XLOOKUP(tblFinancials[[#This Row],[AccountKey]],tblAccounts[AccountKey],tblAccounts[NormalBalance],"")</f>
        <v>Debit</v>
      </c>
      <c r="N563" s="8" t="str">
        <f>_xlfn.XLOOKUP(tblFinancials[[#This Row],[DepartmentKey]],tblDepartments[DepartmentKey],tblDepartments[DepartmentName],"")</f>
        <v>Sales</v>
      </c>
      <c r="O563" s="8" t="str">
        <f>_xlfn.XLOOKUP(tblFinancials[[#This Row],[BusinessUnitKey]],tblBusinessUnits[BusinessUnitKey],tblBusinessUnits[BusinessUnitName],"")</f>
        <v>Wholesale</v>
      </c>
      <c r="P563" s="8" t="str">
        <f>_xlfn.XLOOKUP(tblFinancials[[#This Row],[RegionKey]],tblRegions[RegionKey],tblRegions[RegionName],"")</f>
        <v>East</v>
      </c>
    </row>
    <row r="564" spans="1:16">
      <c r="A564">
        <v>20240401</v>
      </c>
      <c r="B564">
        <v>3</v>
      </c>
      <c r="C564">
        <v>4</v>
      </c>
      <c r="D564">
        <v>4</v>
      </c>
      <c r="E564">
        <v>14</v>
      </c>
      <c r="F564" t="s">
        <v>92</v>
      </c>
      <c r="G564">
        <v>-19291.21</v>
      </c>
      <c r="H564">
        <f>_xlfn.XLOOKUP(tblFinancials[[#This Row],[DateKey]],tblCalendar[DateKey],tblCalendar[FullDate],"")</f>
        <v>45383</v>
      </c>
      <c r="I564">
        <f>_xlfn.XLOOKUP(tblFinancials[[#This Row],[AccountKey]],tblAccounts[AccountKey],tblAccounts[AccountNumber],"")</f>
        <v>5000</v>
      </c>
      <c r="J564" t="str">
        <f>_xlfn.XLOOKUP(tblFinancials[[#This Row],[AccountKey]],tblAccounts[AccountKey],tblAccounts[AccountName],"")</f>
        <v>Cost of Goods Sold</v>
      </c>
      <c r="K564" s="8" t="str">
        <f>_xlfn.XLOOKUP(tblFinancials[[#This Row],[AccountKey]],tblAccounts[AccountKey],tblAccounts[FinancialStatement],"")</f>
        <v>Income Statement</v>
      </c>
      <c r="L564" s="8" t="str">
        <f>_xlfn.XLOOKUP(tblFinancials[[#This Row],[AccountKey]],tblAccounts[AccountKey],tblAccounts[AccountCategory],"")</f>
        <v>Cost of Sales</v>
      </c>
      <c r="M564" s="8" t="str">
        <f>_xlfn.XLOOKUP(tblFinancials[[#This Row],[AccountKey]],tblAccounts[AccountKey],tblAccounts[NormalBalance],"")</f>
        <v>Debit</v>
      </c>
      <c r="N564" s="8" t="str">
        <f>_xlfn.XLOOKUP(tblFinancials[[#This Row],[DepartmentKey]],tblDepartments[DepartmentKey],tblDepartments[DepartmentName],"")</f>
        <v>Human Resources</v>
      </c>
      <c r="O564" s="8" t="str">
        <f>_xlfn.XLOOKUP(tblFinancials[[#This Row],[BusinessUnitKey]],tblBusinessUnits[BusinessUnitKey],tblBusinessUnits[BusinessUnitName],"")</f>
        <v>E-Commerce</v>
      </c>
      <c r="P564" s="8" t="str">
        <f>_xlfn.XLOOKUP(tblFinancials[[#This Row],[RegionKey]],tblRegions[RegionKey],tblRegions[RegionName],"")</f>
        <v>East</v>
      </c>
    </row>
    <row r="565" spans="1:16">
      <c r="A565">
        <v>20240401</v>
      </c>
      <c r="B565">
        <v>2</v>
      </c>
      <c r="C565">
        <v>4</v>
      </c>
      <c r="D565">
        <v>4</v>
      </c>
      <c r="E565">
        <v>14</v>
      </c>
      <c r="F565" t="s">
        <v>92</v>
      </c>
      <c r="G565">
        <v>-18179.599999999999</v>
      </c>
      <c r="H565">
        <f>_xlfn.XLOOKUP(tblFinancials[[#This Row],[DateKey]],tblCalendar[DateKey],tblCalendar[FullDate],"")</f>
        <v>45383</v>
      </c>
      <c r="I565">
        <f>_xlfn.XLOOKUP(tblFinancials[[#This Row],[AccountKey]],tblAccounts[AccountKey],tblAccounts[AccountNumber],"")</f>
        <v>5000</v>
      </c>
      <c r="J565" t="str">
        <f>_xlfn.XLOOKUP(tblFinancials[[#This Row],[AccountKey]],tblAccounts[AccountKey],tblAccounts[AccountName],"")</f>
        <v>Cost of Goods Sold</v>
      </c>
      <c r="K565" s="8" t="str">
        <f>_xlfn.XLOOKUP(tblFinancials[[#This Row],[AccountKey]],tblAccounts[AccountKey],tblAccounts[FinancialStatement],"")</f>
        <v>Income Statement</v>
      </c>
      <c r="L565" s="8" t="str">
        <f>_xlfn.XLOOKUP(tblFinancials[[#This Row],[AccountKey]],tblAccounts[AccountKey],tblAccounts[AccountCategory],"")</f>
        <v>Cost of Sales</v>
      </c>
      <c r="M565" s="8" t="str">
        <f>_xlfn.XLOOKUP(tblFinancials[[#This Row],[AccountKey]],tblAccounts[AccountKey],tblAccounts[NormalBalance],"")</f>
        <v>Debit</v>
      </c>
      <c r="N565" s="8" t="str">
        <f>_xlfn.XLOOKUP(tblFinancials[[#This Row],[DepartmentKey]],tblDepartments[DepartmentKey],tblDepartments[DepartmentName],"")</f>
        <v>Finance</v>
      </c>
      <c r="O565" s="8" t="str">
        <f>_xlfn.XLOOKUP(tblFinancials[[#This Row],[BusinessUnitKey]],tblBusinessUnits[BusinessUnitKey],tblBusinessUnits[BusinessUnitName],"")</f>
        <v>E-Commerce</v>
      </c>
      <c r="P565" s="8" t="str">
        <f>_xlfn.XLOOKUP(tblFinancials[[#This Row],[RegionKey]],tblRegions[RegionKey],tblRegions[RegionName],"")</f>
        <v>East</v>
      </c>
    </row>
    <row r="566" spans="1:16">
      <c r="A566">
        <v>20240401</v>
      </c>
      <c r="B566">
        <v>6</v>
      </c>
      <c r="C566">
        <v>4</v>
      </c>
      <c r="D566">
        <v>4</v>
      </c>
      <c r="E566">
        <v>18</v>
      </c>
      <c r="F566" t="s">
        <v>92</v>
      </c>
      <c r="G566">
        <v>-8204.48</v>
      </c>
      <c r="H566">
        <f>_xlfn.XLOOKUP(tblFinancials[[#This Row],[DateKey]],tblCalendar[DateKey],tblCalendar[FullDate],"")</f>
        <v>45383</v>
      </c>
      <c r="I566">
        <f>_xlfn.XLOOKUP(tblFinancials[[#This Row],[AccountKey]],tblAccounts[AccountKey],tblAccounts[AccountNumber],"")</f>
        <v>6200</v>
      </c>
      <c r="J566" t="str">
        <f>_xlfn.XLOOKUP(tblFinancials[[#This Row],[AccountKey]],tblAccounts[AccountKey],tblAccounts[AccountName],"")</f>
        <v>Marketing Expense</v>
      </c>
      <c r="K566" s="8" t="str">
        <f>_xlfn.XLOOKUP(tblFinancials[[#This Row],[AccountKey]],tblAccounts[AccountKey],tblAccounts[FinancialStatement],"")</f>
        <v>Income Statement</v>
      </c>
      <c r="L566" s="8" t="str">
        <f>_xlfn.XLOOKUP(tblFinancials[[#This Row],[AccountKey]],tblAccounts[AccountKey],tblAccounts[AccountCategory],"")</f>
        <v>Operating Expense</v>
      </c>
      <c r="M566" s="8" t="str">
        <f>_xlfn.XLOOKUP(tblFinancials[[#This Row],[AccountKey]],tblAccounts[AccountKey],tblAccounts[NormalBalance],"")</f>
        <v>Debit</v>
      </c>
      <c r="N566" s="8" t="str">
        <f>_xlfn.XLOOKUP(tblFinancials[[#This Row],[DepartmentKey]],tblDepartments[DepartmentKey],tblDepartments[DepartmentName],"")</f>
        <v>Operations</v>
      </c>
      <c r="O566" s="8" t="str">
        <f>_xlfn.XLOOKUP(tblFinancials[[#This Row],[BusinessUnitKey]],tblBusinessUnits[BusinessUnitKey],tblBusinessUnits[BusinessUnitName],"")</f>
        <v>E-Commerce</v>
      </c>
      <c r="P566" s="8" t="str">
        <f>_xlfn.XLOOKUP(tblFinancials[[#This Row],[RegionKey]],tblRegions[RegionKey],tblRegions[RegionName],"")</f>
        <v>East</v>
      </c>
    </row>
    <row r="567" spans="1:16">
      <c r="A567">
        <v>20240401</v>
      </c>
      <c r="B567">
        <v>7</v>
      </c>
      <c r="C567">
        <v>3</v>
      </c>
      <c r="D567">
        <v>1</v>
      </c>
      <c r="E567">
        <v>25</v>
      </c>
      <c r="F567" t="s">
        <v>92</v>
      </c>
      <c r="G567">
        <v>-6572.24</v>
      </c>
      <c r="H567">
        <f>_xlfn.XLOOKUP(tblFinancials[[#This Row],[DateKey]],tblCalendar[DateKey],tblCalendar[FullDate],"")</f>
        <v>45383</v>
      </c>
      <c r="I567">
        <f>_xlfn.XLOOKUP(tblFinancials[[#This Row],[AccountKey]],tblAccounts[AccountKey],tblAccounts[AccountNumber],"")</f>
        <v>8200</v>
      </c>
      <c r="J567" t="str">
        <f>_xlfn.XLOOKUP(tblFinancials[[#This Row],[AccountKey]],tblAccounts[AccountKey],tblAccounts[AccountName],"")</f>
        <v>Income Tax Expense</v>
      </c>
      <c r="K567" s="8" t="str">
        <f>_xlfn.XLOOKUP(tblFinancials[[#This Row],[AccountKey]],tblAccounts[AccountKey],tblAccounts[FinancialStatement],"")</f>
        <v>Income Statement</v>
      </c>
      <c r="L567" s="8" t="str">
        <f>_xlfn.XLOOKUP(tblFinancials[[#This Row],[AccountKey]],tblAccounts[AccountKey],tblAccounts[AccountCategory],"")</f>
        <v>Tax Expense</v>
      </c>
      <c r="M567" s="8" t="str">
        <f>_xlfn.XLOOKUP(tblFinancials[[#This Row],[AccountKey]],tblAccounts[AccountKey],tblAccounts[NormalBalance],"")</f>
        <v>Debit</v>
      </c>
      <c r="N567" s="8" t="str">
        <f>_xlfn.XLOOKUP(tblFinancials[[#This Row],[DepartmentKey]],tblDepartments[DepartmentKey],tblDepartments[DepartmentName],"")</f>
        <v>Information Technology</v>
      </c>
      <c r="O567" s="8" t="str">
        <f>_xlfn.XLOOKUP(tblFinancials[[#This Row],[BusinessUnitKey]],tblBusinessUnits[BusinessUnitKey],tblBusinessUnits[BusinessUnitName],"")</f>
        <v>Retail</v>
      </c>
      <c r="P567" s="8" t="str">
        <f>_xlfn.XLOOKUP(tblFinancials[[#This Row],[RegionKey]],tblRegions[RegionKey],tblRegions[RegionName],"")</f>
        <v>West</v>
      </c>
    </row>
    <row r="568" spans="1:16">
      <c r="A568">
        <v>20240401</v>
      </c>
      <c r="B568">
        <v>8</v>
      </c>
      <c r="C568">
        <v>1</v>
      </c>
      <c r="D568">
        <v>4</v>
      </c>
      <c r="E568">
        <v>17</v>
      </c>
      <c r="F568" t="s">
        <v>92</v>
      </c>
      <c r="G568">
        <v>-7205.33</v>
      </c>
      <c r="H568">
        <f>_xlfn.XLOOKUP(tblFinancials[[#This Row],[DateKey]],tblCalendar[DateKey],tblCalendar[FullDate],"")</f>
        <v>45383</v>
      </c>
      <c r="I568">
        <f>_xlfn.XLOOKUP(tblFinancials[[#This Row],[AccountKey]],tblAccounts[AccountKey],tblAccounts[AccountNumber],"")</f>
        <v>6120</v>
      </c>
      <c r="J568" t="str">
        <f>_xlfn.XLOOKUP(tblFinancials[[#This Row],[AccountKey]],tblAccounts[AccountKey],tblAccounts[AccountName],"")</f>
        <v>Employee Benefits</v>
      </c>
      <c r="K568" s="8" t="str">
        <f>_xlfn.XLOOKUP(tblFinancials[[#This Row],[AccountKey]],tblAccounts[AccountKey],tblAccounts[FinancialStatement],"")</f>
        <v>Income Statement</v>
      </c>
      <c r="L568" s="8" t="str">
        <f>_xlfn.XLOOKUP(tblFinancials[[#This Row],[AccountKey]],tblAccounts[AccountKey],tblAccounts[AccountCategory],"")</f>
        <v>Operating Expense</v>
      </c>
      <c r="M568" s="8" t="str">
        <f>_xlfn.XLOOKUP(tblFinancials[[#This Row],[AccountKey]],tblAccounts[AccountKey],tblAccounts[NormalBalance],"")</f>
        <v>Debit</v>
      </c>
      <c r="N568" s="8" t="str">
        <f>_xlfn.XLOOKUP(tblFinancials[[#This Row],[DepartmentKey]],tblDepartments[DepartmentKey],tblDepartments[DepartmentName],"")</f>
        <v>Customer Service</v>
      </c>
      <c r="O568" s="8" t="str">
        <f>_xlfn.XLOOKUP(tblFinancials[[#This Row],[BusinessUnitKey]],tblBusinessUnits[BusinessUnitKey],tblBusinessUnits[BusinessUnitName],"")</f>
        <v xml:space="preserve">Manufacturing </v>
      </c>
      <c r="P568" s="8" t="str">
        <f>_xlfn.XLOOKUP(tblFinancials[[#This Row],[RegionKey]],tblRegions[RegionKey],tblRegions[RegionName],"")</f>
        <v>East</v>
      </c>
    </row>
    <row r="569" spans="1:16">
      <c r="A569">
        <v>20240401</v>
      </c>
      <c r="B569">
        <v>7</v>
      </c>
      <c r="C569">
        <v>3</v>
      </c>
      <c r="D569">
        <v>2</v>
      </c>
      <c r="E569">
        <v>16</v>
      </c>
      <c r="F569" t="s">
        <v>92</v>
      </c>
      <c r="G569">
        <v>-8104.1</v>
      </c>
      <c r="H569">
        <f>_xlfn.XLOOKUP(tblFinancials[[#This Row],[DateKey]],tblCalendar[DateKey],tblCalendar[FullDate],"")</f>
        <v>45383</v>
      </c>
      <c r="I569">
        <f>_xlfn.XLOOKUP(tblFinancials[[#This Row],[AccountKey]],tblAccounts[AccountKey],tblAccounts[AccountNumber],"")</f>
        <v>6110</v>
      </c>
      <c r="J569" t="str">
        <f>_xlfn.XLOOKUP(tblFinancials[[#This Row],[AccountKey]],tblAccounts[AccountKey],tblAccounts[AccountName],"")</f>
        <v>Payroll Taxes</v>
      </c>
      <c r="K569" s="8" t="str">
        <f>_xlfn.XLOOKUP(tblFinancials[[#This Row],[AccountKey]],tblAccounts[AccountKey],tblAccounts[FinancialStatement],"")</f>
        <v>Income Statement</v>
      </c>
      <c r="L569" s="8" t="str">
        <f>_xlfn.XLOOKUP(tblFinancials[[#This Row],[AccountKey]],tblAccounts[AccountKey],tblAccounts[AccountCategory],"")</f>
        <v>Operating Expense</v>
      </c>
      <c r="M569" s="8" t="str">
        <f>_xlfn.XLOOKUP(tblFinancials[[#This Row],[AccountKey]],tblAccounts[AccountKey],tblAccounts[NormalBalance],"")</f>
        <v>Debit</v>
      </c>
      <c r="N569" s="8" t="str">
        <f>_xlfn.XLOOKUP(tblFinancials[[#This Row],[DepartmentKey]],tblDepartments[DepartmentKey],tblDepartments[DepartmentName],"")</f>
        <v>Information Technology</v>
      </c>
      <c r="O569" s="8" t="str">
        <f>_xlfn.XLOOKUP(tblFinancials[[#This Row],[BusinessUnitKey]],tblBusinessUnits[BusinessUnitKey],tblBusinessUnits[BusinessUnitName],"")</f>
        <v>Retail</v>
      </c>
      <c r="P569" s="8" t="str">
        <f>_xlfn.XLOOKUP(tblFinancials[[#This Row],[RegionKey]],tblRegions[RegionKey],tblRegions[RegionName],"")</f>
        <v>Midwest</v>
      </c>
    </row>
    <row r="570" spans="1:16">
      <c r="A570">
        <v>20240401</v>
      </c>
      <c r="B570">
        <v>6</v>
      </c>
      <c r="C570">
        <v>3</v>
      </c>
      <c r="D570">
        <v>2</v>
      </c>
      <c r="E570">
        <v>24</v>
      </c>
      <c r="F570" t="s">
        <v>92</v>
      </c>
      <c r="G570">
        <v>-7408.13</v>
      </c>
      <c r="H570">
        <f>_xlfn.XLOOKUP(tblFinancials[[#This Row],[DateKey]],tblCalendar[DateKey],tblCalendar[FullDate],"")</f>
        <v>45383</v>
      </c>
      <c r="I570">
        <f>_xlfn.XLOOKUP(tblFinancials[[#This Row],[AccountKey]],tblAccounts[AccountKey],tblAccounts[AccountNumber],"")</f>
        <v>6900</v>
      </c>
      <c r="J570" t="str">
        <f>_xlfn.XLOOKUP(tblFinancials[[#This Row],[AccountKey]],tblAccounts[AccountKey],tblAccounts[AccountName],"")</f>
        <v>Professional Services</v>
      </c>
      <c r="K570" s="8" t="str">
        <f>_xlfn.XLOOKUP(tblFinancials[[#This Row],[AccountKey]],tblAccounts[AccountKey],tblAccounts[FinancialStatement],"")</f>
        <v>Income Statement</v>
      </c>
      <c r="L570" s="8" t="str">
        <f>_xlfn.XLOOKUP(tblFinancials[[#This Row],[AccountKey]],tblAccounts[AccountKey],tblAccounts[AccountCategory],"")</f>
        <v>Operating Expense</v>
      </c>
      <c r="M570" s="8" t="str">
        <f>_xlfn.XLOOKUP(tblFinancials[[#This Row],[AccountKey]],tblAccounts[AccountKey],tblAccounts[NormalBalance],"")</f>
        <v>Debit</v>
      </c>
      <c r="N570" s="8" t="str">
        <f>_xlfn.XLOOKUP(tblFinancials[[#This Row],[DepartmentKey]],tblDepartments[DepartmentKey],tblDepartments[DepartmentName],"")</f>
        <v>Operations</v>
      </c>
      <c r="O570" s="8" t="str">
        <f>_xlfn.XLOOKUP(tblFinancials[[#This Row],[BusinessUnitKey]],tblBusinessUnits[BusinessUnitKey],tblBusinessUnits[BusinessUnitName],"")</f>
        <v>Retail</v>
      </c>
      <c r="P570" s="8" t="str">
        <f>_xlfn.XLOOKUP(tblFinancials[[#This Row],[RegionKey]],tblRegions[RegionKey],tblRegions[RegionName],"")</f>
        <v>Midwest</v>
      </c>
    </row>
    <row r="571" spans="1:16">
      <c r="A571">
        <v>20240401</v>
      </c>
      <c r="B571">
        <v>8</v>
      </c>
      <c r="C571">
        <v>3</v>
      </c>
      <c r="D571">
        <v>4</v>
      </c>
      <c r="E571">
        <v>23</v>
      </c>
      <c r="F571" t="s">
        <v>92</v>
      </c>
      <c r="G571">
        <v>-7315.62</v>
      </c>
      <c r="H571">
        <f>_xlfn.XLOOKUP(tblFinancials[[#This Row],[DateKey]],tblCalendar[DateKey],tblCalendar[FullDate],"")</f>
        <v>45383</v>
      </c>
      <c r="I571">
        <f>_xlfn.XLOOKUP(tblFinancials[[#This Row],[AccountKey]],tblAccounts[AccountKey],tblAccounts[AccountNumber],"")</f>
        <v>6800</v>
      </c>
      <c r="J571" t="str">
        <f>_xlfn.XLOOKUP(tblFinancials[[#This Row],[AccountKey]],tblAccounts[AccountKey],tblAccounts[AccountName],"")</f>
        <v>Travel Expense</v>
      </c>
      <c r="K571" s="8" t="str">
        <f>_xlfn.XLOOKUP(tblFinancials[[#This Row],[AccountKey]],tblAccounts[AccountKey],tblAccounts[FinancialStatement],"")</f>
        <v>Income Statement</v>
      </c>
      <c r="L571" s="8" t="str">
        <f>_xlfn.XLOOKUP(tblFinancials[[#This Row],[AccountKey]],tblAccounts[AccountKey],tblAccounts[AccountCategory],"")</f>
        <v>Operating Expense</v>
      </c>
      <c r="M571" s="8" t="str">
        <f>_xlfn.XLOOKUP(tblFinancials[[#This Row],[AccountKey]],tblAccounts[AccountKey],tblAccounts[NormalBalance],"")</f>
        <v>Debit</v>
      </c>
      <c r="N571" s="8" t="str">
        <f>_xlfn.XLOOKUP(tblFinancials[[#This Row],[DepartmentKey]],tblDepartments[DepartmentKey],tblDepartments[DepartmentName],"")</f>
        <v>Customer Service</v>
      </c>
      <c r="O571" s="8" t="str">
        <f>_xlfn.XLOOKUP(tblFinancials[[#This Row],[BusinessUnitKey]],tblBusinessUnits[BusinessUnitKey],tblBusinessUnits[BusinessUnitName],"")</f>
        <v>Retail</v>
      </c>
      <c r="P571" s="8" t="str">
        <f>_xlfn.XLOOKUP(tblFinancials[[#This Row],[RegionKey]],tblRegions[RegionKey],tblRegions[RegionName],"")</f>
        <v>East</v>
      </c>
    </row>
    <row r="572" spans="1:16">
      <c r="A572">
        <v>20240401</v>
      </c>
      <c r="B572">
        <v>1</v>
      </c>
      <c r="C572">
        <v>4</v>
      </c>
      <c r="D572">
        <v>1</v>
      </c>
      <c r="E572">
        <v>16</v>
      </c>
      <c r="F572" t="s">
        <v>92</v>
      </c>
      <c r="G572">
        <v>-7597.16</v>
      </c>
      <c r="H572">
        <f>_xlfn.XLOOKUP(tblFinancials[[#This Row],[DateKey]],tblCalendar[DateKey],tblCalendar[FullDate],"")</f>
        <v>45383</v>
      </c>
      <c r="I572">
        <f>_xlfn.XLOOKUP(tblFinancials[[#This Row],[AccountKey]],tblAccounts[AccountKey],tblAccounts[AccountNumber],"")</f>
        <v>6110</v>
      </c>
      <c r="J572" t="str">
        <f>_xlfn.XLOOKUP(tblFinancials[[#This Row],[AccountKey]],tblAccounts[AccountKey],tblAccounts[AccountName],"")</f>
        <v>Payroll Taxes</v>
      </c>
      <c r="K572" s="8" t="str">
        <f>_xlfn.XLOOKUP(tblFinancials[[#This Row],[AccountKey]],tblAccounts[AccountKey],tblAccounts[FinancialStatement],"")</f>
        <v>Income Statement</v>
      </c>
      <c r="L572" s="8" t="str">
        <f>_xlfn.XLOOKUP(tblFinancials[[#This Row],[AccountKey]],tblAccounts[AccountKey],tblAccounts[AccountCategory],"")</f>
        <v>Operating Expense</v>
      </c>
      <c r="M572" s="8" t="str">
        <f>_xlfn.XLOOKUP(tblFinancials[[#This Row],[AccountKey]],tblAccounts[AccountKey],tblAccounts[NormalBalance],"")</f>
        <v>Debit</v>
      </c>
      <c r="N572" s="8" t="str">
        <f>_xlfn.XLOOKUP(tblFinancials[[#This Row],[DepartmentKey]],tblDepartments[DepartmentKey],tblDepartments[DepartmentName],"")</f>
        <v>Executive</v>
      </c>
      <c r="O572" s="8" t="str">
        <f>_xlfn.XLOOKUP(tblFinancials[[#This Row],[BusinessUnitKey]],tblBusinessUnits[BusinessUnitKey],tblBusinessUnits[BusinessUnitName],"")</f>
        <v>E-Commerce</v>
      </c>
      <c r="P572" s="8" t="str">
        <f>_xlfn.XLOOKUP(tblFinancials[[#This Row],[RegionKey]],tblRegions[RegionKey],tblRegions[RegionName],"")</f>
        <v>West</v>
      </c>
    </row>
    <row r="573" spans="1:16">
      <c r="A573">
        <v>20240401</v>
      </c>
      <c r="B573">
        <v>2</v>
      </c>
      <c r="C573">
        <v>2</v>
      </c>
      <c r="D573">
        <v>2</v>
      </c>
      <c r="E573">
        <v>25</v>
      </c>
      <c r="F573" t="s">
        <v>92</v>
      </c>
      <c r="G573">
        <v>-6447.62</v>
      </c>
      <c r="H573">
        <f>_xlfn.XLOOKUP(tblFinancials[[#This Row],[DateKey]],tblCalendar[DateKey],tblCalendar[FullDate],"")</f>
        <v>45383</v>
      </c>
      <c r="I573">
        <f>_xlfn.XLOOKUP(tblFinancials[[#This Row],[AccountKey]],tblAccounts[AccountKey],tblAccounts[AccountNumber],"")</f>
        <v>8200</v>
      </c>
      <c r="J573" t="str">
        <f>_xlfn.XLOOKUP(tblFinancials[[#This Row],[AccountKey]],tblAccounts[AccountKey],tblAccounts[AccountName],"")</f>
        <v>Income Tax Expense</v>
      </c>
      <c r="K573" s="8" t="str">
        <f>_xlfn.XLOOKUP(tblFinancials[[#This Row],[AccountKey]],tblAccounts[AccountKey],tblAccounts[FinancialStatement],"")</f>
        <v>Income Statement</v>
      </c>
      <c r="L573" s="8" t="str">
        <f>_xlfn.XLOOKUP(tblFinancials[[#This Row],[AccountKey]],tblAccounts[AccountKey],tblAccounts[AccountCategory],"")</f>
        <v>Tax Expense</v>
      </c>
      <c r="M573" s="8" t="str">
        <f>_xlfn.XLOOKUP(tblFinancials[[#This Row],[AccountKey]],tblAccounts[AccountKey],tblAccounts[NormalBalance],"")</f>
        <v>Debit</v>
      </c>
      <c r="N573" s="8" t="str">
        <f>_xlfn.XLOOKUP(tblFinancials[[#This Row],[DepartmentKey]],tblDepartments[DepartmentKey],tblDepartments[DepartmentName],"")</f>
        <v>Finance</v>
      </c>
      <c r="O573" s="8" t="str">
        <f>_xlfn.XLOOKUP(tblFinancials[[#This Row],[BusinessUnitKey]],tblBusinessUnits[BusinessUnitKey],tblBusinessUnits[BusinessUnitName],"")</f>
        <v>Wholesale</v>
      </c>
      <c r="P573" s="8" t="str">
        <f>_xlfn.XLOOKUP(tblFinancials[[#This Row],[RegionKey]],tblRegions[RegionKey],tblRegions[RegionName],"")</f>
        <v>Midwest</v>
      </c>
    </row>
    <row r="574" spans="1:16">
      <c r="A574">
        <v>20240401</v>
      </c>
      <c r="B574">
        <v>2</v>
      </c>
      <c r="C574">
        <v>4</v>
      </c>
      <c r="D574">
        <v>4</v>
      </c>
      <c r="E574">
        <v>15</v>
      </c>
      <c r="F574" t="s">
        <v>92</v>
      </c>
      <c r="G574">
        <v>-7324.66</v>
      </c>
      <c r="H574">
        <f>_xlfn.XLOOKUP(tblFinancials[[#This Row],[DateKey]],tblCalendar[DateKey],tblCalendar[FullDate],"")</f>
        <v>45383</v>
      </c>
      <c r="I574">
        <f>_xlfn.XLOOKUP(tblFinancials[[#This Row],[AccountKey]],tblAccounts[AccountKey],tblAccounts[AccountNumber],"")</f>
        <v>6100</v>
      </c>
      <c r="J574" t="str">
        <f>_xlfn.XLOOKUP(tblFinancials[[#This Row],[AccountKey]],tblAccounts[AccountKey],tblAccounts[AccountName],"")</f>
        <v>Salaries Expense</v>
      </c>
      <c r="K574" s="8" t="str">
        <f>_xlfn.XLOOKUP(tblFinancials[[#This Row],[AccountKey]],tblAccounts[AccountKey],tblAccounts[FinancialStatement],"")</f>
        <v>Income Statement</v>
      </c>
      <c r="L574" s="8" t="str">
        <f>_xlfn.XLOOKUP(tblFinancials[[#This Row],[AccountKey]],tblAccounts[AccountKey],tblAccounts[AccountCategory],"")</f>
        <v>Operating Expense</v>
      </c>
      <c r="M574" s="8" t="str">
        <f>_xlfn.XLOOKUP(tblFinancials[[#This Row],[AccountKey]],tblAccounts[AccountKey],tblAccounts[NormalBalance],"")</f>
        <v>Debit</v>
      </c>
      <c r="N574" s="8" t="str">
        <f>_xlfn.XLOOKUP(tblFinancials[[#This Row],[DepartmentKey]],tblDepartments[DepartmentKey],tblDepartments[DepartmentName],"")</f>
        <v>Finance</v>
      </c>
      <c r="O574" s="8" t="str">
        <f>_xlfn.XLOOKUP(tblFinancials[[#This Row],[BusinessUnitKey]],tblBusinessUnits[BusinessUnitKey],tblBusinessUnits[BusinessUnitName],"")</f>
        <v>E-Commerce</v>
      </c>
      <c r="P574" s="8" t="str">
        <f>_xlfn.XLOOKUP(tblFinancials[[#This Row],[RegionKey]],tblRegions[RegionKey],tblRegions[RegionName],"")</f>
        <v>East</v>
      </c>
    </row>
    <row r="575" spans="1:16">
      <c r="A575">
        <v>20240401</v>
      </c>
      <c r="B575">
        <v>7</v>
      </c>
      <c r="C575">
        <v>2</v>
      </c>
      <c r="D575">
        <v>1</v>
      </c>
      <c r="E575">
        <v>22</v>
      </c>
      <c r="F575" t="s">
        <v>92</v>
      </c>
      <c r="G575">
        <v>-7633.57</v>
      </c>
      <c r="H575">
        <f>_xlfn.XLOOKUP(tblFinancials[[#This Row],[DateKey]],tblCalendar[DateKey],tblCalendar[FullDate],"")</f>
        <v>45383</v>
      </c>
      <c r="I575">
        <f>_xlfn.XLOOKUP(tblFinancials[[#This Row],[AccountKey]],tblAccounts[AccountKey],tblAccounts[AccountNumber],"")</f>
        <v>6700</v>
      </c>
      <c r="J575" t="str">
        <f>_xlfn.XLOOKUP(tblFinancials[[#This Row],[AccountKey]],tblAccounts[AccountKey],tblAccounts[AccountName],"")</f>
        <v>Insurance Expense</v>
      </c>
      <c r="K575" s="8" t="str">
        <f>_xlfn.XLOOKUP(tblFinancials[[#This Row],[AccountKey]],tblAccounts[AccountKey],tblAccounts[FinancialStatement],"")</f>
        <v>Income Statement</v>
      </c>
      <c r="L575" s="8" t="str">
        <f>_xlfn.XLOOKUP(tblFinancials[[#This Row],[AccountKey]],tblAccounts[AccountKey],tblAccounts[AccountCategory],"")</f>
        <v>Operating Expense</v>
      </c>
      <c r="M575" s="8" t="str">
        <f>_xlfn.XLOOKUP(tblFinancials[[#This Row],[AccountKey]],tblAccounts[AccountKey],tblAccounts[NormalBalance],"")</f>
        <v>Debit</v>
      </c>
      <c r="N575" s="8" t="str">
        <f>_xlfn.XLOOKUP(tblFinancials[[#This Row],[DepartmentKey]],tblDepartments[DepartmentKey],tblDepartments[DepartmentName],"")</f>
        <v>Information Technology</v>
      </c>
      <c r="O575" s="8" t="str">
        <f>_xlfn.XLOOKUP(tblFinancials[[#This Row],[BusinessUnitKey]],tblBusinessUnits[BusinessUnitKey],tblBusinessUnits[BusinessUnitName],"")</f>
        <v>Wholesale</v>
      </c>
      <c r="P575" s="8" t="str">
        <f>_xlfn.XLOOKUP(tblFinancials[[#This Row],[RegionKey]],tblRegions[RegionKey],tblRegions[RegionName],"")</f>
        <v>West</v>
      </c>
    </row>
    <row r="576" spans="1:16">
      <c r="A576">
        <v>20240401</v>
      </c>
      <c r="B576">
        <v>8</v>
      </c>
      <c r="C576">
        <v>2</v>
      </c>
      <c r="D576">
        <v>4</v>
      </c>
      <c r="E576">
        <v>22</v>
      </c>
      <c r="F576" t="s">
        <v>92</v>
      </c>
      <c r="G576">
        <v>-7127.66</v>
      </c>
      <c r="H576">
        <f>_xlfn.XLOOKUP(tblFinancials[[#This Row],[DateKey]],tblCalendar[DateKey],tblCalendar[FullDate],"")</f>
        <v>45383</v>
      </c>
      <c r="I576">
        <f>_xlfn.XLOOKUP(tblFinancials[[#This Row],[AccountKey]],tblAccounts[AccountKey],tblAccounts[AccountNumber],"")</f>
        <v>6700</v>
      </c>
      <c r="J576" t="str">
        <f>_xlfn.XLOOKUP(tblFinancials[[#This Row],[AccountKey]],tblAccounts[AccountKey],tblAccounts[AccountName],"")</f>
        <v>Insurance Expense</v>
      </c>
      <c r="K576" s="8" t="str">
        <f>_xlfn.XLOOKUP(tblFinancials[[#This Row],[AccountKey]],tblAccounts[AccountKey],tblAccounts[FinancialStatement],"")</f>
        <v>Income Statement</v>
      </c>
      <c r="L576" s="8" t="str">
        <f>_xlfn.XLOOKUP(tblFinancials[[#This Row],[AccountKey]],tblAccounts[AccountKey],tblAccounts[AccountCategory],"")</f>
        <v>Operating Expense</v>
      </c>
      <c r="M576" s="8" t="str">
        <f>_xlfn.XLOOKUP(tblFinancials[[#This Row],[AccountKey]],tblAccounts[AccountKey],tblAccounts[NormalBalance],"")</f>
        <v>Debit</v>
      </c>
      <c r="N576" s="8" t="str">
        <f>_xlfn.XLOOKUP(tblFinancials[[#This Row],[DepartmentKey]],tblDepartments[DepartmentKey],tblDepartments[DepartmentName],"")</f>
        <v>Customer Service</v>
      </c>
      <c r="O576" s="8" t="str">
        <f>_xlfn.XLOOKUP(tblFinancials[[#This Row],[BusinessUnitKey]],tblBusinessUnits[BusinessUnitKey],tblBusinessUnits[BusinessUnitName],"")</f>
        <v>Wholesale</v>
      </c>
      <c r="P576" s="8" t="str">
        <f>_xlfn.XLOOKUP(tblFinancials[[#This Row],[RegionKey]],tblRegions[RegionKey],tblRegions[RegionName],"")</f>
        <v>East</v>
      </c>
    </row>
    <row r="577" spans="1:16">
      <c r="A577">
        <v>20240401</v>
      </c>
      <c r="B577">
        <v>2</v>
      </c>
      <c r="C577">
        <v>4</v>
      </c>
      <c r="D577">
        <v>1</v>
      </c>
      <c r="E577">
        <v>17</v>
      </c>
      <c r="F577" t="s">
        <v>92</v>
      </c>
      <c r="G577">
        <v>-7691.6</v>
      </c>
      <c r="H577">
        <f>_xlfn.XLOOKUP(tblFinancials[[#This Row],[DateKey]],tblCalendar[DateKey],tblCalendar[FullDate],"")</f>
        <v>45383</v>
      </c>
      <c r="I577">
        <f>_xlfn.XLOOKUP(tblFinancials[[#This Row],[AccountKey]],tblAccounts[AccountKey],tblAccounts[AccountNumber],"")</f>
        <v>6120</v>
      </c>
      <c r="J577" t="str">
        <f>_xlfn.XLOOKUP(tblFinancials[[#This Row],[AccountKey]],tblAccounts[AccountKey],tblAccounts[AccountName],"")</f>
        <v>Employee Benefits</v>
      </c>
      <c r="K577" s="8" t="str">
        <f>_xlfn.XLOOKUP(tblFinancials[[#This Row],[AccountKey]],tblAccounts[AccountKey],tblAccounts[FinancialStatement],"")</f>
        <v>Income Statement</v>
      </c>
      <c r="L577" s="8" t="str">
        <f>_xlfn.XLOOKUP(tblFinancials[[#This Row],[AccountKey]],tblAccounts[AccountKey],tblAccounts[AccountCategory],"")</f>
        <v>Operating Expense</v>
      </c>
      <c r="M577" s="8" t="str">
        <f>_xlfn.XLOOKUP(tblFinancials[[#This Row],[AccountKey]],tblAccounts[AccountKey],tblAccounts[NormalBalance],"")</f>
        <v>Debit</v>
      </c>
      <c r="N577" s="8" t="str">
        <f>_xlfn.XLOOKUP(tblFinancials[[#This Row],[DepartmentKey]],tblDepartments[DepartmentKey],tblDepartments[DepartmentName],"")</f>
        <v>Finance</v>
      </c>
      <c r="O577" s="8" t="str">
        <f>_xlfn.XLOOKUP(tblFinancials[[#This Row],[BusinessUnitKey]],tblBusinessUnits[BusinessUnitKey],tblBusinessUnits[BusinessUnitName],"")</f>
        <v>E-Commerce</v>
      </c>
      <c r="P577" s="8" t="str">
        <f>_xlfn.XLOOKUP(tblFinancials[[#This Row],[RegionKey]],tblRegions[RegionKey],tblRegions[RegionName],"")</f>
        <v>West</v>
      </c>
    </row>
    <row r="578" spans="1:16">
      <c r="A578">
        <v>20240501</v>
      </c>
      <c r="B578">
        <v>8</v>
      </c>
      <c r="C578">
        <v>4</v>
      </c>
      <c r="D578">
        <v>4</v>
      </c>
      <c r="E578">
        <v>11</v>
      </c>
      <c r="F578" t="s">
        <v>92</v>
      </c>
      <c r="G578">
        <v>33272.870000000003</v>
      </c>
      <c r="H578">
        <f>_xlfn.XLOOKUP(tblFinancials[[#This Row],[DateKey]],tblCalendar[DateKey],tblCalendar[FullDate],"")</f>
        <v>45413</v>
      </c>
      <c r="I578">
        <f>_xlfn.XLOOKUP(tblFinancials[[#This Row],[AccountKey]],tblAccounts[AccountKey],tblAccounts[AccountNumber],"")</f>
        <v>4000</v>
      </c>
      <c r="J578" t="str">
        <f>_xlfn.XLOOKUP(tblFinancials[[#This Row],[AccountKey]],tblAccounts[AccountKey],tblAccounts[AccountName],"")</f>
        <v>Product Revenue</v>
      </c>
      <c r="K578" s="8" t="str">
        <f>_xlfn.XLOOKUP(tblFinancials[[#This Row],[AccountKey]],tblAccounts[AccountKey],tblAccounts[FinancialStatement],"")</f>
        <v>Income Statement</v>
      </c>
      <c r="L578" s="8" t="str">
        <f>_xlfn.XLOOKUP(tblFinancials[[#This Row],[AccountKey]],tblAccounts[AccountKey],tblAccounts[AccountCategory],"")</f>
        <v>Revenue</v>
      </c>
      <c r="M578" s="8" t="str">
        <f>_xlfn.XLOOKUP(tblFinancials[[#This Row],[AccountKey]],tblAccounts[AccountKey],tblAccounts[NormalBalance],"")</f>
        <v>Credit</v>
      </c>
      <c r="N578" s="8" t="str">
        <f>_xlfn.XLOOKUP(tblFinancials[[#This Row],[DepartmentKey]],tblDepartments[DepartmentKey],tblDepartments[DepartmentName],"")</f>
        <v>Customer Service</v>
      </c>
      <c r="O578" s="8" t="str">
        <f>_xlfn.XLOOKUP(tblFinancials[[#This Row],[BusinessUnitKey]],tblBusinessUnits[BusinessUnitKey],tblBusinessUnits[BusinessUnitName],"")</f>
        <v>E-Commerce</v>
      </c>
      <c r="P578" s="8" t="str">
        <f>_xlfn.XLOOKUP(tblFinancials[[#This Row],[RegionKey]],tblRegions[RegionKey],tblRegions[RegionName],"")</f>
        <v>East</v>
      </c>
    </row>
    <row r="579" spans="1:16">
      <c r="A579">
        <v>20240501</v>
      </c>
      <c r="B579">
        <v>8</v>
      </c>
      <c r="C579">
        <v>4</v>
      </c>
      <c r="D579">
        <v>3</v>
      </c>
      <c r="E579">
        <v>12</v>
      </c>
      <c r="F579" t="s">
        <v>92</v>
      </c>
      <c r="G579">
        <v>32545.95</v>
      </c>
      <c r="H579">
        <f>_xlfn.XLOOKUP(tblFinancials[[#This Row],[DateKey]],tblCalendar[DateKey],tblCalendar[FullDate],"")</f>
        <v>45413</v>
      </c>
      <c r="I579">
        <f>_xlfn.XLOOKUP(tblFinancials[[#This Row],[AccountKey]],tblAccounts[AccountKey],tblAccounts[AccountNumber],"")</f>
        <v>4010</v>
      </c>
      <c r="J579" t="str">
        <f>_xlfn.XLOOKUP(tblFinancials[[#This Row],[AccountKey]],tblAccounts[AccountKey],tblAccounts[AccountName],"")</f>
        <v>Service Revenue</v>
      </c>
      <c r="K579" s="8" t="str">
        <f>_xlfn.XLOOKUP(tblFinancials[[#This Row],[AccountKey]],tblAccounts[AccountKey],tblAccounts[FinancialStatement],"")</f>
        <v>Income Statement</v>
      </c>
      <c r="L579" s="8" t="str">
        <f>_xlfn.XLOOKUP(tblFinancials[[#This Row],[AccountKey]],tblAccounts[AccountKey],tblAccounts[AccountCategory],"")</f>
        <v>Revenue</v>
      </c>
      <c r="M579" s="8" t="str">
        <f>_xlfn.XLOOKUP(tblFinancials[[#This Row],[AccountKey]],tblAccounts[AccountKey],tblAccounts[NormalBalance],"")</f>
        <v>Credit</v>
      </c>
      <c r="N579" s="8" t="str">
        <f>_xlfn.XLOOKUP(tblFinancials[[#This Row],[DepartmentKey]],tblDepartments[DepartmentKey],tblDepartments[DepartmentName],"")</f>
        <v>Customer Service</v>
      </c>
      <c r="O579" s="8" t="str">
        <f>_xlfn.XLOOKUP(tblFinancials[[#This Row],[BusinessUnitKey]],tblBusinessUnits[BusinessUnitKey],tblBusinessUnits[BusinessUnitName],"")</f>
        <v>E-Commerce</v>
      </c>
      <c r="P579" s="8" t="str">
        <f>_xlfn.XLOOKUP(tblFinancials[[#This Row],[RegionKey]],tblRegions[RegionKey],tblRegions[RegionName],"")</f>
        <v>South</v>
      </c>
    </row>
    <row r="580" spans="1:16">
      <c r="A580">
        <v>20240501</v>
      </c>
      <c r="B580">
        <v>4</v>
      </c>
      <c r="C580">
        <v>2</v>
      </c>
      <c r="D580">
        <v>2</v>
      </c>
      <c r="E580">
        <v>11</v>
      </c>
      <c r="F580" t="s">
        <v>92</v>
      </c>
      <c r="G580">
        <v>32792.54</v>
      </c>
      <c r="H580">
        <f>_xlfn.XLOOKUP(tblFinancials[[#This Row],[DateKey]],tblCalendar[DateKey],tblCalendar[FullDate],"")</f>
        <v>45413</v>
      </c>
      <c r="I580">
        <f>_xlfn.XLOOKUP(tblFinancials[[#This Row],[AccountKey]],tblAccounts[AccountKey],tblAccounts[AccountNumber],"")</f>
        <v>4000</v>
      </c>
      <c r="J580" t="str">
        <f>_xlfn.XLOOKUP(tblFinancials[[#This Row],[AccountKey]],tblAccounts[AccountKey],tblAccounts[AccountName],"")</f>
        <v>Product Revenue</v>
      </c>
      <c r="K580" s="8" t="str">
        <f>_xlfn.XLOOKUP(tblFinancials[[#This Row],[AccountKey]],tblAccounts[AccountKey],tblAccounts[FinancialStatement],"")</f>
        <v>Income Statement</v>
      </c>
      <c r="L580" s="8" t="str">
        <f>_xlfn.XLOOKUP(tblFinancials[[#This Row],[AccountKey]],tblAccounts[AccountKey],tblAccounts[AccountCategory],"")</f>
        <v>Revenue</v>
      </c>
      <c r="M580" s="8" t="str">
        <f>_xlfn.XLOOKUP(tblFinancials[[#This Row],[AccountKey]],tblAccounts[AccountKey],tblAccounts[NormalBalance],"")</f>
        <v>Credit</v>
      </c>
      <c r="N580" s="8" t="str">
        <f>_xlfn.XLOOKUP(tblFinancials[[#This Row],[DepartmentKey]],tblDepartments[DepartmentKey],tblDepartments[DepartmentName],"")</f>
        <v>Sales</v>
      </c>
      <c r="O580" s="8" t="str">
        <f>_xlfn.XLOOKUP(tblFinancials[[#This Row],[BusinessUnitKey]],tblBusinessUnits[BusinessUnitKey],tblBusinessUnits[BusinessUnitName],"")</f>
        <v>Wholesale</v>
      </c>
      <c r="P580" s="8" t="str">
        <f>_xlfn.XLOOKUP(tblFinancials[[#This Row],[RegionKey]],tblRegions[RegionKey],tblRegions[RegionName],"")</f>
        <v>Midwest</v>
      </c>
    </row>
    <row r="581" spans="1:16">
      <c r="A581">
        <v>20240501</v>
      </c>
      <c r="B581">
        <v>1</v>
      </c>
      <c r="C581">
        <v>1</v>
      </c>
      <c r="D581">
        <v>3</v>
      </c>
      <c r="E581">
        <v>13</v>
      </c>
      <c r="F581" t="s">
        <v>92</v>
      </c>
      <c r="G581">
        <v>32411.24</v>
      </c>
      <c r="H581">
        <f>_xlfn.XLOOKUP(tblFinancials[[#This Row],[DateKey]],tblCalendar[DateKey],tblCalendar[FullDate],"")</f>
        <v>45413</v>
      </c>
      <c r="I581">
        <f>_xlfn.XLOOKUP(tblFinancials[[#This Row],[AccountKey]],tblAccounts[AccountKey],tblAccounts[AccountNumber],"")</f>
        <v>4020</v>
      </c>
      <c r="J581" t="str">
        <f>_xlfn.XLOOKUP(tblFinancials[[#This Row],[AccountKey]],tblAccounts[AccountKey],tblAccounts[AccountName],"")</f>
        <v>Online Revenue</v>
      </c>
      <c r="K581" s="8" t="str">
        <f>_xlfn.XLOOKUP(tblFinancials[[#This Row],[AccountKey]],tblAccounts[AccountKey],tblAccounts[FinancialStatement],"")</f>
        <v>Income Statement</v>
      </c>
      <c r="L581" s="8" t="str">
        <f>_xlfn.XLOOKUP(tblFinancials[[#This Row],[AccountKey]],tblAccounts[AccountKey],tblAccounts[AccountCategory],"")</f>
        <v>Revenue</v>
      </c>
      <c r="M581" s="8" t="str">
        <f>_xlfn.XLOOKUP(tblFinancials[[#This Row],[AccountKey]],tblAccounts[AccountKey],tblAccounts[NormalBalance],"")</f>
        <v>Credit</v>
      </c>
      <c r="N581" s="8" t="str">
        <f>_xlfn.XLOOKUP(tblFinancials[[#This Row],[DepartmentKey]],tblDepartments[DepartmentKey],tblDepartments[DepartmentName],"")</f>
        <v>Executive</v>
      </c>
      <c r="O581" s="8" t="str">
        <f>_xlfn.XLOOKUP(tblFinancials[[#This Row],[BusinessUnitKey]],tblBusinessUnits[BusinessUnitKey],tblBusinessUnits[BusinessUnitName],"")</f>
        <v xml:space="preserve">Manufacturing </v>
      </c>
      <c r="P581" s="8" t="str">
        <f>_xlfn.XLOOKUP(tblFinancials[[#This Row],[RegionKey]],tblRegions[RegionKey],tblRegions[RegionName],"")</f>
        <v>South</v>
      </c>
    </row>
    <row r="582" spans="1:16">
      <c r="A582">
        <v>20240501</v>
      </c>
      <c r="B582">
        <v>7</v>
      </c>
      <c r="C582">
        <v>2</v>
      </c>
      <c r="D582">
        <v>2</v>
      </c>
      <c r="E582">
        <v>11</v>
      </c>
      <c r="F582" t="s">
        <v>92</v>
      </c>
      <c r="G582">
        <v>33428.32</v>
      </c>
      <c r="H582">
        <f>_xlfn.XLOOKUP(tblFinancials[[#This Row],[DateKey]],tblCalendar[DateKey],tblCalendar[FullDate],"")</f>
        <v>45413</v>
      </c>
      <c r="I582">
        <f>_xlfn.XLOOKUP(tblFinancials[[#This Row],[AccountKey]],tblAccounts[AccountKey],tblAccounts[AccountNumber],"")</f>
        <v>4000</v>
      </c>
      <c r="J582" t="str">
        <f>_xlfn.XLOOKUP(tblFinancials[[#This Row],[AccountKey]],tblAccounts[AccountKey],tblAccounts[AccountName],"")</f>
        <v>Product Revenue</v>
      </c>
      <c r="K582" s="8" t="str">
        <f>_xlfn.XLOOKUP(tblFinancials[[#This Row],[AccountKey]],tblAccounts[AccountKey],tblAccounts[FinancialStatement],"")</f>
        <v>Income Statement</v>
      </c>
      <c r="L582" s="8" t="str">
        <f>_xlfn.XLOOKUP(tblFinancials[[#This Row],[AccountKey]],tblAccounts[AccountKey],tblAccounts[AccountCategory],"")</f>
        <v>Revenue</v>
      </c>
      <c r="M582" s="8" t="str">
        <f>_xlfn.XLOOKUP(tblFinancials[[#This Row],[AccountKey]],tblAccounts[AccountKey],tblAccounts[NormalBalance],"")</f>
        <v>Credit</v>
      </c>
      <c r="N582" s="8" t="str">
        <f>_xlfn.XLOOKUP(tblFinancials[[#This Row],[DepartmentKey]],tblDepartments[DepartmentKey],tblDepartments[DepartmentName],"")</f>
        <v>Information Technology</v>
      </c>
      <c r="O582" s="8" t="str">
        <f>_xlfn.XLOOKUP(tblFinancials[[#This Row],[BusinessUnitKey]],tblBusinessUnits[BusinessUnitKey],tblBusinessUnits[BusinessUnitName],"")</f>
        <v>Wholesale</v>
      </c>
      <c r="P582" s="8" t="str">
        <f>_xlfn.XLOOKUP(tblFinancials[[#This Row],[RegionKey]],tblRegions[RegionKey],tblRegions[RegionName],"")</f>
        <v>Midwest</v>
      </c>
    </row>
    <row r="583" spans="1:16">
      <c r="A583">
        <v>20240501</v>
      </c>
      <c r="B583">
        <v>2</v>
      </c>
      <c r="C583">
        <v>1</v>
      </c>
      <c r="D583">
        <v>1</v>
      </c>
      <c r="E583">
        <v>13</v>
      </c>
      <c r="F583" t="s">
        <v>92</v>
      </c>
      <c r="G583">
        <v>32197.21</v>
      </c>
      <c r="H583">
        <f>_xlfn.XLOOKUP(tblFinancials[[#This Row],[DateKey]],tblCalendar[DateKey],tblCalendar[FullDate],"")</f>
        <v>45413</v>
      </c>
      <c r="I583">
        <f>_xlfn.XLOOKUP(tblFinancials[[#This Row],[AccountKey]],tblAccounts[AccountKey],tblAccounts[AccountNumber],"")</f>
        <v>4020</v>
      </c>
      <c r="J583" t="str">
        <f>_xlfn.XLOOKUP(tblFinancials[[#This Row],[AccountKey]],tblAccounts[AccountKey],tblAccounts[AccountName],"")</f>
        <v>Online Revenue</v>
      </c>
      <c r="K583" s="8" t="str">
        <f>_xlfn.XLOOKUP(tblFinancials[[#This Row],[AccountKey]],tblAccounts[AccountKey],tblAccounts[FinancialStatement],"")</f>
        <v>Income Statement</v>
      </c>
      <c r="L583" s="8" t="str">
        <f>_xlfn.XLOOKUP(tblFinancials[[#This Row],[AccountKey]],tblAccounts[AccountKey],tblAccounts[AccountCategory],"")</f>
        <v>Revenue</v>
      </c>
      <c r="M583" s="8" t="str">
        <f>_xlfn.XLOOKUP(tblFinancials[[#This Row],[AccountKey]],tblAccounts[AccountKey],tblAccounts[NormalBalance],"")</f>
        <v>Credit</v>
      </c>
      <c r="N583" s="8" t="str">
        <f>_xlfn.XLOOKUP(tblFinancials[[#This Row],[DepartmentKey]],tblDepartments[DepartmentKey],tblDepartments[DepartmentName],"")</f>
        <v>Finance</v>
      </c>
      <c r="O583" s="8" t="str">
        <f>_xlfn.XLOOKUP(tblFinancials[[#This Row],[BusinessUnitKey]],tblBusinessUnits[BusinessUnitKey],tblBusinessUnits[BusinessUnitName],"")</f>
        <v xml:space="preserve">Manufacturing </v>
      </c>
      <c r="P583" s="8" t="str">
        <f>_xlfn.XLOOKUP(tblFinancials[[#This Row],[RegionKey]],tblRegions[RegionKey],tblRegions[RegionName],"")</f>
        <v>West</v>
      </c>
    </row>
    <row r="584" spans="1:16">
      <c r="A584">
        <v>20240501</v>
      </c>
      <c r="B584">
        <v>8</v>
      </c>
      <c r="C584">
        <v>3</v>
      </c>
      <c r="D584">
        <v>1</v>
      </c>
      <c r="E584">
        <v>13</v>
      </c>
      <c r="F584" t="s">
        <v>92</v>
      </c>
      <c r="G584">
        <v>31739.200000000001</v>
      </c>
      <c r="H584">
        <f>_xlfn.XLOOKUP(tblFinancials[[#This Row],[DateKey]],tblCalendar[DateKey],tblCalendar[FullDate],"")</f>
        <v>45413</v>
      </c>
      <c r="I584">
        <f>_xlfn.XLOOKUP(tblFinancials[[#This Row],[AccountKey]],tblAccounts[AccountKey],tblAccounts[AccountNumber],"")</f>
        <v>4020</v>
      </c>
      <c r="J584" t="str">
        <f>_xlfn.XLOOKUP(tblFinancials[[#This Row],[AccountKey]],tblAccounts[AccountKey],tblAccounts[AccountName],"")</f>
        <v>Online Revenue</v>
      </c>
      <c r="K584" s="8" t="str">
        <f>_xlfn.XLOOKUP(tblFinancials[[#This Row],[AccountKey]],tblAccounts[AccountKey],tblAccounts[FinancialStatement],"")</f>
        <v>Income Statement</v>
      </c>
      <c r="L584" s="8" t="str">
        <f>_xlfn.XLOOKUP(tblFinancials[[#This Row],[AccountKey]],tblAccounts[AccountKey],tblAccounts[AccountCategory],"")</f>
        <v>Revenue</v>
      </c>
      <c r="M584" s="8" t="str">
        <f>_xlfn.XLOOKUP(tblFinancials[[#This Row],[AccountKey]],tblAccounts[AccountKey],tblAccounts[NormalBalance],"")</f>
        <v>Credit</v>
      </c>
      <c r="N584" s="8" t="str">
        <f>_xlfn.XLOOKUP(tblFinancials[[#This Row],[DepartmentKey]],tblDepartments[DepartmentKey],tblDepartments[DepartmentName],"")</f>
        <v>Customer Service</v>
      </c>
      <c r="O584" s="8" t="str">
        <f>_xlfn.XLOOKUP(tblFinancials[[#This Row],[BusinessUnitKey]],tblBusinessUnits[BusinessUnitKey],tblBusinessUnits[BusinessUnitName],"")</f>
        <v>Retail</v>
      </c>
      <c r="P584" s="8" t="str">
        <f>_xlfn.XLOOKUP(tblFinancials[[#This Row],[RegionKey]],tblRegions[RegionKey],tblRegions[RegionName],"")</f>
        <v>West</v>
      </c>
    </row>
    <row r="585" spans="1:16">
      <c r="A585">
        <v>20240501</v>
      </c>
      <c r="B585">
        <v>6</v>
      </c>
      <c r="C585">
        <v>1</v>
      </c>
      <c r="D585">
        <v>3</v>
      </c>
      <c r="E585">
        <v>12</v>
      </c>
      <c r="F585" t="s">
        <v>92</v>
      </c>
      <c r="G585">
        <v>32143.86</v>
      </c>
      <c r="H585">
        <f>_xlfn.XLOOKUP(tblFinancials[[#This Row],[DateKey]],tblCalendar[DateKey],tblCalendar[FullDate],"")</f>
        <v>45413</v>
      </c>
      <c r="I585">
        <f>_xlfn.XLOOKUP(tblFinancials[[#This Row],[AccountKey]],tblAccounts[AccountKey],tblAccounts[AccountNumber],"")</f>
        <v>4010</v>
      </c>
      <c r="J585" t="str">
        <f>_xlfn.XLOOKUP(tblFinancials[[#This Row],[AccountKey]],tblAccounts[AccountKey],tblAccounts[AccountName],"")</f>
        <v>Service Revenue</v>
      </c>
      <c r="K585" s="8" t="str">
        <f>_xlfn.XLOOKUP(tblFinancials[[#This Row],[AccountKey]],tblAccounts[AccountKey],tblAccounts[FinancialStatement],"")</f>
        <v>Income Statement</v>
      </c>
      <c r="L585" s="8" t="str">
        <f>_xlfn.XLOOKUP(tblFinancials[[#This Row],[AccountKey]],tblAccounts[AccountKey],tblAccounts[AccountCategory],"")</f>
        <v>Revenue</v>
      </c>
      <c r="M585" s="8" t="str">
        <f>_xlfn.XLOOKUP(tblFinancials[[#This Row],[AccountKey]],tblAccounts[AccountKey],tblAccounts[NormalBalance],"")</f>
        <v>Credit</v>
      </c>
      <c r="N585" s="8" t="str">
        <f>_xlfn.XLOOKUP(tblFinancials[[#This Row],[DepartmentKey]],tblDepartments[DepartmentKey],tblDepartments[DepartmentName],"")</f>
        <v>Operations</v>
      </c>
      <c r="O585" s="8" t="str">
        <f>_xlfn.XLOOKUP(tblFinancials[[#This Row],[BusinessUnitKey]],tblBusinessUnits[BusinessUnitKey],tblBusinessUnits[BusinessUnitName],"")</f>
        <v xml:space="preserve">Manufacturing </v>
      </c>
      <c r="P585" s="8" t="str">
        <f>_xlfn.XLOOKUP(tblFinancials[[#This Row],[RegionKey]],tblRegions[RegionKey],tblRegions[RegionName],"")</f>
        <v>South</v>
      </c>
    </row>
    <row r="586" spans="1:16">
      <c r="A586">
        <v>20240501</v>
      </c>
      <c r="B586">
        <v>7</v>
      </c>
      <c r="C586">
        <v>1</v>
      </c>
      <c r="D586">
        <v>4</v>
      </c>
      <c r="E586">
        <v>11</v>
      </c>
      <c r="F586" t="s">
        <v>92</v>
      </c>
      <c r="G586">
        <v>31552.22</v>
      </c>
      <c r="H586">
        <f>_xlfn.XLOOKUP(tblFinancials[[#This Row],[DateKey]],tblCalendar[DateKey],tblCalendar[FullDate],"")</f>
        <v>45413</v>
      </c>
      <c r="I586">
        <f>_xlfn.XLOOKUP(tblFinancials[[#This Row],[AccountKey]],tblAccounts[AccountKey],tblAccounts[AccountNumber],"")</f>
        <v>4000</v>
      </c>
      <c r="J586" t="str">
        <f>_xlfn.XLOOKUP(tblFinancials[[#This Row],[AccountKey]],tblAccounts[AccountKey],tblAccounts[AccountName],"")</f>
        <v>Product Revenue</v>
      </c>
      <c r="K586" s="8" t="str">
        <f>_xlfn.XLOOKUP(tblFinancials[[#This Row],[AccountKey]],tblAccounts[AccountKey],tblAccounts[FinancialStatement],"")</f>
        <v>Income Statement</v>
      </c>
      <c r="L586" s="8" t="str">
        <f>_xlfn.XLOOKUP(tblFinancials[[#This Row],[AccountKey]],tblAccounts[AccountKey],tblAccounts[AccountCategory],"")</f>
        <v>Revenue</v>
      </c>
      <c r="M586" s="8" t="str">
        <f>_xlfn.XLOOKUP(tblFinancials[[#This Row],[AccountKey]],tblAccounts[AccountKey],tblAccounts[NormalBalance],"")</f>
        <v>Credit</v>
      </c>
      <c r="N586" s="8" t="str">
        <f>_xlfn.XLOOKUP(tblFinancials[[#This Row],[DepartmentKey]],tblDepartments[DepartmentKey],tblDepartments[DepartmentName],"")</f>
        <v>Information Technology</v>
      </c>
      <c r="O586" s="8" t="str">
        <f>_xlfn.XLOOKUP(tblFinancials[[#This Row],[BusinessUnitKey]],tblBusinessUnits[BusinessUnitKey],tblBusinessUnits[BusinessUnitName],"")</f>
        <v xml:space="preserve">Manufacturing </v>
      </c>
      <c r="P586" s="8" t="str">
        <f>_xlfn.XLOOKUP(tblFinancials[[#This Row],[RegionKey]],tblRegions[RegionKey],tblRegions[RegionName],"")</f>
        <v>East</v>
      </c>
    </row>
    <row r="587" spans="1:16">
      <c r="A587">
        <v>20240501</v>
      </c>
      <c r="B587">
        <v>7</v>
      </c>
      <c r="C587">
        <v>4</v>
      </c>
      <c r="D587">
        <v>4</v>
      </c>
      <c r="E587">
        <v>11</v>
      </c>
      <c r="F587" t="s">
        <v>92</v>
      </c>
      <c r="G587">
        <v>33634.11</v>
      </c>
      <c r="H587">
        <f>_xlfn.XLOOKUP(tblFinancials[[#This Row],[DateKey]],tblCalendar[DateKey],tblCalendar[FullDate],"")</f>
        <v>45413</v>
      </c>
      <c r="I587">
        <f>_xlfn.XLOOKUP(tblFinancials[[#This Row],[AccountKey]],tblAccounts[AccountKey],tblAccounts[AccountNumber],"")</f>
        <v>4000</v>
      </c>
      <c r="J587" t="str">
        <f>_xlfn.XLOOKUP(tblFinancials[[#This Row],[AccountKey]],tblAccounts[AccountKey],tblAccounts[AccountName],"")</f>
        <v>Product Revenue</v>
      </c>
      <c r="K587" s="8" t="str">
        <f>_xlfn.XLOOKUP(tblFinancials[[#This Row],[AccountKey]],tblAccounts[AccountKey],tblAccounts[FinancialStatement],"")</f>
        <v>Income Statement</v>
      </c>
      <c r="L587" s="8" t="str">
        <f>_xlfn.XLOOKUP(tblFinancials[[#This Row],[AccountKey]],tblAccounts[AccountKey],tblAccounts[AccountCategory],"")</f>
        <v>Revenue</v>
      </c>
      <c r="M587" s="8" t="str">
        <f>_xlfn.XLOOKUP(tblFinancials[[#This Row],[AccountKey]],tblAccounts[AccountKey],tblAccounts[NormalBalance],"")</f>
        <v>Credit</v>
      </c>
      <c r="N587" s="8" t="str">
        <f>_xlfn.XLOOKUP(tblFinancials[[#This Row],[DepartmentKey]],tblDepartments[DepartmentKey],tblDepartments[DepartmentName],"")</f>
        <v>Information Technology</v>
      </c>
      <c r="O587" s="8" t="str">
        <f>_xlfn.XLOOKUP(tblFinancials[[#This Row],[BusinessUnitKey]],tblBusinessUnits[BusinessUnitKey],tblBusinessUnits[BusinessUnitName],"")</f>
        <v>E-Commerce</v>
      </c>
      <c r="P587" s="8" t="str">
        <f>_xlfn.XLOOKUP(tblFinancials[[#This Row],[RegionKey]],tblRegions[RegionKey],tblRegions[RegionName],"")</f>
        <v>East</v>
      </c>
    </row>
    <row r="588" spans="1:16">
      <c r="A588">
        <v>20240501</v>
      </c>
      <c r="B588">
        <v>4</v>
      </c>
      <c r="C588">
        <v>2</v>
      </c>
      <c r="D588">
        <v>1</v>
      </c>
      <c r="E588">
        <v>11</v>
      </c>
      <c r="F588" t="s">
        <v>92</v>
      </c>
      <c r="G588">
        <v>33477.769999999997</v>
      </c>
      <c r="H588">
        <f>_xlfn.XLOOKUP(tblFinancials[[#This Row],[DateKey]],tblCalendar[DateKey],tblCalendar[FullDate],"")</f>
        <v>45413</v>
      </c>
      <c r="I588">
        <f>_xlfn.XLOOKUP(tblFinancials[[#This Row],[AccountKey]],tblAccounts[AccountKey],tblAccounts[AccountNumber],"")</f>
        <v>4000</v>
      </c>
      <c r="J588" t="str">
        <f>_xlfn.XLOOKUP(tblFinancials[[#This Row],[AccountKey]],tblAccounts[AccountKey],tblAccounts[AccountName],"")</f>
        <v>Product Revenue</v>
      </c>
      <c r="K588" s="8" t="str">
        <f>_xlfn.XLOOKUP(tblFinancials[[#This Row],[AccountKey]],tblAccounts[AccountKey],tblAccounts[FinancialStatement],"")</f>
        <v>Income Statement</v>
      </c>
      <c r="L588" s="8" t="str">
        <f>_xlfn.XLOOKUP(tblFinancials[[#This Row],[AccountKey]],tblAccounts[AccountKey],tblAccounts[AccountCategory],"")</f>
        <v>Revenue</v>
      </c>
      <c r="M588" s="8" t="str">
        <f>_xlfn.XLOOKUP(tblFinancials[[#This Row],[AccountKey]],tblAccounts[AccountKey],tblAccounts[NormalBalance],"")</f>
        <v>Credit</v>
      </c>
      <c r="N588" s="8" t="str">
        <f>_xlfn.XLOOKUP(tblFinancials[[#This Row],[DepartmentKey]],tblDepartments[DepartmentKey],tblDepartments[DepartmentName],"")</f>
        <v>Sales</v>
      </c>
      <c r="O588" s="8" t="str">
        <f>_xlfn.XLOOKUP(tblFinancials[[#This Row],[BusinessUnitKey]],tblBusinessUnits[BusinessUnitKey],tblBusinessUnits[BusinessUnitName],"")</f>
        <v>Wholesale</v>
      </c>
      <c r="P588" s="8" t="str">
        <f>_xlfn.XLOOKUP(tblFinancials[[#This Row],[RegionKey]],tblRegions[RegionKey],tblRegions[RegionName],"")</f>
        <v>West</v>
      </c>
    </row>
    <row r="589" spans="1:16">
      <c r="A589">
        <v>20240501</v>
      </c>
      <c r="B589">
        <v>2</v>
      </c>
      <c r="C589">
        <v>4</v>
      </c>
      <c r="D589">
        <v>2</v>
      </c>
      <c r="E589">
        <v>12</v>
      </c>
      <c r="F589" t="s">
        <v>92</v>
      </c>
      <c r="G589">
        <v>31313.15</v>
      </c>
      <c r="H589">
        <f>_xlfn.XLOOKUP(tblFinancials[[#This Row],[DateKey]],tblCalendar[DateKey],tblCalendar[FullDate],"")</f>
        <v>45413</v>
      </c>
      <c r="I589">
        <f>_xlfn.XLOOKUP(tblFinancials[[#This Row],[AccountKey]],tblAccounts[AccountKey],tblAccounts[AccountNumber],"")</f>
        <v>4010</v>
      </c>
      <c r="J589" t="str">
        <f>_xlfn.XLOOKUP(tblFinancials[[#This Row],[AccountKey]],tblAccounts[AccountKey],tblAccounts[AccountName],"")</f>
        <v>Service Revenue</v>
      </c>
      <c r="K589" s="8" t="str">
        <f>_xlfn.XLOOKUP(tblFinancials[[#This Row],[AccountKey]],tblAccounts[AccountKey],tblAccounts[FinancialStatement],"")</f>
        <v>Income Statement</v>
      </c>
      <c r="L589" s="8" t="str">
        <f>_xlfn.XLOOKUP(tblFinancials[[#This Row],[AccountKey]],tblAccounts[AccountKey],tblAccounts[AccountCategory],"")</f>
        <v>Revenue</v>
      </c>
      <c r="M589" s="8" t="str">
        <f>_xlfn.XLOOKUP(tblFinancials[[#This Row],[AccountKey]],tblAccounts[AccountKey],tblAccounts[NormalBalance],"")</f>
        <v>Credit</v>
      </c>
      <c r="N589" s="8" t="str">
        <f>_xlfn.XLOOKUP(tblFinancials[[#This Row],[DepartmentKey]],tblDepartments[DepartmentKey],tblDepartments[DepartmentName],"")</f>
        <v>Finance</v>
      </c>
      <c r="O589" s="8" t="str">
        <f>_xlfn.XLOOKUP(tblFinancials[[#This Row],[BusinessUnitKey]],tblBusinessUnits[BusinessUnitKey],tblBusinessUnits[BusinessUnitName],"")</f>
        <v>E-Commerce</v>
      </c>
      <c r="P589" s="8" t="str">
        <f>_xlfn.XLOOKUP(tblFinancials[[#This Row],[RegionKey]],tblRegions[RegionKey],tblRegions[RegionName],"")</f>
        <v>Midwest</v>
      </c>
    </row>
    <row r="590" spans="1:16">
      <c r="A590">
        <v>20240501</v>
      </c>
      <c r="B590">
        <v>6</v>
      </c>
      <c r="C590">
        <v>3</v>
      </c>
      <c r="D590">
        <v>4</v>
      </c>
      <c r="E590">
        <v>14</v>
      </c>
      <c r="F590" t="s">
        <v>92</v>
      </c>
      <c r="G590">
        <v>-18591.150000000001</v>
      </c>
      <c r="H590">
        <f>_xlfn.XLOOKUP(tblFinancials[[#This Row],[DateKey]],tblCalendar[DateKey],tblCalendar[FullDate],"")</f>
        <v>45413</v>
      </c>
      <c r="I590">
        <f>_xlfn.XLOOKUP(tblFinancials[[#This Row],[AccountKey]],tblAccounts[AccountKey],tblAccounts[AccountNumber],"")</f>
        <v>5000</v>
      </c>
      <c r="J590" t="str">
        <f>_xlfn.XLOOKUP(tblFinancials[[#This Row],[AccountKey]],tblAccounts[AccountKey],tblAccounts[AccountName],"")</f>
        <v>Cost of Goods Sold</v>
      </c>
      <c r="K590" s="8" t="str">
        <f>_xlfn.XLOOKUP(tblFinancials[[#This Row],[AccountKey]],tblAccounts[AccountKey],tblAccounts[FinancialStatement],"")</f>
        <v>Income Statement</v>
      </c>
      <c r="L590" s="8" t="str">
        <f>_xlfn.XLOOKUP(tblFinancials[[#This Row],[AccountKey]],tblAccounts[AccountKey],tblAccounts[AccountCategory],"")</f>
        <v>Cost of Sales</v>
      </c>
      <c r="M590" s="8" t="str">
        <f>_xlfn.XLOOKUP(tblFinancials[[#This Row],[AccountKey]],tblAccounts[AccountKey],tblAccounts[NormalBalance],"")</f>
        <v>Debit</v>
      </c>
      <c r="N590" s="8" t="str">
        <f>_xlfn.XLOOKUP(tblFinancials[[#This Row],[DepartmentKey]],tblDepartments[DepartmentKey],tblDepartments[DepartmentName],"")</f>
        <v>Operations</v>
      </c>
      <c r="O590" s="8" t="str">
        <f>_xlfn.XLOOKUP(tblFinancials[[#This Row],[BusinessUnitKey]],tblBusinessUnits[BusinessUnitKey],tblBusinessUnits[BusinessUnitName],"")</f>
        <v>Retail</v>
      </c>
      <c r="P590" s="8" t="str">
        <f>_xlfn.XLOOKUP(tblFinancials[[#This Row],[RegionKey]],tblRegions[RegionKey],tblRegions[RegionName],"")</f>
        <v>East</v>
      </c>
    </row>
    <row r="591" spans="1:16">
      <c r="A591">
        <v>20240501</v>
      </c>
      <c r="B591">
        <v>1</v>
      </c>
      <c r="C591">
        <v>3</v>
      </c>
      <c r="D591">
        <v>3</v>
      </c>
      <c r="E591">
        <v>14</v>
      </c>
      <c r="F591" t="s">
        <v>92</v>
      </c>
      <c r="G591">
        <v>-19162.47</v>
      </c>
      <c r="H591">
        <f>_xlfn.XLOOKUP(tblFinancials[[#This Row],[DateKey]],tblCalendar[DateKey],tblCalendar[FullDate],"")</f>
        <v>45413</v>
      </c>
      <c r="I591">
        <f>_xlfn.XLOOKUP(tblFinancials[[#This Row],[AccountKey]],tblAccounts[AccountKey],tblAccounts[AccountNumber],"")</f>
        <v>5000</v>
      </c>
      <c r="J591" t="str">
        <f>_xlfn.XLOOKUP(tblFinancials[[#This Row],[AccountKey]],tblAccounts[AccountKey],tblAccounts[AccountName],"")</f>
        <v>Cost of Goods Sold</v>
      </c>
      <c r="K591" s="8" t="str">
        <f>_xlfn.XLOOKUP(tblFinancials[[#This Row],[AccountKey]],tblAccounts[AccountKey],tblAccounts[FinancialStatement],"")</f>
        <v>Income Statement</v>
      </c>
      <c r="L591" s="8" t="str">
        <f>_xlfn.XLOOKUP(tblFinancials[[#This Row],[AccountKey]],tblAccounts[AccountKey],tblAccounts[AccountCategory],"")</f>
        <v>Cost of Sales</v>
      </c>
      <c r="M591" s="8" t="str">
        <f>_xlfn.XLOOKUP(tblFinancials[[#This Row],[AccountKey]],tblAccounts[AccountKey],tblAccounts[NormalBalance],"")</f>
        <v>Debit</v>
      </c>
      <c r="N591" s="8" t="str">
        <f>_xlfn.XLOOKUP(tblFinancials[[#This Row],[DepartmentKey]],tblDepartments[DepartmentKey],tblDepartments[DepartmentName],"")</f>
        <v>Executive</v>
      </c>
      <c r="O591" s="8" t="str">
        <f>_xlfn.XLOOKUP(tblFinancials[[#This Row],[BusinessUnitKey]],tblBusinessUnits[BusinessUnitKey],tblBusinessUnits[BusinessUnitName],"")</f>
        <v>Retail</v>
      </c>
      <c r="P591" s="8" t="str">
        <f>_xlfn.XLOOKUP(tblFinancials[[#This Row],[RegionKey]],tblRegions[RegionKey],tblRegions[RegionName],"")</f>
        <v>South</v>
      </c>
    </row>
    <row r="592" spans="1:16">
      <c r="A592">
        <v>20240501</v>
      </c>
      <c r="B592">
        <v>8</v>
      </c>
      <c r="C592">
        <v>1</v>
      </c>
      <c r="D592">
        <v>4</v>
      </c>
      <c r="E592">
        <v>14</v>
      </c>
      <c r="F592" t="s">
        <v>92</v>
      </c>
      <c r="G592">
        <v>-18833.91</v>
      </c>
      <c r="H592">
        <f>_xlfn.XLOOKUP(tblFinancials[[#This Row],[DateKey]],tblCalendar[DateKey],tblCalendar[FullDate],"")</f>
        <v>45413</v>
      </c>
      <c r="I592">
        <f>_xlfn.XLOOKUP(tblFinancials[[#This Row],[AccountKey]],tblAccounts[AccountKey],tblAccounts[AccountNumber],"")</f>
        <v>5000</v>
      </c>
      <c r="J592" t="str">
        <f>_xlfn.XLOOKUP(tblFinancials[[#This Row],[AccountKey]],tblAccounts[AccountKey],tblAccounts[AccountName],"")</f>
        <v>Cost of Goods Sold</v>
      </c>
      <c r="K592" s="8" t="str">
        <f>_xlfn.XLOOKUP(tblFinancials[[#This Row],[AccountKey]],tblAccounts[AccountKey],tblAccounts[FinancialStatement],"")</f>
        <v>Income Statement</v>
      </c>
      <c r="L592" s="8" t="str">
        <f>_xlfn.XLOOKUP(tblFinancials[[#This Row],[AccountKey]],tblAccounts[AccountKey],tblAccounts[AccountCategory],"")</f>
        <v>Cost of Sales</v>
      </c>
      <c r="M592" s="8" t="str">
        <f>_xlfn.XLOOKUP(tblFinancials[[#This Row],[AccountKey]],tblAccounts[AccountKey],tblAccounts[NormalBalance],"")</f>
        <v>Debit</v>
      </c>
      <c r="N592" s="8" t="str">
        <f>_xlfn.XLOOKUP(tblFinancials[[#This Row],[DepartmentKey]],tblDepartments[DepartmentKey],tblDepartments[DepartmentName],"")</f>
        <v>Customer Service</v>
      </c>
      <c r="O592" s="8" t="str">
        <f>_xlfn.XLOOKUP(tblFinancials[[#This Row],[BusinessUnitKey]],tblBusinessUnits[BusinessUnitKey],tblBusinessUnits[BusinessUnitName],"")</f>
        <v xml:space="preserve">Manufacturing </v>
      </c>
      <c r="P592" s="8" t="str">
        <f>_xlfn.XLOOKUP(tblFinancials[[#This Row],[RegionKey]],tblRegions[RegionKey],tblRegions[RegionName],"")</f>
        <v>East</v>
      </c>
    </row>
    <row r="593" spans="1:16">
      <c r="A593">
        <v>20240501</v>
      </c>
      <c r="B593">
        <v>8</v>
      </c>
      <c r="C593">
        <v>3</v>
      </c>
      <c r="D593">
        <v>2</v>
      </c>
      <c r="E593">
        <v>14</v>
      </c>
      <c r="F593" t="s">
        <v>92</v>
      </c>
      <c r="G593">
        <v>-17982.75</v>
      </c>
      <c r="H593">
        <f>_xlfn.XLOOKUP(tblFinancials[[#This Row],[DateKey]],tblCalendar[DateKey],tblCalendar[FullDate],"")</f>
        <v>45413</v>
      </c>
      <c r="I593">
        <f>_xlfn.XLOOKUP(tblFinancials[[#This Row],[AccountKey]],tblAccounts[AccountKey],tblAccounts[AccountNumber],"")</f>
        <v>5000</v>
      </c>
      <c r="J593" t="str">
        <f>_xlfn.XLOOKUP(tblFinancials[[#This Row],[AccountKey]],tblAccounts[AccountKey],tblAccounts[AccountName],"")</f>
        <v>Cost of Goods Sold</v>
      </c>
      <c r="K593" s="8" t="str">
        <f>_xlfn.XLOOKUP(tblFinancials[[#This Row],[AccountKey]],tblAccounts[AccountKey],tblAccounts[FinancialStatement],"")</f>
        <v>Income Statement</v>
      </c>
      <c r="L593" s="8" t="str">
        <f>_xlfn.XLOOKUP(tblFinancials[[#This Row],[AccountKey]],tblAccounts[AccountKey],tblAccounts[AccountCategory],"")</f>
        <v>Cost of Sales</v>
      </c>
      <c r="M593" s="8" t="str">
        <f>_xlfn.XLOOKUP(tblFinancials[[#This Row],[AccountKey]],tblAccounts[AccountKey],tblAccounts[NormalBalance],"")</f>
        <v>Debit</v>
      </c>
      <c r="N593" s="8" t="str">
        <f>_xlfn.XLOOKUP(tblFinancials[[#This Row],[DepartmentKey]],tblDepartments[DepartmentKey],tblDepartments[DepartmentName],"")</f>
        <v>Customer Service</v>
      </c>
      <c r="O593" s="8" t="str">
        <f>_xlfn.XLOOKUP(tblFinancials[[#This Row],[BusinessUnitKey]],tblBusinessUnits[BusinessUnitKey],tblBusinessUnits[BusinessUnitName],"")</f>
        <v>Retail</v>
      </c>
      <c r="P593" s="8" t="str">
        <f>_xlfn.XLOOKUP(tblFinancials[[#This Row],[RegionKey]],tblRegions[RegionKey],tblRegions[RegionName],"")</f>
        <v>Midwest</v>
      </c>
    </row>
    <row r="594" spans="1:16">
      <c r="A594">
        <v>20240501</v>
      </c>
      <c r="B594">
        <v>1</v>
      </c>
      <c r="C594">
        <v>2</v>
      </c>
      <c r="D594">
        <v>1</v>
      </c>
      <c r="E594">
        <v>14</v>
      </c>
      <c r="F594" t="s">
        <v>92</v>
      </c>
      <c r="G594">
        <v>-20188.3</v>
      </c>
      <c r="H594">
        <f>_xlfn.XLOOKUP(tblFinancials[[#This Row],[DateKey]],tblCalendar[DateKey],tblCalendar[FullDate],"")</f>
        <v>45413</v>
      </c>
      <c r="I594">
        <f>_xlfn.XLOOKUP(tblFinancials[[#This Row],[AccountKey]],tblAccounts[AccountKey],tblAccounts[AccountNumber],"")</f>
        <v>5000</v>
      </c>
      <c r="J594" t="str">
        <f>_xlfn.XLOOKUP(tblFinancials[[#This Row],[AccountKey]],tblAccounts[AccountKey],tblAccounts[AccountName],"")</f>
        <v>Cost of Goods Sold</v>
      </c>
      <c r="K594" s="8" t="str">
        <f>_xlfn.XLOOKUP(tblFinancials[[#This Row],[AccountKey]],tblAccounts[AccountKey],tblAccounts[FinancialStatement],"")</f>
        <v>Income Statement</v>
      </c>
      <c r="L594" s="8" t="str">
        <f>_xlfn.XLOOKUP(tblFinancials[[#This Row],[AccountKey]],tblAccounts[AccountKey],tblAccounts[AccountCategory],"")</f>
        <v>Cost of Sales</v>
      </c>
      <c r="M594" s="8" t="str">
        <f>_xlfn.XLOOKUP(tblFinancials[[#This Row],[AccountKey]],tblAccounts[AccountKey],tblAccounts[NormalBalance],"")</f>
        <v>Debit</v>
      </c>
      <c r="N594" s="8" t="str">
        <f>_xlfn.XLOOKUP(tblFinancials[[#This Row],[DepartmentKey]],tblDepartments[DepartmentKey],tblDepartments[DepartmentName],"")</f>
        <v>Executive</v>
      </c>
      <c r="O594" s="8" t="str">
        <f>_xlfn.XLOOKUP(tblFinancials[[#This Row],[BusinessUnitKey]],tblBusinessUnits[BusinessUnitKey],tblBusinessUnits[BusinessUnitName],"")</f>
        <v>Wholesale</v>
      </c>
      <c r="P594" s="8" t="str">
        <f>_xlfn.XLOOKUP(tblFinancials[[#This Row],[RegionKey]],tblRegions[RegionKey],tblRegions[RegionName],"")</f>
        <v>West</v>
      </c>
    </row>
    <row r="595" spans="1:16">
      <c r="A595">
        <v>20240501</v>
      </c>
      <c r="B595">
        <v>5</v>
      </c>
      <c r="C595">
        <v>4</v>
      </c>
      <c r="D595">
        <v>4</v>
      </c>
      <c r="E595">
        <v>14</v>
      </c>
      <c r="F595" t="s">
        <v>92</v>
      </c>
      <c r="G595">
        <v>-18789.310000000001</v>
      </c>
      <c r="H595">
        <f>_xlfn.XLOOKUP(tblFinancials[[#This Row],[DateKey]],tblCalendar[DateKey],tblCalendar[FullDate],"")</f>
        <v>45413</v>
      </c>
      <c r="I595">
        <f>_xlfn.XLOOKUP(tblFinancials[[#This Row],[AccountKey]],tblAccounts[AccountKey],tblAccounts[AccountNumber],"")</f>
        <v>5000</v>
      </c>
      <c r="J595" t="str">
        <f>_xlfn.XLOOKUP(tblFinancials[[#This Row],[AccountKey]],tblAccounts[AccountKey],tblAccounts[AccountName],"")</f>
        <v>Cost of Goods Sold</v>
      </c>
      <c r="K595" s="8" t="str">
        <f>_xlfn.XLOOKUP(tblFinancials[[#This Row],[AccountKey]],tblAccounts[AccountKey],tblAccounts[FinancialStatement],"")</f>
        <v>Income Statement</v>
      </c>
      <c r="L595" s="8" t="str">
        <f>_xlfn.XLOOKUP(tblFinancials[[#This Row],[AccountKey]],tblAccounts[AccountKey],tblAccounts[AccountCategory],"")</f>
        <v>Cost of Sales</v>
      </c>
      <c r="M595" s="8" t="str">
        <f>_xlfn.XLOOKUP(tblFinancials[[#This Row],[AccountKey]],tblAccounts[AccountKey],tblAccounts[NormalBalance],"")</f>
        <v>Debit</v>
      </c>
      <c r="N595" s="8" t="str">
        <f>_xlfn.XLOOKUP(tblFinancials[[#This Row],[DepartmentKey]],tblDepartments[DepartmentKey],tblDepartments[DepartmentName],"")</f>
        <v>Marketing</v>
      </c>
      <c r="O595" s="8" t="str">
        <f>_xlfn.XLOOKUP(tblFinancials[[#This Row],[BusinessUnitKey]],tblBusinessUnits[BusinessUnitKey],tblBusinessUnits[BusinessUnitName],"")</f>
        <v>E-Commerce</v>
      </c>
      <c r="P595" s="8" t="str">
        <f>_xlfn.XLOOKUP(tblFinancials[[#This Row],[RegionKey]],tblRegions[RegionKey],tblRegions[RegionName],"")</f>
        <v>East</v>
      </c>
    </row>
    <row r="596" spans="1:16">
      <c r="A596">
        <v>20240501</v>
      </c>
      <c r="B596">
        <v>2</v>
      </c>
      <c r="C596">
        <v>3</v>
      </c>
      <c r="D596">
        <v>4</v>
      </c>
      <c r="E596">
        <v>14</v>
      </c>
      <c r="F596" t="s">
        <v>92</v>
      </c>
      <c r="G596">
        <v>-19893.05</v>
      </c>
      <c r="H596">
        <f>_xlfn.XLOOKUP(tblFinancials[[#This Row],[DateKey]],tblCalendar[DateKey],tblCalendar[FullDate],"")</f>
        <v>45413</v>
      </c>
      <c r="I596">
        <f>_xlfn.XLOOKUP(tblFinancials[[#This Row],[AccountKey]],tblAccounts[AccountKey],tblAccounts[AccountNumber],"")</f>
        <v>5000</v>
      </c>
      <c r="J596" t="str">
        <f>_xlfn.XLOOKUP(tblFinancials[[#This Row],[AccountKey]],tblAccounts[AccountKey],tblAccounts[AccountName],"")</f>
        <v>Cost of Goods Sold</v>
      </c>
      <c r="K596" s="8" t="str">
        <f>_xlfn.XLOOKUP(tblFinancials[[#This Row],[AccountKey]],tblAccounts[AccountKey],tblAccounts[FinancialStatement],"")</f>
        <v>Income Statement</v>
      </c>
      <c r="L596" s="8" t="str">
        <f>_xlfn.XLOOKUP(tblFinancials[[#This Row],[AccountKey]],tblAccounts[AccountKey],tblAccounts[AccountCategory],"")</f>
        <v>Cost of Sales</v>
      </c>
      <c r="M596" s="8" t="str">
        <f>_xlfn.XLOOKUP(tblFinancials[[#This Row],[AccountKey]],tblAccounts[AccountKey],tblAccounts[NormalBalance],"")</f>
        <v>Debit</v>
      </c>
      <c r="N596" s="8" t="str">
        <f>_xlfn.XLOOKUP(tblFinancials[[#This Row],[DepartmentKey]],tblDepartments[DepartmentKey],tblDepartments[DepartmentName],"")</f>
        <v>Finance</v>
      </c>
      <c r="O596" s="8" t="str">
        <f>_xlfn.XLOOKUP(tblFinancials[[#This Row],[BusinessUnitKey]],tblBusinessUnits[BusinessUnitKey],tblBusinessUnits[BusinessUnitName],"")</f>
        <v>Retail</v>
      </c>
      <c r="P596" s="8" t="str">
        <f>_xlfn.XLOOKUP(tblFinancials[[#This Row],[RegionKey]],tblRegions[RegionKey],tblRegions[RegionName],"")</f>
        <v>East</v>
      </c>
    </row>
    <row r="597" spans="1:16">
      <c r="A597">
        <v>20240501</v>
      </c>
      <c r="B597">
        <v>2</v>
      </c>
      <c r="C597">
        <v>2</v>
      </c>
      <c r="D597">
        <v>4</v>
      </c>
      <c r="E597">
        <v>14</v>
      </c>
      <c r="F597" t="s">
        <v>92</v>
      </c>
      <c r="G597">
        <v>-18774.13</v>
      </c>
      <c r="H597">
        <f>_xlfn.XLOOKUP(tblFinancials[[#This Row],[DateKey]],tblCalendar[DateKey],tblCalendar[FullDate],"")</f>
        <v>45413</v>
      </c>
      <c r="I597">
        <f>_xlfn.XLOOKUP(tblFinancials[[#This Row],[AccountKey]],tblAccounts[AccountKey],tblAccounts[AccountNumber],"")</f>
        <v>5000</v>
      </c>
      <c r="J597" t="str">
        <f>_xlfn.XLOOKUP(tblFinancials[[#This Row],[AccountKey]],tblAccounts[AccountKey],tblAccounts[AccountName],"")</f>
        <v>Cost of Goods Sold</v>
      </c>
      <c r="K597" s="8" t="str">
        <f>_xlfn.XLOOKUP(tblFinancials[[#This Row],[AccountKey]],tblAccounts[AccountKey],tblAccounts[FinancialStatement],"")</f>
        <v>Income Statement</v>
      </c>
      <c r="L597" s="8" t="str">
        <f>_xlfn.XLOOKUP(tblFinancials[[#This Row],[AccountKey]],tblAccounts[AccountKey],tblAccounts[AccountCategory],"")</f>
        <v>Cost of Sales</v>
      </c>
      <c r="M597" s="8" t="str">
        <f>_xlfn.XLOOKUP(tblFinancials[[#This Row],[AccountKey]],tblAccounts[AccountKey],tblAccounts[NormalBalance],"")</f>
        <v>Debit</v>
      </c>
      <c r="N597" s="8" t="str">
        <f>_xlfn.XLOOKUP(tblFinancials[[#This Row],[DepartmentKey]],tblDepartments[DepartmentKey],tblDepartments[DepartmentName],"")</f>
        <v>Finance</v>
      </c>
      <c r="O597" s="8" t="str">
        <f>_xlfn.XLOOKUP(tblFinancials[[#This Row],[BusinessUnitKey]],tblBusinessUnits[BusinessUnitKey],tblBusinessUnits[BusinessUnitName],"")</f>
        <v>Wholesale</v>
      </c>
      <c r="P597" s="8" t="str">
        <f>_xlfn.XLOOKUP(tblFinancials[[#This Row],[RegionKey]],tblRegions[RegionKey],tblRegions[RegionName],"")</f>
        <v>East</v>
      </c>
    </row>
    <row r="598" spans="1:16">
      <c r="A598">
        <v>20240501</v>
      </c>
      <c r="B598">
        <v>7</v>
      </c>
      <c r="C598">
        <v>2</v>
      </c>
      <c r="D598">
        <v>4</v>
      </c>
      <c r="E598">
        <v>14</v>
      </c>
      <c r="F598" t="s">
        <v>92</v>
      </c>
      <c r="G598">
        <v>-18913.61</v>
      </c>
      <c r="H598">
        <f>_xlfn.XLOOKUP(tblFinancials[[#This Row],[DateKey]],tblCalendar[DateKey],tblCalendar[FullDate],"")</f>
        <v>45413</v>
      </c>
      <c r="I598">
        <f>_xlfn.XLOOKUP(tblFinancials[[#This Row],[AccountKey]],tblAccounts[AccountKey],tblAccounts[AccountNumber],"")</f>
        <v>5000</v>
      </c>
      <c r="J598" t="str">
        <f>_xlfn.XLOOKUP(tblFinancials[[#This Row],[AccountKey]],tblAccounts[AccountKey],tblAccounts[AccountName],"")</f>
        <v>Cost of Goods Sold</v>
      </c>
      <c r="K598" s="8" t="str">
        <f>_xlfn.XLOOKUP(tblFinancials[[#This Row],[AccountKey]],tblAccounts[AccountKey],tblAccounts[FinancialStatement],"")</f>
        <v>Income Statement</v>
      </c>
      <c r="L598" s="8" t="str">
        <f>_xlfn.XLOOKUP(tblFinancials[[#This Row],[AccountKey]],tblAccounts[AccountKey],tblAccounts[AccountCategory],"")</f>
        <v>Cost of Sales</v>
      </c>
      <c r="M598" s="8" t="str">
        <f>_xlfn.XLOOKUP(tblFinancials[[#This Row],[AccountKey]],tblAccounts[AccountKey],tblAccounts[NormalBalance],"")</f>
        <v>Debit</v>
      </c>
      <c r="N598" s="8" t="str">
        <f>_xlfn.XLOOKUP(tblFinancials[[#This Row],[DepartmentKey]],tblDepartments[DepartmentKey],tblDepartments[DepartmentName],"")</f>
        <v>Information Technology</v>
      </c>
      <c r="O598" s="8" t="str">
        <f>_xlfn.XLOOKUP(tblFinancials[[#This Row],[BusinessUnitKey]],tblBusinessUnits[BusinessUnitKey],tblBusinessUnits[BusinessUnitName],"")</f>
        <v>Wholesale</v>
      </c>
      <c r="P598" s="8" t="str">
        <f>_xlfn.XLOOKUP(tblFinancials[[#This Row],[RegionKey]],tblRegions[RegionKey],tblRegions[RegionName],"")</f>
        <v>East</v>
      </c>
    </row>
    <row r="599" spans="1:16">
      <c r="A599">
        <v>20240501</v>
      </c>
      <c r="B599">
        <v>6</v>
      </c>
      <c r="C599">
        <v>2</v>
      </c>
      <c r="D599">
        <v>2</v>
      </c>
      <c r="E599">
        <v>14</v>
      </c>
      <c r="F599" t="s">
        <v>92</v>
      </c>
      <c r="G599">
        <v>-19854.73</v>
      </c>
      <c r="H599">
        <f>_xlfn.XLOOKUP(tblFinancials[[#This Row],[DateKey]],tblCalendar[DateKey],tblCalendar[FullDate],"")</f>
        <v>45413</v>
      </c>
      <c r="I599">
        <f>_xlfn.XLOOKUP(tblFinancials[[#This Row],[AccountKey]],tblAccounts[AccountKey],tblAccounts[AccountNumber],"")</f>
        <v>5000</v>
      </c>
      <c r="J599" t="str">
        <f>_xlfn.XLOOKUP(tblFinancials[[#This Row],[AccountKey]],tblAccounts[AccountKey],tblAccounts[AccountName],"")</f>
        <v>Cost of Goods Sold</v>
      </c>
      <c r="K599" s="8" t="str">
        <f>_xlfn.XLOOKUP(tblFinancials[[#This Row],[AccountKey]],tblAccounts[AccountKey],tblAccounts[FinancialStatement],"")</f>
        <v>Income Statement</v>
      </c>
      <c r="L599" s="8" t="str">
        <f>_xlfn.XLOOKUP(tblFinancials[[#This Row],[AccountKey]],tblAccounts[AccountKey],tblAccounts[AccountCategory],"")</f>
        <v>Cost of Sales</v>
      </c>
      <c r="M599" s="8" t="str">
        <f>_xlfn.XLOOKUP(tblFinancials[[#This Row],[AccountKey]],tblAccounts[AccountKey],tblAccounts[NormalBalance],"")</f>
        <v>Debit</v>
      </c>
      <c r="N599" s="8" t="str">
        <f>_xlfn.XLOOKUP(tblFinancials[[#This Row],[DepartmentKey]],tblDepartments[DepartmentKey],tblDepartments[DepartmentName],"")</f>
        <v>Operations</v>
      </c>
      <c r="O599" s="8" t="str">
        <f>_xlfn.XLOOKUP(tblFinancials[[#This Row],[BusinessUnitKey]],tblBusinessUnits[BusinessUnitKey],tblBusinessUnits[BusinessUnitName],"")</f>
        <v>Wholesale</v>
      </c>
      <c r="P599" s="8" t="str">
        <f>_xlfn.XLOOKUP(tblFinancials[[#This Row],[RegionKey]],tblRegions[RegionKey],tblRegions[RegionName],"")</f>
        <v>Midwest</v>
      </c>
    </row>
    <row r="600" spans="1:16">
      <c r="A600">
        <v>20240501</v>
      </c>
      <c r="B600">
        <v>2</v>
      </c>
      <c r="C600">
        <v>3</v>
      </c>
      <c r="D600">
        <v>1</v>
      </c>
      <c r="E600">
        <v>14</v>
      </c>
      <c r="F600" t="s">
        <v>92</v>
      </c>
      <c r="G600">
        <v>-18869.78</v>
      </c>
      <c r="H600">
        <f>_xlfn.XLOOKUP(tblFinancials[[#This Row],[DateKey]],tblCalendar[DateKey],tblCalendar[FullDate],"")</f>
        <v>45413</v>
      </c>
      <c r="I600">
        <f>_xlfn.XLOOKUP(tblFinancials[[#This Row],[AccountKey]],tblAccounts[AccountKey],tblAccounts[AccountNumber],"")</f>
        <v>5000</v>
      </c>
      <c r="J600" t="str">
        <f>_xlfn.XLOOKUP(tblFinancials[[#This Row],[AccountKey]],tblAccounts[AccountKey],tblAccounts[AccountName],"")</f>
        <v>Cost of Goods Sold</v>
      </c>
      <c r="K600" s="8" t="str">
        <f>_xlfn.XLOOKUP(tblFinancials[[#This Row],[AccountKey]],tblAccounts[AccountKey],tblAccounts[FinancialStatement],"")</f>
        <v>Income Statement</v>
      </c>
      <c r="L600" s="8" t="str">
        <f>_xlfn.XLOOKUP(tblFinancials[[#This Row],[AccountKey]],tblAccounts[AccountKey],tblAccounts[AccountCategory],"")</f>
        <v>Cost of Sales</v>
      </c>
      <c r="M600" s="8" t="str">
        <f>_xlfn.XLOOKUP(tblFinancials[[#This Row],[AccountKey]],tblAccounts[AccountKey],tblAccounts[NormalBalance],"")</f>
        <v>Debit</v>
      </c>
      <c r="N600" s="8" t="str">
        <f>_xlfn.XLOOKUP(tblFinancials[[#This Row],[DepartmentKey]],tblDepartments[DepartmentKey],tblDepartments[DepartmentName],"")</f>
        <v>Finance</v>
      </c>
      <c r="O600" s="8" t="str">
        <f>_xlfn.XLOOKUP(tblFinancials[[#This Row],[BusinessUnitKey]],tblBusinessUnits[BusinessUnitKey],tblBusinessUnits[BusinessUnitName],"")</f>
        <v>Retail</v>
      </c>
      <c r="P600" s="8" t="str">
        <f>_xlfn.XLOOKUP(tblFinancials[[#This Row],[RegionKey]],tblRegions[RegionKey],tblRegions[RegionName],"")</f>
        <v>West</v>
      </c>
    </row>
    <row r="601" spans="1:16">
      <c r="A601">
        <v>20240501</v>
      </c>
      <c r="B601">
        <v>1</v>
      </c>
      <c r="C601">
        <v>2</v>
      </c>
      <c r="D601">
        <v>1</v>
      </c>
      <c r="E601">
        <v>14</v>
      </c>
      <c r="F601" t="s">
        <v>92</v>
      </c>
      <c r="G601">
        <v>-18594.25</v>
      </c>
      <c r="H601">
        <f>_xlfn.XLOOKUP(tblFinancials[[#This Row],[DateKey]],tblCalendar[DateKey],tblCalendar[FullDate],"")</f>
        <v>45413</v>
      </c>
      <c r="I601">
        <f>_xlfn.XLOOKUP(tblFinancials[[#This Row],[AccountKey]],tblAccounts[AccountKey],tblAccounts[AccountNumber],"")</f>
        <v>5000</v>
      </c>
      <c r="J601" t="str">
        <f>_xlfn.XLOOKUP(tblFinancials[[#This Row],[AccountKey]],tblAccounts[AccountKey],tblAccounts[AccountName],"")</f>
        <v>Cost of Goods Sold</v>
      </c>
      <c r="K601" s="8" t="str">
        <f>_xlfn.XLOOKUP(tblFinancials[[#This Row],[AccountKey]],tblAccounts[AccountKey],tblAccounts[FinancialStatement],"")</f>
        <v>Income Statement</v>
      </c>
      <c r="L601" s="8" t="str">
        <f>_xlfn.XLOOKUP(tblFinancials[[#This Row],[AccountKey]],tblAccounts[AccountKey],tblAccounts[AccountCategory],"")</f>
        <v>Cost of Sales</v>
      </c>
      <c r="M601" s="8" t="str">
        <f>_xlfn.XLOOKUP(tblFinancials[[#This Row],[AccountKey]],tblAccounts[AccountKey],tblAccounts[NormalBalance],"")</f>
        <v>Debit</v>
      </c>
      <c r="N601" s="8" t="str">
        <f>_xlfn.XLOOKUP(tblFinancials[[#This Row],[DepartmentKey]],tblDepartments[DepartmentKey],tblDepartments[DepartmentName],"")</f>
        <v>Executive</v>
      </c>
      <c r="O601" s="8" t="str">
        <f>_xlfn.XLOOKUP(tblFinancials[[#This Row],[BusinessUnitKey]],tblBusinessUnits[BusinessUnitKey],tblBusinessUnits[BusinessUnitName],"")</f>
        <v>Wholesale</v>
      </c>
      <c r="P601" s="8" t="str">
        <f>_xlfn.XLOOKUP(tblFinancials[[#This Row],[RegionKey]],tblRegions[RegionKey],tblRegions[RegionName],"")</f>
        <v>West</v>
      </c>
    </row>
    <row r="602" spans="1:16">
      <c r="A602">
        <v>20240501</v>
      </c>
      <c r="B602">
        <v>1</v>
      </c>
      <c r="C602">
        <v>2</v>
      </c>
      <c r="D602">
        <v>4</v>
      </c>
      <c r="E602">
        <v>20</v>
      </c>
      <c r="F602" t="s">
        <v>92</v>
      </c>
      <c r="G602">
        <v>-8818.19</v>
      </c>
      <c r="H602">
        <f>_xlfn.XLOOKUP(tblFinancials[[#This Row],[DateKey]],tblCalendar[DateKey],tblCalendar[FullDate],"")</f>
        <v>45413</v>
      </c>
      <c r="I602">
        <f>_xlfn.XLOOKUP(tblFinancials[[#This Row],[AccountKey]],tblAccounts[AccountKey],tblAccounts[AccountNumber],"")</f>
        <v>6500</v>
      </c>
      <c r="J602" t="str">
        <f>_xlfn.XLOOKUP(tblFinancials[[#This Row],[AccountKey]],tblAccounts[AccountKey],tblAccounts[AccountName],"")</f>
        <v>Rent Expense</v>
      </c>
      <c r="K602" s="8" t="str">
        <f>_xlfn.XLOOKUP(tblFinancials[[#This Row],[AccountKey]],tblAccounts[AccountKey],tblAccounts[FinancialStatement],"")</f>
        <v>Income Statement</v>
      </c>
      <c r="L602" s="8" t="str">
        <f>_xlfn.XLOOKUP(tblFinancials[[#This Row],[AccountKey]],tblAccounts[AccountKey],tblAccounts[AccountCategory],"")</f>
        <v>Operating Expense</v>
      </c>
      <c r="M602" s="8" t="str">
        <f>_xlfn.XLOOKUP(tblFinancials[[#This Row],[AccountKey]],tblAccounts[AccountKey],tblAccounts[NormalBalance],"")</f>
        <v>Debit</v>
      </c>
      <c r="N602" s="8" t="str">
        <f>_xlfn.XLOOKUP(tblFinancials[[#This Row],[DepartmentKey]],tblDepartments[DepartmentKey],tblDepartments[DepartmentName],"")</f>
        <v>Executive</v>
      </c>
      <c r="O602" s="8" t="str">
        <f>_xlfn.XLOOKUP(tblFinancials[[#This Row],[BusinessUnitKey]],tblBusinessUnits[BusinessUnitKey],tblBusinessUnits[BusinessUnitName],"")</f>
        <v>Wholesale</v>
      </c>
      <c r="P602" s="8" t="str">
        <f>_xlfn.XLOOKUP(tblFinancials[[#This Row],[RegionKey]],tblRegions[RegionKey],tblRegions[RegionName],"")</f>
        <v>East</v>
      </c>
    </row>
    <row r="603" spans="1:16">
      <c r="A603">
        <v>20240501</v>
      </c>
      <c r="B603">
        <v>5</v>
      </c>
      <c r="C603">
        <v>3</v>
      </c>
      <c r="D603">
        <v>1</v>
      </c>
      <c r="E603">
        <v>17</v>
      </c>
      <c r="F603" t="s">
        <v>92</v>
      </c>
      <c r="G603">
        <v>-8650.85</v>
      </c>
      <c r="H603">
        <f>_xlfn.XLOOKUP(tblFinancials[[#This Row],[DateKey]],tblCalendar[DateKey],tblCalendar[FullDate],"")</f>
        <v>45413</v>
      </c>
      <c r="I603">
        <f>_xlfn.XLOOKUP(tblFinancials[[#This Row],[AccountKey]],tblAccounts[AccountKey],tblAccounts[AccountNumber],"")</f>
        <v>6120</v>
      </c>
      <c r="J603" t="str">
        <f>_xlfn.XLOOKUP(tblFinancials[[#This Row],[AccountKey]],tblAccounts[AccountKey],tblAccounts[AccountName],"")</f>
        <v>Employee Benefits</v>
      </c>
      <c r="K603" s="8" t="str">
        <f>_xlfn.XLOOKUP(tblFinancials[[#This Row],[AccountKey]],tblAccounts[AccountKey],tblAccounts[FinancialStatement],"")</f>
        <v>Income Statement</v>
      </c>
      <c r="L603" s="8" t="str">
        <f>_xlfn.XLOOKUP(tblFinancials[[#This Row],[AccountKey]],tblAccounts[AccountKey],tblAccounts[AccountCategory],"")</f>
        <v>Operating Expense</v>
      </c>
      <c r="M603" s="8" t="str">
        <f>_xlfn.XLOOKUP(tblFinancials[[#This Row],[AccountKey]],tblAccounts[AccountKey],tblAccounts[NormalBalance],"")</f>
        <v>Debit</v>
      </c>
      <c r="N603" s="8" t="str">
        <f>_xlfn.XLOOKUP(tblFinancials[[#This Row],[DepartmentKey]],tblDepartments[DepartmentKey],tblDepartments[DepartmentName],"")</f>
        <v>Marketing</v>
      </c>
      <c r="O603" s="8" t="str">
        <f>_xlfn.XLOOKUP(tblFinancials[[#This Row],[BusinessUnitKey]],tblBusinessUnits[BusinessUnitKey],tblBusinessUnits[BusinessUnitName],"")</f>
        <v>Retail</v>
      </c>
      <c r="P603" s="8" t="str">
        <f>_xlfn.XLOOKUP(tblFinancials[[#This Row],[RegionKey]],tblRegions[RegionKey],tblRegions[RegionName],"")</f>
        <v>West</v>
      </c>
    </row>
    <row r="604" spans="1:16">
      <c r="A604">
        <v>20240501</v>
      </c>
      <c r="B604">
        <v>4</v>
      </c>
      <c r="C604">
        <v>3</v>
      </c>
      <c r="D604">
        <v>4</v>
      </c>
      <c r="E604">
        <v>19</v>
      </c>
      <c r="F604" t="s">
        <v>92</v>
      </c>
      <c r="G604">
        <v>-6814.07</v>
      </c>
      <c r="H604">
        <f>_xlfn.XLOOKUP(tblFinancials[[#This Row],[DateKey]],tblCalendar[DateKey],tblCalendar[FullDate],"")</f>
        <v>45413</v>
      </c>
      <c r="I604">
        <f>_xlfn.XLOOKUP(tblFinancials[[#This Row],[AccountKey]],tblAccounts[AccountKey],tblAccounts[AccountNumber],"")</f>
        <v>6300</v>
      </c>
      <c r="J604" t="str">
        <f>_xlfn.XLOOKUP(tblFinancials[[#This Row],[AccountKey]],tblAccounts[AccountKey],tblAccounts[AccountName],"")</f>
        <v>Software Expense</v>
      </c>
      <c r="K604" s="8" t="str">
        <f>_xlfn.XLOOKUP(tblFinancials[[#This Row],[AccountKey]],tblAccounts[AccountKey],tblAccounts[FinancialStatement],"")</f>
        <v>Income Statement</v>
      </c>
      <c r="L604" s="8" t="str">
        <f>_xlfn.XLOOKUP(tblFinancials[[#This Row],[AccountKey]],tblAccounts[AccountKey],tblAccounts[AccountCategory],"")</f>
        <v>Operating Expense</v>
      </c>
      <c r="M604" s="8" t="str">
        <f>_xlfn.XLOOKUP(tblFinancials[[#This Row],[AccountKey]],tblAccounts[AccountKey],tblAccounts[NormalBalance],"")</f>
        <v>Debit</v>
      </c>
      <c r="N604" s="8" t="str">
        <f>_xlfn.XLOOKUP(tblFinancials[[#This Row],[DepartmentKey]],tblDepartments[DepartmentKey],tblDepartments[DepartmentName],"")</f>
        <v>Sales</v>
      </c>
      <c r="O604" s="8" t="str">
        <f>_xlfn.XLOOKUP(tblFinancials[[#This Row],[BusinessUnitKey]],tblBusinessUnits[BusinessUnitKey],tblBusinessUnits[BusinessUnitName],"")</f>
        <v>Retail</v>
      </c>
      <c r="P604" s="8" t="str">
        <f>_xlfn.XLOOKUP(tblFinancials[[#This Row],[RegionKey]],tblRegions[RegionKey],tblRegions[RegionName],"")</f>
        <v>East</v>
      </c>
    </row>
    <row r="605" spans="1:16">
      <c r="A605">
        <v>20240501</v>
      </c>
      <c r="B605">
        <v>7</v>
      </c>
      <c r="C605">
        <v>3</v>
      </c>
      <c r="D605">
        <v>1</v>
      </c>
      <c r="E605">
        <v>22</v>
      </c>
      <c r="F605" t="s">
        <v>92</v>
      </c>
      <c r="G605">
        <v>-8163.29</v>
      </c>
      <c r="H605">
        <f>_xlfn.XLOOKUP(tblFinancials[[#This Row],[DateKey]],tblCalendar[DateKey],tblCalendar[FullDate],"")</f>
        <v>45413</v>
      </c>
      <c r="I605">
        <f>_xlfn.XLOOKUP(tblFinancials[[#This Row],[AccountKey]],tblAccounts[AccountKey],tblAccounts[AccountNumber],"")</f>
        <v>6700</v>
      </c>
      <c r="J605" t="str">
        <f>_xlfn.XLOOKUP(tblFinancials[[#This Row],[AccountKey]],tblAccounts[AccountKey],tblAccounts[AccountName],"")</f>
        <v>Insurance Expense</v>
      </c>
      <c r="K605" s="8" t="str">
        <f>_xlfn.XLOOKUP(tblFinancials[[#This Row],[AccountKey]],tblAccounts[AccountKey],tblAccounts[FinancialStatement],"")</f>
        <v>Income Statement</v>
      </c>
      <c r="L605" s="8" t="str">
        <f>_xlfn.XLOOKUP(tblFinancials[[#This Row],[AccountKey]],tblAccounts[AccountKey],tblAccounts[AccountCategory],"")</f>
        <v>Operating Expense</v>
      </c>
      <c r="M605" s="8" t="str">
        <f>_xlfn.XLOOKUP(tblFinancials[[#This Row],[AccountKey]],tblAccounts[AccountKey],tblAccounts[NormalBalance],"")</f>
        <v>Debit</v>
      </c>
      <c r="N605" s="8" t="str">
        <f>_xlfn.XLOOKUP(tblFinancials[[#This Row],[DepartmentKey]],tblDepartments[DepartmentKey],tblDepartments[DepartmentName],"")</f>
        <v>Information Technology</v>
      </c>
      <c r="O605" s="8" t="str">
        <f>_xlfn.XLOOKUP(tblFinancials[[#This Row],[BusinessUnitKey]],tblBusinessUnits[BusinessUnitKey],tblBusinessUnits[BusinessUnitName],"")</f>
        <v>Retail</v>
      </c>
      <c r="P605" s="8" t="str">
        <f>_xlfn.XLOOKUP(tblFinancials[[#This Row],[RegionKey]],tblRegions[RegionKey],tblRegions[RegionName],"")</f>
        <v>West</v>
      </c>
    </row>
    <row r="606" spans="1:16">
      <c r="A606">
        <v>20240501</v>
      </c>
      <c r="B606">
        <v>7</v>
      </c>
      <c r="C606">
        <v>1</v>
      </c>
      <c r="D606">
        <v>1</v>
      </c>
      <c r="E606">
        <v>20</v>
      </c>
      <c r="F606" t="s">
        <v>92</v>
      </c>
      <c r="G606">
        <v>-8196.82</v>
      </c>
      <c r="H606">
        <f>_xlfn.XLOOKUP(tblFinancials[[#This Row],[DateKey]],tblCalendar[DateKey],tblCalendar[FullDate],"")</f>
        <v>45413</v>
      </c>
      <c r="I606">
        <f>_xlfn.XLOOKUP(tblFinancials[[#This Row],[AccountKey]],tblAccounts[AccountKey],tblAccounts[AccountNumber],"")</f>
        <v>6500</v>
      </c>
      <c r="J606" t="str">
        <f>_xlfn.XLOOKUP(tblFinancials[[#This Row],[AccountKey]],tblAccounts[AccountKey],tblAccounts[AccountName],"")</f>
        <v>Rent Expense</v>
      </c>
      <c r="K606" s="8" t="str">
        <f>_xlfn.XLOOKUP(tblFinancials[[#This Row],[AccountKey]],tblAccounts[AccountKey],tblAccounts[FinancialStatement],"")</f>
        <v>Income Statement</v>
      </c>
      <c r="L606" s="8" t="str">
        <f>_xlfn.XLOOKUP(tblFinancials[[#This Row],[AccountKey]],tblAccounts[AccountKey],tblAccounts[AccountCategory],"")</f>
        <v>Operating Expense</v>
      </c>
      <c r="M606" s="8" t="str">
        <f>_xlfn.XLOOKUP(tblFinancials[[#This Row],[AccountKey]],tblAccounts[AccountKey],tblAccounts[NormalBalance],"")</f>
        <v>Debit</v>
      </c>
      <c r="N606" s="8" t="str">
        <f>_xlfn.XLOOKUP(tblFinancials[[#This Row],[DepartmentKey]],tblDepartments[DepartmentKey],tblDepartments[DepartmentName],"")</f>
        <v>Information Technology</v>
      </c>
      <c r="O606" s="8" t="str">
        <f>_xlfn.XLOOKUP(tblFinancials[[#This Row],[BusinessUnitKey]],tblBusinessUnits[BusinessUnitKey],tblBusinessUnits[BusinessUnitName],"")</f>
        <v xml:space="preserve">Manufacturing </v>
      </c>
      <c r="P606" s="8" t="str">
        <f>_xlfn.XLOOKUP(tblFinancials[[#This Row],[RegionKey]],tblRegions[RegionKey],tblRegions[RegionName],"")</f>
        <v>West</v>
      </c>
    </row>
    <row r="607" spans="1:16">
      <c r="A607">
        <v>20240501</v>
      </c>
      <c r="B607">
        <v>3</v>
      </c>
      <c r="C607">
        <v>2</v>
      </c>
      <c r="D607">
        <v>2</v>
      </c>
      <c r="E607">
        <v>15</v>
      </c>
      <c r="F607" t="s">
        <v>92</v>
      </c>
      <c r="G607">
        <v>-6486.67</v>
      </c>
      <c r="H607">
        <f>_xlfn.XLOOKUP(tblFinancials[[#This Row],[DateKey]],tblCalendar[DateKey],tblCalendar[FullDate],"")</f>
        <v>45413</v>
      </c>
      <c r="I607">
        <f>_xlfn.XLOOKUP(tblFinancials[[#This Row],[AccountKey]],tblAccounts[AccountKey],tblAccounts[AccountNumber],"")</f>
        <v>6100</v>
      </c>
      <c r="J607" t="str">
        <f>_xlfn.XLOOKUP(tblFinancials[[#This Row],[AccountKey]],tblAccounts[AccountKey],tblAccounts[AccountName],"")</f>
        <v>Salaries Expense</v>
      </c>
      <c r="K607" s="8" t="str">
        <f>_xlfn.XLOOKUP(tblFinancials[[#This Row],[AccountKey]],tblAccounts[AccountKey],tblAccounts[FinancialStatement],"")</f>
        <v>Income Statement</v>
      </c>
      <c r="L607" s="8" t="str">
        <f>_xlfn.XLOOKUP(tblFinancials[[#This Row],[AccountKey]],tblAccounts[AccountKey],tblAccounts[AccountCategory],"")</f>
        <v>Operating Expense</v>
      </c>
      <c r="M607" s="8" t="str">
        <f>_xlfn.XLOOKUP(tblFinancials[[#This Row],[AccountKey]],tblAccounts[AccountKey],tblAccounts[NormalBalance],"")</f>
        <v>Debit</v>
      </c>
      <c r="N607" s="8" t="str">
        <f>_xlfn.XLOOKUP(tblFinancials[[#This Row],[DepartmentKey]],tblDepartments[DepartmentKey],tblDepartments[DepartmentName],"")</f>
        <v>Human Resources</v>
      </c>
      <c r="O607" s="8" t="str">
        <f>_xlfn.XLOOKUP(tblFinancials[[#This Row],[BusinessUnitKey]],tblBusinessUnits[BusinessUnitKey],tblBusinessUnits[BusinessUnitName],"")</f>
        <v>Wholesale</v>
      </c>
      <c r="P607" s="8" t="str">
        <f>_xlfn.XLOOKUP(tblFinancials[[#This Row],[RegionKey]],tblRegions[RegionKey],tblRegions[RegionName],"")</f>
        <v>Midwest</v>
      </c>
    </row>
    <row r="608" spans="1:16">
      <c r="A608">
        <v>20240501</v>
      </c>
      <c r="B608">
        <v>6</v>
      </c>
      <c r="C608">
        <v>1</v>
      </c>
      <c r="D608">
        <v>4</v>
      </c>
      <c r="E608">
        <v>24</v>
      </c>
      <c r="F608" t="s">
        <v>92</v>
      </c>
      <c r="G608">
        <v>-6826.46</v>
      </c>
      <c r="H608">
        <f>_xlfn.XLOOKUP(tblFinancials[[#This Row],[DateKey]],tblCalendar[DateKey],tblCalendar[FullDate],"")</f>
        <v>45413</v>
      </c>
      <c r="I608">
        <f>_xlfn.XLOOKUP(tblFinancials[[#This Row],[AccountKey]],tblAccounts[AccountKey],tblAccounts[AccountNumber],"")</f>
        <v>6900</v>
      </c>
      <c r="J608" t="str">
        <f>_xlfn.XLOOKUP(tblFinancials[[#This Row],[AccountKey]],tblAccounts[AccountKey],tblAccounts[AccountName],"")</f>
        <v>Professional Services</v>
      </c>
      <c r="K608" s="8" t="str">
        <f>_xlfn.XLOOKUP(tblFinancials[[#This Row],[AccountKey]],tblAccounts[AccountKey],tblAccounts[FinancialStatement],"")</f>
        <v>Income Statement</v>
      </c>
      <c r="L608" s="8" t="str">
        <f>_xlfn.XLOOKUP(tblFinancials[[#This Row],[AccountKey]],tblAccounts[AccountKey],tblAccounts[AccountCategory],"")</f>
        <v>Operating Expense</v>
      </c>
      <c r="M608" s="8" t="str">
        <f>_xlfn.XLOOKUP(tblFinancials[[#This Row],[AccountKey]],tblAccounts[AccountKey],tblAccounts[NormalBalance],"")</f>
        <v>Debit</v>
      </c>
      <c r="N608" s="8" t="str">
        <f>_xlfn.XLOOKUP(tblFinancials[[#This Row],[DepartmentKey]],tblDepartments[DepartmentKey],tblDepartments[DepartmentName],"")</f>
        <v>Operations</v>
      </c>
      <c r="O608" s="8" t="str">
        <f>_xlfn.XLOOKUP(tblFinancials[[#This Row],[BusinessUnitKey]],tblBusinessUnits[BusinessUnitKey],tblBusinessUnits[BusinessUnitName],"")</f>
        <v xml:space="preserve">Manufacturing </v>
      </c>
      <c r="P608" s="8" t="str">
        <f>_xlfn.XLOOKUP(tblFinancials[[#This Row],[RegionKey]],tblRegions[RegionKey],tblRegions[RegionName],"")</f>
        <v>East</v>
      </c>
    </row>
    <row r="609" spans="1:16">
      <c r="A609">
        <v>20240501</v>
      </c>
      <c r="B609">
        <v>5</v>
      </c>
      <c r="C609">
        <v>3</v>
      </c>
      <c r="D609">
        <v>1</v>
      </c>
      <c r="E609">
        <v>15</v>
      </c>
      <c r="F609" t="s">
        <v>92</v>
      </c>
      <c r="G609">
        <v>-8844.68</v>
      </c>
      <c r="H609">
        <f>_xlfn.XLOOKUP(tblFinancials[[#This Row],[DateKey]],tblCalendar[DateKey],tblCalendar[FullDate],"")</f>
        <v>45413</v>
      </c>
      <c r="I609">
        <f>_xlfn.XLOOKUP(tblFinancials[[#This Row],[AccountKey]],tblAccounts[AccountKey],tblAccounts[AccountNumber],"")</f>
        <v>6100</v>
      </c>
      <c r="J609" t="str">
        <f>_xlfn.XLOOKUP(tblFinancials[[#This Row],[AccountKey]],tblAccounts[AccountKey],tblAccounts[AccountName],"")</f>
        <v>Salaries Expense</v>
      </c>
      <c r="K609" s="8" t="str">
        <f>_xlfn.XLOOKUP(tblFinancials[[#This Row],[AccountKey]],tblAccounts[AccountKey],tblAccounts[FinancialStatement],"")</f>
        <v>Income Statement</v>
      </c>
      <c r="L609" s="8" t="str">
        <f>_xlfn.XLOOKUP(tblFinancials[[#This Row],[AccountKey]],tblAccounts[AccountKey],tblAccounts[AccountCategory],"")</f>
        <v>Operating Expense</v>
      </c>
      <c r="M609" s="8" t="str">
        <f>_xlfn.XLOOKUP(tblFinancials[[#This Row],[AccountKey]],tblAccounts[AccountKey],tblAccounts[NormalBalance],"")</f>
        <v>Debit</v>
      </c>
      <c r="N609" s="8" t="str">
        <f>_xlfn.XLOOKUP(tblFinancials[[#This Row],[DepartmentKey]],tblDepartments[DepartmentKey],tblDepartments[DepartmentName],"")</f>
        <v>Marketing</v>
      </c>
      <c r="O609" s="8" t="str">
        <f>_xlfn.XLOOKUP(tblFinancials[[#This Row],[BusinessUnitKey]],tblBusinessUnits[BusinessUnitKey],tblBusinessUnits[BusinessUnitName],"")</f>
        <v>Retail</v>
      </c>
      <c r="P609" s="8" t="str">
        <f>_xlfn.XLOOKUP(tblFinancials[[#This Row],[RegionKey]],tblRegions[RegionKey],tblRegions[RegionName],"")</f>
        <v>West</v>
      </c>
    </row>
    <row r="610" spans="1:16">
      <c r="A610">
        <v>20240501</v>
      </c>
      <c r="B610">
        <v>7</v>
      </c>
      <c r="C610">
        <v>3</v>
      </c>
      <c r="D610">
        <v>4</v>
      </c>
      <c r="E610">
        <v>17</v>
      </c>
      <c r="F610" t="s">
        <v>92</v>
      </c>
      <c r="G610">
        <v>-6512.64</v>
      </c>
      <c r="H610">
        <f>_xlfn.XLOOKUP(tblFinancials[[#This Row],[DateKey]],tblCalendar[DateKey],tblCalendar[FullDate],"")</f>
        <v>45413</v>
      </c>
      <c r="I610">
        <f>_xlfn.XLOOKUP(tblFinancials[[#This Row],[AccountKey]],tblAccounts[AccountKey],tblAccounts[AccountNumber],"")</f>
        <v>6120</v>
      </c>
      <c r="J610" t="str">
        <f>_xlfn.XLOOKUP(tblFinancials[[#This Row],[AccountKey]],tblAccounts[AccountKey],tblAccounts[AccountName],"")</f>
        <v>Employee Benefits</v>
      </c>
      <c r="K610" s="8" t="str">
        <f>_xlfn.XLOOKUP(tblFinancials[[#This Row],[AccountKey]],tblAccounts[AccountKey],tblAccounts[FinancialStatement],"")</f>
        <v>Income Statement</v>
      </c>
      <c r="L610" s="8" t="str">
        <f>_xlfn.XLOOKUP(tblFinancials[[#This Row],[AccountKey]],tblAccounts[AccountKey],tblAccounts[AccountCategory],"")</f>
        <v>Operating Expense</v>
      </c>
      <c r="M610" s="8" t="str">
        <f>_xlfn.XLOOKUP(tblFinancials[[#This Row],[AccountKey]],tblAccounts[AccountKey],tblAccounts[NormalBalance],"")</f>
        <v>Debit</v>
      </c>
      <c r="N610" s="8" t="str">
        <f>_xlfn.XLOOKUP(tblFinancials[[#This Row],[DepartmentKey]],tblDepartments[DepartmentKey],tblDepartments[DepartmentName],"")</f>
        <v>Information Technology</v>
      </c>
      <c r="O610" s="8" t="str">
        <f>_xlfn.XLOOKUP(tblFinancials[[#This Row],[BusinessUnitKey]],tblBusinessUnits[BusinessUnitKey],tblBusinessUnits[BusinessUnitName],"")</f>
        <v>Retail</v>
      </c>
      <c r="P610" s="8" t="str">
        <f>_xlfn.XLOOKUP(tblFinancials[[#This Row],[RegionKey]],tblRegions[RegionKey],tblRegions[RegionName],"")</f>
        <v>East</v>
      </c>
    </row>
    <row r="611" spans="1:16">
      <c r="A611">
        <v>20240501</v>
      </c>
      <c r="B611">
        <v>6</v>
      </c>
      <c r="C611">
        <v>4</v>
      </c>
      <c r="D611">
        <v>2</v>
      </c>
      <c r="E611">
        <v>15</v>
      </c>
      <c r="F611" t="s">
        <v>92</v>
      </c>
      <c r="G611">
        <v>-7160.84</v>
      </c>
      <c r="H611">
        <f>_xlfn.XLOOKUP(tblFinancials[[#This Row],[DateKey]],tblCalendar[DateKey],tblCalendar[FullDate],"")</f>
        <v>45413</v>
      </c>
      <c r="I611">
        <f>_xlfn.XLOOKUP(tblFinancials[[#This Row],[AccountKey]],tblAccounts[AccountKey],tblAccounts[AccountNumber],"")</f>
        <v>6100</v>
      </c>
      <c r="J611" t="str">
        <f>_xlfn.XLOOKUP(tblFinancials[[#This Row],[AccountKey]],tblAccounts[AccountKey],tblAccounts[AccountName],"")</f>
        <v>Salaries Expense</v>
      </c>
      <c r="K611" s="8" t="str">
        <f>_xlfn.XLOOKUP(tblFinancials[[#This Row],[AccountKey]],tblAccounts[AccountKey],tblAccounts[FinancialStatement],"")</f>
        <v>Income Statement</v>
      </c>
      <c r="L611" s="8" t="str">
        <f>_xlfn.XLOOKUP(tblFinancials[[#This Row],[AccountKey]],tblAccounts[AccountKey],tblAccounts[AccountCategory],"")</f>
        <v>Operating Expense</v>
      </c>
      <c r="M611" s="8" t="str">
        <f>_xlfn.XLOOKUP(tblFinancials[[#This Row],[AccountKey]],tblAccounts[AccountKey],tblAccounts[NormalBalance],"")</f>
        <v>Debit</v>
      </c>
      <c r="N611" s="8" t="str">
        <f>_xlfn.XLOOKUP(tblFinancials[[#This Row],[DepartmentKey]],tblDepartments[DepartmentKey],tblDepartments[DepartmentName],"")</f>
        <v>Operations</v>
      </c>
      <c r="O611" s="8" t="str">
        <f>_xlfn.XLOOKUP(tblFinancials[[#This Row],[BusinessUnitKey]],tblBusinessUnits[BusinessUnitKey],tblBusinessUnits[BusinessUnitName],"")</f>
        <v>E-Commerce</v>
      </c>
      <c r="P611" s="8" t="str">
        <f>_xlfn.XLOOKUP(tblFinancials[[#This Row],[RegionKey]],tblRegions[RegionKey],tblRegions[RegionName],"")</f>
        <v>Midwest</v>
      </c>
    </row>
    <row r="612" spans="1:16">
      <c r="A612">
        <v>20240501</v>
      </c>
      <c r="B612">
        <v>7</v>
      </c>
      <c r="C612">
        <v>4</v>
      </c>
      <c r="D612">
        <v>4</v>
      </c>
      <c r="E612">
        <v>20</v>
      </c>
      <c r="F612" t="s">
        <v>92</v>
      </c>
      <c r="G612">
        <v>-8519.9599999999991</v>
      </c>
      <c r="H612">
        <f>_xlfn.XLOOKUP(tblFinancials[[#This Row],[DateKey]],tblCalendar[DateKey],tblCalendar[FullDate],"")</f>
        <v>45413</v>
      </c>
      <c r="I612">
        <f>_xlfn.XLOOKUP(tblFinancials[[#This Row],[AccountKey]],tblAccounts[AccountKey],tblAccounts[AccountNumber],"")</f>
        <v>6500</v>
      </c>
      <c r="J612" t="str">
        <f>_xlfn.XLOOKUP(tblFinancials[[#This Row],[AccountKey]],tblAccounts[AccountKey],tblAccounts[AccountName],"")</f>
        <v>Rent Expense</v>
      </c>
      <c r="K612" s="8" t="str">
        <f>_xlfn.XLOOKUP(tblFinancials[[#This Row],[AccountKey]],tblAccounts[AccountKey],tblAccounts[FinancialStatement],"")</f>
        <v>Income Statement</v>
      </c>
      <c r="L612" s="8" t="str">
        <f>_xlfn.XLOOKUP(tblFinancials[[#This Row],[AccountKey]],tblAccounts[AccountKey],tblAccounts[AccountCategory],"")</f>
        <v>Operating Expense</v>
      </c>
      <c r="M612" s="8" t="str">
        <f>_xlfn.XLOOKUP(tblFinancials[[#This Row],[AccountKey]],tblAccounts[AccountKey],tblAccounts[NormalBalance],"")</f>
        <v>Debit</v>
      </c>
      <c r="N612" s="8" t="str">
        <f>_xlfn.XLOOKUP(tblFinancials[[#This Row],[DepartmentKey]],tblDepartments[DepartmentKey],tblDepartments[DepartmentName],"")</f>
        <v>Information Technology</v>
      </c>
      <c r="O612" s="8" t="str">
        <f>_xlfn.XLOOKUP(tblFinancials[[#This Row],[BusinessUnitKey]],tblBusinessUnits[BusinessUnitKey],tblBusinessUnits[BusinessUnitName],"")</f>
        <v>E-Commerce</v>
      </c>
      <c r="P612" s="8" t="str">
        <f>_xlfn.XLOOKUP(tblFinancials[[#This Row],[RegionKey]],tblRegions[RegionKey],tblRegions[RegionName],"")</f>
        <v>East</v>
      </c>
    </row>
    <row r="613" spans="1:16">
      <c r="A613">
        <v>20240501</v>
      </c>
      <c r="B613">
        <v>3</v>
      </c>
      <c r="C613">
        <v>4</v>
      </c>
      <c r="D613">
        <v>3</v>
      </c>
      <c r="E613">
        <v>18</v>
      </c>
      <c r="F613" t="s">
        <v>92</v>
      </c>
      <c r="G613">
        <v>-6775.01</v>
      </c>
      <c r="H613">
        <f>_xlfn.XLOOKUP(tblFinancials[[#This Row],[DateKey]],tblCalendar[DateKey],tblCalendar[FullDate],"")</f>
        <v>45413</v>
      </c>
      <c r="I613">
        <f>_xlfn.XLOOKUP(tblFinancials[[#This Row],[AccountKey]],tblAccounts[AccountKey],tblAccounts[AccountNumber],"")</f>
        <v>6200</v>
      </c>
      <c r="J613" t="str">
        <f>_xlfn.XLOOKUP(tblFinancials[[#This Row],[AccountKey]],tblAccounts[AccountKey],tblAccounts[AccountName],"")</f>
        <v>Marketing Expense</v>
      </c>
      <c r="K613" s="8" t="str">
        <f>_xlfn.XLOOKUP(tblFinancials[[#This Row],[AccountKey]],tblAccounts[AccountKey],tblAccounts[FinancialStatement],"")</f>
        <v>Income Statement</v>
      </c>
      <c r="L613" s="8" t="str">
        <f>_xlfn.XLOOKUP(tblFinancials[[#This Row],[AccountKey]],tblAccounts[AccountKey],tblAccounts[AccountCategory],"")</f>
        <v>Operating Expense</v>
      </c>
      <c r="M613" s="8" t="str">
        <f>_xlfn.XLOOKUP(tblFinancials[[#This Row],[AccountKey]],tblAccounts[AccountKey],tblAccounts[NormalBalance],"")</f>
        <v>Debit</v>
      </c>
      <c r="N613" s="8" t="str">
        <f>_xlfn.XLOOKUP(tblFinancials[[#This Row],[DepartmentKey]],tblDepartments[DepartmentKey],tblDepartments[DepartmentName],"")</f>
        <v>Human Resources</v>
      </c>
      <c r="O613" s="8" t="str">
        <f>_xlfn.XLOOKUP(tblFinancials[[#This Row],[BusinessUnitKey]],tblBusinessUnits[BusinessUnitKey],tblBusinessUnits[BusinessUnitName],"")</f>
        <v>E-Commerce</v>
      </c>
      <c r="P613" s="8" t="str">
        <f>_xlfn.XLOOKUP(tblFinancials[[#This Row],[RegionKey]],tblRegions[RegionKey],tblRegions[RegionName],"")</f>
        <v>South</v>
      </c>
    </row>
    <row r="614" spans="1:16">
      <c r="A614">
        <v>20240601</v>
      </c>
      <c r="B614">
        <v>2</v>
      </c>
      <c r="C614">
        <v>3</v>
      </c>
      <c r="D614">
        <v>4</v>
      </c>
      <c r="E614">
        <v>13</v>
      </c>
      <c r="F614" t="s">
        <v>92</v>
      </c>
      <c r="G614">
        <v>32875.019999999997</v>
      </c>
      <c r="H614">
        <f>_xlfn.XLOOKUP(tblFinancials[[#This Row],[DateKey]],tblCalendar[DateKey],tblCalendar[FullDate],"")</f>
        <v>45444</v>
      </c>
      <c r="I614">
        <f>_xlfn.XLOOKUP(tblFinancials[[#This Row],[AccountKey]],tblAccounts[AccountKey],tblAccounts[AccountNumber],"")</f>
        <v>4020</v>
      </c>
      <c r="J614" t="str">
        <f>_xlfn.XLOOKUP(tblFinancials[[#This Row],[AccountKey]],tblAccounts[AccountKey],tblAccounts[AccountName],"")</f>
        <v>Online Revenue</v>
      </c>
      <c r="K614" s="8" t="str">
        <f>_xlfn.XLOOKUP(tblFinancials[[#This Row],[AccountKey]],tblAccounts[AccountKey],tblAccounts[FinancialStatement],"")</f>
        <v>Income Statement</v>
      </c>
      <c r="L614" s="8" t="str">
        <f>_xlfn.XLOOKUP(tblFinancials[[#This Row],[AccountKey]],tblAccounts[AccountKey],tblAccounts[AccountCategory],"")</f>
        <v>Revenue</v>
      </c>
      <c r="M614" s="8" t="str">
        <f>_xlfn.XLOOKUP(tblFinancials[[#This Row],[AccountKey]],tblAccounts[AccountKey],tblAccounts[NormalBalance],"")</f>
        <v>Credit</v>
      </c>
      <c r="N614" s="8" t="str">
        <f>_xlfn.XLOOKUP(tblFinancials[[#This Row],[DepartmentKey]],tblDepartments[DepartmentKey],tblDepartments[DepartmentName],"")</f>
        <v>Finance</v>
      </c>
      <c r="O614" s="8" t="str">
        <f>_xlfn.XLOOKUP(tblFinancials[[#This Row],[BusinessUnitKey]],tblBusinessUnits[BusinessUnitKey],tblBusinessUnits[BusinessUnitName],"")</f>
        <v>Retail</v>
      </c>
      <c r="P614" s="8" t="str">
        <f>_xlfn.XLOOKUP(tblFinancials[[#This Row],[RegionKey]],tblRegions[RegionKey],tblRegions[RegionName],"")</f>
        <v>East</v>
      </c>
    </row>
    <row r="615" spans="1:16">
      <c r="A615">
        <v>20240601</v>
      </c>
      <c r="B615">
        <v>3</v>
      </c>
      <c r="C615">
        <v>3</v>
      </c>
      <c r="D615">
        <v>2</v>
      </c>
      <c r="E615">
        <v>12</v>
      </c>
      <c r="F615" t="s">
        <v>92</v>
      </c>
      <c r="G615">
        <v>33345.730000000003</v>
      </c>
      <c r="H615">
        <f>_xlfn.XLOOKUP(tblFinancials[[#This Row],[DateKey]],tblCalendar[DateKey],tblCalendar[FullDate],"")</f>
        <v>45444</v>
      </c>
      <c r="I615">
        <f>_xlfn.XLOOKUP(tblFinancials[[#This Row],[AccountKey]],tblAccounts[AccountKey],tblAccounts[AccountNumber],"")</f>
        <v>4010</v>
      </c>
      <c r="J615" t="str">
        <f>_xlfn.XLOOKUP(tblFinancials[[#This Row],[AccountKey]],tblAccounts[AccountKey],tblAccounts[AccountName],"")</f>
        <v>Service Revenue</v>
      </c>
      <c r="K615" s="8" t="str">
        <f>_xlfn.XLOOKUP(tblFinancials[[#This Row],[AccountKey]],tblAccounts[AccountKey],tblAccounts[FinancialStatement],"")</f>
        <v>Income Statement</v>
      </c>
      <c r="L615" s="8" t="str">
        <f>_xlfn.XLOOKUP(tblFinancials[[#This Row],[AccountKey]],tblAccounts[AccountKey],tblAccounts[AccountCategory],"")</f>
        <v>Revenue</v>
      </c>
      <c r="M615" s="8" t="str">
        <f>_xlfn.XLOOKUP(tblFinancials[[#This Row],[AccountKey]],tblAccounts[AccountKey],tblAccounts[NormalBalance],"")</f>
        <v>Credit</v>
      </c>
      <c r="N615" s="8" t="str">
        <f>_xlfn.XLOOKUP(tblFinancials[[#This Row],[DepartmentKey]],tblDepartments[DepartmentKey],tblDepartments[DepartmentName],"")</f>
        <v>Human Resources</v>
      </c>
      <c r="O615" s="8" t="str">
        <f>_xlfn.XLOOKUP(tblFinancials[[#This Row],[BusinessUnitKey]],tblBusinessUnits[BusinessUnitKey],tblBusinessUnits[BusinessUnitName],"")</f>
        <v>Retail</v>
      </c>
      <c r="P615" s="8" t="str">
        <f>_xlfn.XLOOKUP(tblFinancials[[#This Row],[RegionKey]],tblRegions[RegionKey],tblRegions[RegionName],"")</f>
        <v>Midwest</v>
      </c>
    </row>
    <row r="616" spans="1:16">
      <c r="A616">
        <v>20240601</v>
      </c>
      <c r="B616">
        <v>7</v>
      </c>
      <c r="C616">
        <v>2</v>
      </c>
      <c r="D616">
        <v>1</v>
      </c>
      <c r="E616">
        <v>12</v>
      </c>
      <c r="F616" t="s">
        <v>92</v>
      </c>
      <c r="G616">
        <v>33703.879999999997</v>
      </c>
      <c r="H616">
        <f>_xlfn.XLOOKUP(tblFinancials[[#This Row],[DateKey]],tblCalendar[DateKey],tblCalendar[FullDate],"")</f>
        <v>45444</v>
      </c>
      <c r="I616">
        <f>_xlfn.XLOOKUP(tblFinancials[[#This Row],[AccountKey]],tblAccounts[AccountKey],tblAccounts[AccountNumber],"")</f>
        <v>4010</v>
      </c>
      <c r="J616" t="str">
        <f>_xlfn.XLOOKUP(tblFinancials[[#This Row],[AccountKey]],tblAccounts[AccountKey],tblAccounts[AccountName],"")</f>
        <v>Service Revenue</v>
      </c>
      <c r="K616" s="8" t="str">
        <f>_xlfn.XLOOKUP(tblFinancials[[#This Row],[AccountKey]],tblAccounts[AccountKey],tblAccounts[FinancialStatement],"")</f>
        <v>Income Statement</v>
      </c>
      <c r="L616" s="8" t="str">
        <f>_xlfn.XLOOKUP(tblFinancials[[#This Row],[AccountKey]],tblAccounts[AccountKey],tblAccounts[AccountCategory],"")</f>
        <v>Revenue</v>
      </c>
      <c r="M616" s="8" t="str">
        <f>_xlfn.XLOOKUP(tblFinancials[[#This Row],[AccountKey]],tblAccounts[AccountKey],tblAccounts[NormalBalance],"")</f>
        <v>Credit</v>
      </c>
      <c r="N616" s="8" t="str">
        <f>_xlfn.XLOOKUP(tblFinancials[[#This Row],[DepartmentKey]],tblDepartments[DepartmentKey],tblDepartments[DepartmentName],"")</f>
        <v>Information Technology</v>
      </c>
      <c r="O616" s="8" t="str">
        <f>_xlfn.XLOOKUP(tblFinancials[[#This Row],[BusinessUnitKey]],tblBusinessUnits[BusinessUnitKey],tblBusinessUnits[BusinessUnitName],"")</f>
        <v>Wholesale</v>
      </c>
      <c r="P616" s="8" t="str">
        <f>_xlfn.XLOOKUP(tblFinancials[[#This Row],[RegionKey]],tblRegions[RegionKey],tblRegions[RegionName],"")</f>
        <v>West</v>
      </c>
    </row>
    <row r="617" spans="1:16">
      <c r="A617">
        <v>20240601</v>
      </c>
      <c r="B617">
        <v>4</v>
      </c>
      <c r="C617">
        <v>4</v>
      </c>
      <c r="D617">
        <v>2</v>
      </c>
      <c r="E617">
        <v>13</v>
      </c>
      <c r="F617" t="s">
        <v>92</v>
      </c>
      <c r="G617">
        <v>32504</v>
      </c>
      <c r="H617">
        <f>_xlfn.XLOOKUP(tblFinancials[[#This Row],[DateKey]],tblCalendar[DateKey],tblCalendar[FullDate],"")</f>
        <v>45444</v>
      </c>
      <c r="I617">
        <f>_xlfn.XLOOKUP(tblFinancials[[#This Row],[AccountKey]],tblAccounts[AccountKey],tblAccounts[AccountNumber],"")</f>
        <v>4020</v>
      </c>
      <c r="J617" t="str">
        <f>_xlfn.XLOOKUP(tblFinancials[[#This Row],[AccountKey]],tblAccounts[AccountKey],tblAccounts[AccountName],"")</f>
        <v>Online Revenue</v>
      </c>
      <c r="K617" s="8" t="str">
        <f>_xlfn.XLOOKUP(tblFinancials[[#This Row],[AccountKey]],tblAccounts[AccountKey],tblAccounts[FinancialStatement],"")</f>
        <v>Income Statement</v>
      </c>
      <c r="L617" s="8" t="str">
        <f>_xlfn.XLOOKUP(tblFinancials[[#This Row],[AccountKey]],tblAccounts[AccountKey],tblAccounts[AccountCategory],"")</f>
        <v>Revenue</v>
      </c>
      <c r="M617" s="8" t="str">
        <f>_xlfn.XLOOKUP(tblFinancials[[#This Row],[AccountKey]],tblAccounts[AccountKey],tblAccounts[NormalBalance],"")</f>
        <v>Credit</v>
      </c>
      <c r="N617" s="8" t="str">
        <f>_xlfn.XLOOKUP(tblFinancials[[#This Row],[DepartmentKey]],tblDepartments[DepartmentKey],tblDepartments[DepartmentName],"")</f>
        <v>Sales</v>
      </c>
      <c r="O617" s="8" t="str">
        <f>_xlfn.XLOOKUP(tblFinancials[[#This Row],[BusinessUnitKey]],tblBusinessUnits[BusinessUnitKey],tblBusinessUnits[BusinessUnitName],"")</f>
        <v>E-Commerce</v>
      </c>
      <c r="P617" s="8" t="str">
        <f>_xlfn.XLOOKUP(tblFinancials[[#This Row],[RegionKey]],tblRegions[RegionKey],tblRegions[RegionName],"")</f>
        <v>Midwest</v>
      </c>
    </row>
    <row r="618" spans="1:16">
      <c r="A618">
        <v>20240601</v>
      </c>
      <c r="B618">
        <v>2</v>
      </c>
      <c r="C618">
        <v>2</v>
      </c>
      <c r="D618">
        <v>1</v>
      </c>
      <c r="E618">
        <v>12</v>
      </c>
      <c r="F618" t="s">
        <v>92</v>
      </c>
      <c r="G618">
        <v>33298.89</v>
      </c>
      <c r="H618">
        <f>_xlfn.XLOOKUP(tblFinancials[[#This Row],[DateKey]],tblCalendar[DateKey],tblCalendar[FullDate],"")</f>
        <v>45444</v>
      </c>
      <c r="I618">
        <f>_xlfn.XLOOKUP(tblFinancials[[#This Row],[AccountKey]],tblAccounts[AccountKey],tblAccounts[AccountNumber],"")</f>
        <v>4010</v>
      </c>
      <c r="J618" t="str">
        <f>_xlfn.XLOOKUP(tblFinancials[[#This Row],[AccountKey]],tblAccounts[AccountKey],tblAccounts[AccountName],"")</f>
        <v>Service Revenue</v>
      </c>
      <c r="K618" s="8" t="str">
        <f>_xlfn.XLOOKUP(tblFinancials[[#This Row],[AccountKey]],tblAccounts[AccountKey],tblAccounts[FinancialStatement],"")</f>
        <v>Income Statement</v>
      </c>
      <c r="L618" s="8" t="str">
        <f>_xlfn.XLOOKUP(tblFinancials[[#This Row],[AccountKey]],tblAccounts[AccountKey],tblAccounts[AccountCategory],"")</f>
        <v>Revenue</v>
      </c>
      <c r="M618" s="8" t="str">
        <f>_xlfn.XLOOKUP(tblFinancials[[#This Row],[AccountKey]],tblAccounts[AccountKey],tblAccounts[NormalBalance],"")</f>
        <v>Credit</v>
      </c>
      <c r="N618" s="8" t="str">
        <f>_xlfn.XLOOKUP(tblFinancials[[#This Row],[DepartmentKey]],tblDepartments[DepartmentKey],tblDepartments[DepartmentName],"")</f>
        <v>Finance</v>
      </c>
      <c r="O618" s="8" t="str">
        <f>_xlfn.XLOOKUP(tblFinancials[[#This Row],[BusinessUnitKey]],tblBusinessUnits[BusinessUnitKey],tblBusinessUnits[BusinessUnitName],"")</f>
        <v>Wholesale</v>
      </c>
      <c r="P618" s="8" t="str">
        <f>_xlfn.XLOOKUP(tblFinancials[[#This Row],[RegionKey]],tblRegions[RegionKey],tblRegions[RegionName],"")</f>
        <v>West</v>
      </c>
    </row>
    <row r="619" spans="1:16">
      <c r="A619">
        <v>20240601</v>
      </c>
      <c r="B619">
        <v>4</v>
      </c>
      <c r="C619">
        <v>2</v>
      </c>
      <c r="D619">
        <v>2</v>
      </c>
      <c r="E619">
        <v>12</v>
      </c>
      <c r="F619" t="s">
        <v>92</v>
      </c>
      <c r="G619">
        <v>33811.26</v>
      </c>
      <c r="H619">
        <f>_xlfn.XLOOKUP(tblFinancials[[#This Row],[DateKey]],tblCalendar[DateKey],tblCalendar[FullDate],"")</f>
        <v>45444</v>
      </c>
      <c r="I619">
        <f>_xlfn.XLOOKUP(tblFinancials[[#This Row],[AccountKey]],tblAccounts[AccountKey],tblAccounts[AccountNumber],"")</f>
        <v>4010</v>
      </c>
      <c r="J619" t="str">
        <f>_xlfn.XLOOKUP(tblFinancials[[#This Row],[AccountKey]],tblAccounts[AccountKey],tblAccounts[AccountName],"")</f>
        <v>Service Revenue</v>
      </c>
      <c r="K619" s="8" t="str">
        <f>_xlfn.XLOOKUP(tblFinancials[[#This Row],[AccountKey]],tblAccounts[AccountKey],tblAccounts[FinancialStatement],"")</f>
        <v>Income Statement</v>
      </c>
      <c r="L619" s="8" t="str">
        <f>_xlfn.XLOOKUP(tblFinancials[[#This Row],[AccountKey]],tblAccounts[AccountKey],tblAccounts[AccountCategory],"")</f>
        <v>Revenue</v>
      </c>
      <c r="M619" s="8" t="str">
        <f>_xlfn.XLOOKUP(tblFinancials[[#This Row],[AccountKey]],tblAccounts[AccountKey],tblAccounts[NormalBalance],"")</f>
        <v>Credit</v>
      </c>
      <c r="N619" s="8" t="str">
        <f>_xlfn.XLOOKUP(tblFinancials[[#This Row],[DepartmentKey]],tblDepartments[DepartmentKey],tblDepartments[DepartmentName],"")</f>
        <v>Sales</v>
      </c>
      <c r="O619" s="8" t="str">
        <f>_xlfn.XLOOKUP(tblFinancials[[#This Row],[BusinessUnitKey]],tblBusinessUnits[BusinessUnitKey],tblBusinessUnits[BusinessUnitName],"")</f>
        <v>Wholesale</v>
      </c>
      <c r="P619" s="8" t="str">
        <f>_xlfn.XLOOKUP(tblFinancials[[#This Row],[RegionKey]],tblRegions[RegionKey],tblRegions[RegionName],"")</f>
        <v>Midwest</v>
      </c>
    </row>
    <row r="620" spans="1:16">
      <c r="A620">
        <v>20240601</v>
      </c>
      <c r="B620">
        <v>3</v>
      </c>
      <c r="C620">
        <v>3</v>
      </c>
      <c r="D620">
        <v>1</v>
      </c>
      <c r="E620">
        <v>13</v>
      </c>
      <c r="F620" t="s">
        <v>92</v>
      </c>
      <c r="G620">
        <v>32782.79</v>
      </c>
      <c r="H620">
        <f>_xlfn.XLOOKUP(tblFinancials[[#This Row],[DateKey]],tblCalendar[DateKey],tblCalendar[FullDate],"")</f>
        <v>45444</v>
      </c>
      <c r="I620">
        <f>_xlfn.XLOOKUP(tblFinancials[[#This Row],[AccountKey]],tblAccounts[AccountKey],tblAccounts[AccountNumber],"")</f>
        <v>4020</v>
      </c>
      <c r="J620" t="str">
        <f>_xlfn.XLOOKUP(tblFinancials[[#This Row],[AccountKey]],tblAccounts[AccountKey],tblAccounts[AccountName],"")</f>
        <v>Online Revenue</v>
      </c>
      <c r="K620" s="8" t="str">
        <f>_xlfn.XLOOKUP(tblFinancials[[#This Row],[AccountKey]],tblAccounts[AccountKey],tblAccounts[FinancialStatement],"")</f>
        <v>Income Statement</v>
      </c>
      <c r="L620" s="8" t="str">
        <f>_xlfn.XLOOKUP(tblFinancials[[#This Row],[AccountKey]],tblAccounts[AccountKey],tblAccounts[AccountCategory],"")</f>
        <v>Revenue</v>
      </c>
      <c r="M620" s="8" t="str">
        <f>_xlfn.XLOOKUP(tblFinancials[[#This Row],[AccountKey]],tblAccounts[AccountKey],tblAccounts[NormalBalance],"")</f>
        <v>Credit</v>
      </c>
      <c r="N620" s="8" t="str">
        <f>_xlfn.XLOOKUP(tblFinancials[[#This Row],[DepartmentKey]],tblDepartments[DepartmentKey],tblDepartments[DepartmentName],"")</f>
        <v>Human Resources</v>
      </c>
      <c r="O620" s="8" t="str">
        <f>_xlfn.XLOOKUP(tblFinancials[[#This Row],[BusinessUnitKey]],tblBusinessUnits[BusinessUnitKey],tblBusinessUnits[BusinessUnitName],"")</f>
        <v>Retail</v>
      </c>
      <c r="P620" s="8" t="str">
        <f>_xlfn.XLOOKUP(tblFinancials[[#This Row],[RegionKey]],tblRegions[RegionKey],tblRegions[RegionName],"")</f>
        <v>West</v>
      </c>
    </row>
    <row r="621" spans="1:16">
      <c r="A621">
        <v>20240601</v>
      </c>
      <c r="B621">
        <v>4</v>
      </c>
      <c r="C621">
        <v>1</v>
      </c>
      <c r="D621">
        <v>1</v>
      </c>
      <c r="E621">
        <v>11</v>
      </c>
      <c r="F621" t="s">
        <v>92</v>
      </c>
      <c r="G621">
        <v>33266.879999999997</v>
      </c>
      <c r="H621">
        <f>_xlfn.XLOOKUP(tblFinancials[[#This Row],[DateKey]],tblCalendar[DateKey],tblCalendar[FullDate],"")</f>
        <v>45444</v>
      </c>
      <c r="I621">
        <f>_xlfn.XLOOKUP(tblFinancials[[#This Row],[AccountKey]],tblAccounts[AccountKey],tblAccounts[AccountNumber],"")</f>
        <v>4000</v>
      </c>
      <c r="J621" t="str">
        <f>_xlfn.XLOOKUP(tblFinancials[[#This Row],[AccountKey]],tblAccounts[AccountKey],tblAccounts[AccountName],"")</f>
        <v>Product Revenue</v>
      </c>
      <c r="K621" s="8" t="str">
        <f>_xlfn.XLOOKUP(tblFinancials[[#This Row],[AccountKey]],tblAccounts[AccountKey],tblAccounts[FinancialStatement],"")</f>
        <v>Income Statement</v>
      </c>
      <c r="L621" s="8" t="str">
        <f>_xlfn.XLOOKUP(tblFinancials[[#This Row],[AccountKey]],tblAccounts[AccountKey],tblAccounts[AccountCategory],"")</f>
        <v>Revenue</v>
      </c>
      <c r="M621" s="8" t="str">
        <f>_xlfn.XLOOKUP(tblFinancials[[#This Row],[AccountKey]],tblAccounts[AccountKey],tblAccounts[NormalBalance],"")</f>
        <v>Credit</v>
      </c>
      <c r="N621" s="8" t="str">
        <f>_xlfn.XLOOKUP(tblFinancials[[#This Row],[DepartmentKey]],tblDepartments[DepartmentKey],tblDepartments[DepartmentName],"")</f>
        <v>Sales</v>
      </c>
      <c r="O621" s="8" t="str">
        <f>_xlfn.XLOOKUP(tblFinancials[[#This Row],[BusinessUnitKey]],tblBusinessUnits[BusinessUnitKey],tblBusinessUnits[BusinessUnitName],"")</f>
        <v xml:space="preserve">Manufacturing </v>
      </c>
      <c r="P621" s="8" t="str">
        <f>_xlfn.XLOOKUP(tblFinancials[[#This Row],[RegionKey]],tblRegions[RegionKey],tblRegions[RegionName],"")</f>
        <v>West</v>
      </c>
    </row>
    <row r="622" spans="1:16">
      <c r="A622">
        <v>20240601</v>
      </c>
      <c r="B622">
        <v>8</v>
      </c>
      <c r="C622">
        <v>4</v>
      </c>
      <c r="D622">
        <v>2</v>
      </c>
      <c r="E622">
        <v>12</v>
      </c>
      <c r="F622" t="s">
        <v>92</v>
      </c>
      <c r="G622">
        <v>34704.83</v>
      </c>
      <c r="H622">
        <f>_xlfn.XLOOKUP(tblFinancials[[#This Row],[DateKey]],tblCalendar[DateKey],tblCalendar[FullDate],"")</f>
        <v>45444</v>
      </c>
      <c r="I622">
        <f>_xlfn.XLOOKUP(tblFinancials[[#This Row],[AccountKey]],tblAccounts[AccountKey],tblAccounts[AccountNumber],"")</f>
        <v>4010</v>
      </c>
      <c r="J622" t="str">
        <f>_xlfn.XLOOKUP(tblFinancials[[#This Row],[AccountKey]],tblAccounts[AccountKey],tblAccounts[AccountName],"")</f>
        <v>Service Revenue</v>
      </c>
      <c r="K622" s="8" t="str">
        <f>_xlfn.XLOOKUP(tblFinancials[[#This Row],[AccountKey]],tblAccounts[AccountKey],tblAccounts[FinancialStatement],"")</f>
        <v>Income Statement</v>
      </c>
      <c r="L622" s="8" t="str">
        <f>_xlfn.XLOOKUP(tblFinancials[[#This Row],[AccountKey]],tblAccounts[AccountKey],tblAccounts[AccountCategory],"")</f>
        <v>Revenue</v>
      </c>
      <c r="M622" s="8" t="str">
        <f>_xlfn.XLOOKUP(tblFinancials[[#This Row],[AccountKey]],tblAccounts[AccountKey],tblAccounts[NormalBalance],"")</f>
        <v>Credit</v>
      </c>
      <c r="N622" s="8" t="str">
        <f>_xlfn.XLOOKUP(tblFinancials[[#This Row],[DepartmentKey]],tblDepartments[DepartmentKey],tblDepartments[DepartmentName],"")</f>
        <v>Customer Service</v>
      </c>
      <c r="O622" s="8" t="str">
        <f>_xlfn.XLOOKUP(tblFinancials[[#This Row],[BusinessUnitKey]],tblBusinessUnits[BusinessUnitKey],tblBusinessUnits[BusinessUnitName],"")</f>
        <v>E-Commerce</v>
      </c>
      <c r="P622" s="8" t="str">
        <f>_xlfn.XLOOKUP(tblFinancials[[#This Row],[RegionKey]],tblRegions[RegionKey],tblRegions[RegionName],"")</f>
        <v>Midwest</v>
      </c>
    </row>
    <row r="623" spans="1:16">
      <c r="A623">
        <v>20240601</v>
      </c>
      <c r="B623">
        <v>4</v>
      </c>
      <c r="C623">
        <v>4</v>
      </c>
      <c r="D623">
        <v>1</v>
      </c>
      <c r="E623">
        <v>11</v>
      </c>
      <c r="F623" t="s">
        <v>92</v>
      </c>
      <c r="G623">
        <v>34371.1</v>
      </c>
      <c r="H623">
        <f>_xlfn.XLOOKUP(tblFinancials[[#This Row],[DateKey]],tblCalendar[DateKey],tblCalendar[FullDate],"")</f>
        <v>45444</v>
      </c>
      <c r="I623">
        <f>_xlfn.XLOOKUP(tblFinancials[[#This Row],[AccountKey]],tblAccounts[AccountKey],tblAccounts[AccountNumber],"")</f>
        <v>4000</v>
      </c>
      <c r="J623" t="str">
        <f>_xlfn.XLOOKUP(tblFinancials[[#This Row],[AccountKey]],tblAccounts[AccountKey],tblAccounts[AccountName],"")</f>
        <v>Product Revenue</v>
      </c>
      <c r="K623" s="8" t="str">
        <f>_xlfn.XLOOKUP(tblFinancials[[#This Row],[AccountKey]],tblAccounts[AccountKey],tblAccounts[FinancialStatement],"")</f>
        <v>Income Statement</v>
      </c>
      <c r="L623" s="8" t="str">
        <f>_xlfn.XLOOKUP(tblFinancials[[#This Row],[AccountKey]],tblAccounts[AccountKey],tblAccounts[AccountCategory],"")</f>
        <v>Revenue</v>
      </c>
      <c r="M623" s="8" t="str">
        <f>_xlfn.XLOOKUP(tblFinancials[[#This Row],[AccountKey]],tblAccounts[AccountKey],tblAccounts[NormalBalance],"")</f>
        <v>Credit</v>
      </c>
      <c r="N623" s="8" t="str">
        <f>_xlfn.XLOOKUP(tblFinancials[[#This Row],[DepartmentKey]],tblDepartments[DepartmentKey],tblDepartments[DepartmentName],"")</f>
        <v>Sales</v>
      </c>
      <c r="O623" s="8" t="str">
        <f>_xlfn.XLOOKUP(tblFinancials[[#This Row],[BusinessUnitKey]],tblBusinessUnits[BusinessUnitKey],tblBusinessUnits[BusinessUnitName],"")</f>
        <v>E-Commerce</v>
      </c>
      <c r="P623" s="8" t="str">
        <f>_xlfn.XLOOKUP(tblFinancials[[#This Row],[RegionKey]],tblRegions[RegionKey],tblRegions[RegionName],"")</f>
        <v>West</v>
      </c>
    </row>
    <row r="624" spans="1:16">
      <c r="A624">
        <v>20240601</v>
      </c>
      <c r="B624">
        <v>6</v>
      </c>
      <c r="C624">
        <v>1</v>
      </c>
      <c r="D624">
        <v>1</v>
      </c>
      <c r="E624">
        <v>11</v>
      </c>
      <c r="F624" t="s">
        <v>92</v>
      </c>
      <c r="G624">
        <v>33149.14</v>
      </c>
      <c r="H624">
        <f>_xlfn.XLOOKUP(tblFinancials[[#This Row],[DateKey]],tblCalendar[DateKey],tblCalendar[FullDate],"")</f>
        <v>45444</v>
      </c>
      <c r="I624">
        <f>_xlfn.XLOOKUP(tblFinancials[[#This Row],[AccountKey]],tblAccounts[AccountKey],tblAccounts[AccountNumber],"")</f>
        <v>4000</v>
      </c>
      <c r="J624" t="str">
        <f>_xlfn.XLOOKUP(tblFinancials[[#This Row],[AccountKey]],tblAccounts[AccountKey],tblAccounts[AccountName],"")</f>
        <v>Product Revenue</v>
      </c>
      <c r="K624" s="8" t="str">
        <f>_xlfn.XLOOKUP(tblFinancials[[#This Row],[AccountKey]],tblAccounts[AccountKey],tblAccounts[FinancialStatement],"")</f>
        <v>Income Statement</v>
      </c>
      <c r="L624" s="8" t="str">
        <f>_xlfn.XLOOKUP(tblFinancials[[#This Row],[AccountKey]],tblAccounts[AccountKey],tblAccounts[AccountCategory],"")</f>
        <v>Revenue</v>
      </c>
      <c r="M624" s="8" t="str">
        <f>_xlfn.XLOOKUP(tblFinancials[[#This Row],[AccountKey]],tblAccounts[AccountKey],tblAccounts[NormalBalance],"")</f>
        <v>Credit</v>
      </c>
      <c r="N624" s="8" t="str">
        <f>_xlfn.XLOOKUP(tblFinancials[[#This Row],[DepartmentKey]],tblDepartments[DepartmentKey],tblDepartments[DepartmentName],"")</f>
        <v>Operations</v>
      </c>
      <c r="O624" s="8" t="str">
        <f>_xlfn.XLOOKUP(tblFinancials[[#This Row],[BusinessUnitKey]],tblBusinessUnits[BusinessUnitKey],tblBusinessUnits[BusinessUnitName],"")</f>
        <v xml:space="preserve">Manufacturing </v>
      </c>
      <c r="P624" s="8" t="str">
        <f>_xlfn.XLOOKUP(tblFinancials[[#This Row],[RegionKey]],tblRegions[RegionKey],tblRegions[RegionName],"")</f>
        <v>West</v>
      </c>
    </row>
    <row r="625" spans="1:16">
      <c r="A625">
        <v>20240601</v>
      </c>
      <c r="B625">
        <v>2</v>
      </c>
      <c r="C625">
        <v>1</v>
      </c>
      <c r="D625">
        <v>1</v>
      </c>
      <c r="E625">
        <v>13</v>
      </c>
      <c r="F625" t="s">
        <v>92</v>
      </c>
      <c r="G625">
        <v>34326.910000000003</v>
      </c>
      <c r="H625">
        <f>_xlfn.XLOOKUP(tblFinancials[[#This Row],[DateKey]],tblCalendar[DateKey],tblCalendar[FullDate],"")</f>
        <v>45444</v>
      </c>
      <c r="I625">
        <f>_xlfn.XLOOKUP(tblFinancials[[#This Row],[AccountKey]],tblAccounts[AccountKey],tblAccounts[AccountNumber],"")</f>
        <v>4020</v>
      </c>
      <c r="J625" t="str">
        <f>_xlfn.XLOOKUP(tblFinancials[[#This Row],[AccountKey]],tblAccounts[AccountKey],tblAccounts[AccountName],"")</f>
        <v>Online Revenue</v>
      </c>
      <c r="K625" s="8" t="str">
        <f>_xlfn.XLOOKUP(tblFinancials[[#This Row],[AccountKey]],tblAccounts[AccountKey],tblAccounts[FinancialStatement],"")</f>
        <v>Income Statement</v>
      </c>
      <c r="L625" s="8" t="str">
        <f>_xlfn.XLOOKUP(tblFinancials[[#This Row],[AccountKey]],tblAccounts[AccountKey],tblAccounts[AccountCategory],"")</f>
        <v>Revenue</v>
      </c>
      <c r="M625" s="8" t="str">
        <f>_xlfn.XLOOKUP(tblFinancials[[#This Row],[AccountKey]],tblAccounts[AccountKey],tblAccounts[NormalBalance],"")</f>
        <v>Credit</v>
      </c>
      <c r="N625" s="8" t="str">
        <f>_xlfn.XLOOKUP(tblFinancials[[#This Row],[DepartmentKey]],tblDepartments[DepartmentKey],tblDepartments[DepartmentName],"")</f>
        <v>Finance</v>
      </c>
      <c r="O625" s="8" t="str">
        <f>_xlfn.XLOOKUP(tblFinancials[[#This Row],[BusinessUnitKey]],tblBusinessUnits[BusinessUnitKey],tblBusinessUnits[BusinessUnitName],"")</f>
        <v xml:space="preserve">Manufacturing </v>
      </c>
      <c r="P625" s="8" t="str">
        <f>_xlfn.XLOOKUP(tblFinancials[[#This Row],[RegionKey]],tblRegions[RegionKey],tblRegions[RegionName],"")</f>
        <v>West</v>
      </c>
    </row>
    <row r="626" spans="1:16">
      <c r="A626">
        <v>20240601</v>
      </c>
      <c r="B626">
        <v>6</v>
      </c>
      <c r="C626">
        <v>1</v>
      </c>
      <c r="D626">
        <v>1</v>
      </c>
      <c r="E626">
        <v>14</v>
      </c>
      <c r="F626" t="s">
        <v>92</v>
      </c>
      <c r="G626">
        <v>-20252.09</v>
      </c>
      <c r="H626">
        <f>_xlfn.XLOOKUP(tblFinancials[[#This Row],[DateKey]],tblCalendar[DateKey],tblCalendar[FullDate],"")</f>
        <v>45444</v>
      </c>
      <c r="I626">
        <f>_xlfn.XLOOKUP(tblFinancials[[#This Row],[AccountKey]],tblAccounts[AccountKey],tblAccounts[AccountNumber],"")</f>
        <v>5000</v>
      </c>
      <c r="J626" t="str">
        <f>_xlfn.XLOOKUP(tblFinancials[[#This Row],[AccountKey]],tblAccounts[AccountKey],tblAccounts[AccountName],"")</f>
        <v>Cost of Goods Sold</v>
      </c>
      <c r="K626" s="8" t="str">
        <f>_xlfn.XLOOKUP(tblFinancials[[#This Row],[AccountKey]],tblAccounts[AccountKey],tblAccounts[FinancialStatement],"")</f>
        <v>Income Statement</v>
      </c>
      <c r="L626" s="8" t="str">
        <f>_xlfn.XLOOKUP(tblFinancials[[#This Row],[AccountKey]],tblAccounts[AccountKey],tblAccounts[AccountCategory],"")</f>
        <v>Cost of Sales</v>
      </c>
      <c r="M626" s="8" t="str">
        <f>_xlfn.XLOOKUP(tblFinancials[[#This Row],[AccountKey]],tblAccounts[AccountKey],tblAccounts[NormalBalance],"")</f>
        <v>Debit</v>
      </c>
      <c r="N626" s="8" t="str">
        <f>_xlfn.XLOOKUP(tblFinancials[[#This Row],[DepartmentKey]],tblDepartments[DepartmentKey],tblDepartments[DepartmentName],"")</f>
        <v>Operations</v>
      </c>
      <c r="O626" s="8" t="str">
        <f>_xlfn.XLOOKUP(tblFinancials[[#This Row],[BusinessUnitKey]],tblBusinessUnits[BusinessUnitKey],tblBusinessUnits[BusinessUnitName],"")</f>
        <v xml:space="preserve">Manufacturing </v>
      </c>
      <c r="P626" s="8" t="str">
        <f>_xlfn.XLOOKUP(tblFinancials[[#This Row],[RegionKey]],tblRegions[RegionKey],tblRegions[RegionName],"")</f>
        <v>West</v>
      </c>
    </row>
    <row r="627" spans="1:16">
      <c r="A627">
        <v>20240601</v>
      </c>
      <c r="B627">
        <v>4</v>
      </c>
      <c r="C627">
        <v>1</v>
      </c>
      <c r="D627">
        <v>1</v>
      </c>
      <c r="E627">
        <v>14</v>
      </c>
      <c r="F627" t="s">
        <v>92</v>
      </c>
      <c r="G627">
        <v>-19508.62</v>
      </c>
      <c r="H627">
        <f>_xlfn.XLOOKUP(tblFinancials[[#This Row],[DateKey]],tblCalendar[DateKey],tblCalendar[FullDate],"")</f>
        <v>45444</v>
      </c>
      <c r="I627">
        <f>_xlfn.XLOOKUP(tblFinancials[[#This Row],[AccountKey]],tblAccounts[AccountKey],tblAccounts[AccountNumber],"")</f>
        <v>5000</v>
      </c>
      <c r="J627" t="str">
        <f>_xlfn.XLOOKUP(tblFinancials[[#This Row],[AccountKey]],tblAccounts[AccountKey],tblAccounts[AccountName],"")</f>
        <v>Cost of Goods Sold</v>
      </c>
      <c r="K627" s="8" t="str">
        <f>_xlfn.XLOOKUP(tblFinancials[[#This Row],[AccountKey]],tblAccounts[AccountKey],tblAccounts[FinancialStatement],"")</f>
        <v>Income Statement</v>
      </c>
      <c r="L627" s="8" t="str">
        <f>_xlfn.XLOOKUP(tblFinancials[[#This Row],[AccountKey]],tblAccounts[AccountKey],tblAccounts[AccountCategory],"")</f>
        <v>Cost of Sales</v>
      </c>
      <c r="M627" s="8" t="str">
        <f>_xlfn.XLOOKUP(tblFinancials[[#This Row],[AccountKey]],tblAccounts[AccountKey],tblAccounts[NormalBalance],"")</f>
        <v>Debit</v>
      </c>
      <c r="N627" s="8" t="str">
        <f>_xlfn.XLOOKUP(tblFinancials[[#This Row],[DepartmentKey]],tblDepartments[DepartmentKey],tblDepartments[DepartmentName],"")</f>
        <v>Sales</v>
      </c>
      <c r="O627" s="8" t="str">
        <f>_xlfn.XLOOKUP(tblFinancials[[#This Row],[BusinessUnitKey]],tblBusinessUnits[BusinessUnitKey],tblBusinessUnits[BusinessUnitName],"")</f>
        <v xml:space="preserve">Manufacturing </v>
      </c>
      <c r="P627" s="8" t="str">
        <f>_xlfn.XLOOKUP(tblFinancials[[#This Row],[RegionKey]],tblRegions[RegionKey],tblRegions[RegionName],"")</f>
        <v>West</v>
      </c>
    </row>
    <row r="628" spans="1:16">
      <c r="A628">
        <v>20240601</v>
      </c>
      <c r="B628">
        <v>8</v>
      </c>
      <c r="C628">
        <v>4</v>
      </c>
      <c r="D628">
        <v>2</v>
      </c>
      <c r="E628">
        <v>14</v>
      </c>
      <c r="F628" t="s">
        <v>92</v>
      </c>
      <c r="G628">
        <v>-18859.099999999999</v>
      </c>
      <c r="H628">
        <f>_xlfn.XLOOKUP(tblFinancials[[#This Row],[DateKey]],tblCalendar[DateKey],tblCalendar[FullDate],"")</f>
        <v>45444</v>
      </c>
      <c r="I628">
        <f>_xlfn.XLOOKUP(tblFinancials[[#This Row],[AccountKey]],tblAccounts[AccountKey],tblAccounts[AccountNumber],"")</f>
        <v>5000</v>
      </c>
      <c r="J628" t="str">
        <f>_xlfn.XLOOKUP(tblFinancials[[#This Row],[AccountKey]],tblAccounts[AccountKey],tblAccounts[AccountName],"")</f>
        <v>Cost of Goods Sold</v>
      </c>
      <c r="K628" s="8" t="str">
        <f>_xlfn.XLOOKUP(tblFinancials[[#This Row],[AccountKey]],tblAccounts[AccountKey],tblAccounts[FinancialStatement],"")</f>
        <v>Income Statement</v>
      </c>
      <c r="L628" s="8" t="str">
        <f>_xlfn.XLOOKUP(tblFinancials[[#This Row],[AccountKey]],tblAccounts[AccountKey],tblAccounts[AccountCategory],"")</f>
        <v>Cost of Sales</v>
      </c>
      <c r="M628" s="8" t="str">
        <f>_xlfn.XLOOKUP(tblFinancials[[#This Row],[AccountKey]],tblAccounts[AccountKey],tblAccounts[NormalBalance],"")</f>
        <v>Debit</v>
      </c>
      <c r="N628" s="8" t="str">
        <f>_xlfn.XLOOKUP(tblFinancials[[#This Row],[DepartmentKey]],tblDepartments[DepartmentKey],tblDepartments[DepartmentName],"")</f>
        <v>Customer Service</v>
      </c>
      <c r="O628" s="8" t="str">
        <f>_xlfn.XLOOKUP(tblFinancials[[#This Row],[BusinessUnitKey]],tblBusinessUnits[BusinessUnitKey],tblBusinessUnits[BusinessUnitName],"")</f>
        <v>E-Commerce</v>
      </c>
      <c r="P628" s="8" t="str">
        <f>_xlfn.XLOOKUP(tblFinancials[[#This Row],[RegionKey]],tblRegions[RegionKey],tblRegions[RegionName],"")</f>
        <v>Midwest</v>
      </c>
    </row>
    <row r="629" spans="1:16">
      <c r="A629">
        <v>20240601</v>
      </c>
      <c r="B629">
        <v>3</v>
      </c>
      <c r="C629">
        <v>3</v>
      </c>
      <c r="D629">
        <v>2</v>
      </c>
      <c r="E629">
        <v>14</v>
      </c>
      <c r="F629" t="s">
        <v>92</v>
      </c>
      <c r="G629">
        <v>-18764.39</v>
      </c>
      <c r="H629">
        <f>_xlfn.XLOOKUP(tblFinancials[[#This Row],[DateKey]],tblCalendar[DateKey],tblCalendar[FullDate],"")</f>
        <v>45444</v>
      </c>
      <c r="I629">
        <f>_xlfn.XLOOKUP(tblFinancials[[#This Row],[AccountKey]],tblAccounts[AccountKey],tblAccounts[AccountNumber],"")</f>
        <v>5000</v>
      </c>
      <c r="J629" t="str">
        <f>_xlfn.XLOOKUP(tblFinancials[[#This Row],[AccountKey]],tblAccounts[AccountKey],tblAccounts[AccountName],"")</f>
        <v>Cost of Goods Sold</v>
      </c>
      <c r="K629" s="8" t="str">
        <f>_xlfn.XLOOKUP(tblFinancials[[#This Row],[AccountKey]],tblAccounts[AccountKey],tblAccounts[FinancialStatement],"")</f>
        <v>Income Statement</v>
      </c>
      <c r="L629" s="8" t="str">
        <f>_xlfn.XLOOKUP(tblFinancials[[#This Row],[AccountKey]],tblAccounts[AccountKey],tblAccounts[AccountCategory],"")</f>
        <v>Cost of Sales</v>
      </c>
      <c r="M629" s="8" t="str">
        <f>_xlfn.XLOOKUP(tblFinancials[[#This Row],[AccountKey]],tblAccounts[AccountKey],tblAccounts[NormalBalance],"")</f>
        <v>Debit</v>
      </c>
      <c r="N629" s="8" t="str">
        <f>_xlfn.XLOOKUP(tblFinancials[[#This Row],[DepartmentKey]],tblDepartments[DepartmentKey],tblDepartments[DepartmentName],"")</f>
        <v>Human Resources</v>
      </c>
      <c r="O629" s="8" t="str">
        <f>_xlfn.XLOOKUP(tblFinancials[[#This Row],[BusinessUnitKey]],tblBusinessUnits[BusinessUnitKey],tblBusinessUnits[BusinessUnitName],"")</f>
        <v>Retail</v>
      </c>
      <c r="P629" s="8" t="str">
        <f>_xlfn.XLOOKUP(tblFinancials[[#This Row],[RegionKey]],tblRegions[RegionKey],tblRegions[RegionName],"")</f>
        <v>Midwest</v>
      </c>
    </row>
    <row r="630" spans="1:16">
      <c r="A630">
        <v>20240601</v>
      </c>
      <c r="B630">
        <v>7</v>
      </c>
      <c r="C630">
        <v>2</v>
      </c>
      <c r="D630">
        <v>4</v>
      </c>
      <c r="E630">
        <v>14</v>
      </c>
      <c r="F630" t="s">
        <v>92</v>
      </c>
      <c r="G630">
        <v>-19744.78</v>
      </c>
      <c r="H630">
        <f>_xlfn.XLOOKUP(tblFinancials[[#This Row],[DateKey]],tblCalendar[DateKey],tblCalendar[FullDate],"")</f>
        <v>45444</v>
      </c>
      <c r="I630">
        <f>_xlfn.XLOOKUP(tblFinancials[[#This Row],[AccountKey]],tblAccounts[AccountKey],tblAccounts[AccountNumber],"")</f>
        <v>5000</v>
      </c>
      <c r="J630" t="str">
        <f>_xlfn.XLOOKUP(tblFinancials[[#This Row],[AccountKey]],tblAccounts[AccountKey],tblAccounts[AccountName],"")</f>
        <v>Cost of Goods Sold</v>
      </c>
      <c r="K630" s="8" t="str">
        <f>_xlfn.XLOOKUP(tblFinancials[[#This Row],[AccountKey]],tblAccounts[AccountKey],tblAccounts[FinancialStatement],"")</f>
        <v>Income Statement</v>
      </c>
      <c r="L630" s="8" t="str">
        <f>_xlfn.XLOOKUP(tblFinancials[[#This Row],[AccountKey]],tblAccounts[AccountKey],tblAccounts[AccountCategory],"")</f>
        <v>Cost of Sales</v>
      </c>
      <c r="M630" s="8" t="str">
        <f>_xlfn.XLOOKUP(tblFinancials[[#This Row],[AccountKey]],tblAccounts[AccountKey],tblAccounts[NormalBalance],"")</f>
        <v>Debit</v>
      </c>
      <c r="N630" s="8" t="str">
        <f>_xlfn.XLOOKUP(tblFinancials[[#This Row],[DepartmentKey]],tblDepartments[DepartmentKey],tblDepartments[DepartmentName],"")</f>
        <v>Information Technology</v>
      </c>
      <c r="O630" s="8" t="str">
        <f>_xlfn.XLOOKUP(tblFinancials[[#This Row],[BusinessUnitKey]],tblBusinessUnits[BusinessUnitKey],tblBusinessUnits[BusinessUnitName],"")</f>
        <v>Wholesale</v>
      </c>
      <c r="P630" s="8" t="str">
        <f>_xlfn.XLOOKUP(tblFinancials[[#This Row],[RegionKey]],tblRegions[RegionKey],tblRegions[RegionName],"")</f>
        <v>East</v>
      </c>
    </row>
    <row r="631" spans="1:16">
      <c r="A631">
        <v>20240601</v>
      </c>
      <c r="B631">
        <v>7</v>
      </c>
      <c r="C631">
        <v>3</v>
      </c>
      <c r="D631">
        <v>2</v>
      </c>
      <c r="E631">
        <v>14</v>
      </c>
      <c r="F631" t="s">
        <v>92</v>
      </c>
      <c r="G631">
        <v>-18522.3</v>
      </c>
      <c r="H631">
        <f>_xlfn.XLOOKUP(tblFinancials[[#This Row],[DateKey]],tblCalendar[DateKey],tblCalendar[FullDate],"")</f>
        <v>45444</v>
      </c>
      <c r="I631">
        <f>_xlfn.XLOOKUP(tblFinancials[[#This Row],[AccountKey]],tblAccounts[AccountKey],tblAccounts[AccountNumber],"")</f>
        <v>5000</v>
      </c>
      <c r="J631" t="str">
        <f>_xlfn.XLOOKUP(tblFinancials[[#This Row],[AccountKey]],tblAccounts[AccountKey],tblAccounts[AccountName],"")</f>
        <v>Cost of Goods Sold</v>
      </c>
      <c r="K631" s="8" t="str">
        <f>_xlfn.XLOOKUP(tblFinancials[[#This Row],[AccountKey]],tblAccounts[AccountKey],tblAccounts[FinancialStatement],"")</f>
        <v>Income Statement</v>
      </c>
      <c r="L631" s="8" t="str">
        <f>_xlfn.XLOOKUP(tblFinancials[[#This Row],[AccountKey]],tblAccounts[AccountKey],tblAccounts[AccountCategory],"")</f>
        <v>Cost of Sales</v>
      </c>
      <c r="M631" s="8" t="str">
        <f>_xlfn.XLOOKUP(tblFinancials[[#This Row],[AccountKey]],tblAccounts[AccountKey],tblAccounts[NormalBalance],"")</f>
        <v>Debit</v>
      </c>
      <c r="N631" s="8" t="str">
        <f>_xlfn.XLOOKUP(tblFinancials[[#This Row],[DepartmentKey]],tblDepartments[DepartmentKey],tblDepartments[DepartmentName],"")</f>
        <v>Information Technology</v>
      </c>
      <c r="O631" s="8" t="str">
        <f>_xlfn.XLOOKUP(tblFinancials[[#This Row],[BusinessUnitKey]],tblBusinessUnits[BusinessUnitKey],tblBusinessUnits[BusinessUnitName],"")</f>
        <v>Retail</v>
      </c>
      <c r="P631" s="8" t="str">
        <f>_xlfn.XLOOKUP(tblFinancials[[#This Row],[RegionKey]],tblRegions[RegionKey],tblRegions[RegionName],"")</f>
        <v>Midwest</v>
      </c>
    </row>
    <row r="632" spans="1:16">
      <c r="A632">
        <v>20240601</v>
      </c>
      <c r="B632">
        <v>2</v>
      </c>
      <c r="C632">
        <v>3</v>
      </c>
      <c r="D632">
        <v>3</v>
      </c>
      <c r="E632">
        <v>14</v>
      </c>
      <c r="F632" t="s">
        <v>92</v>
      </c>
      <c r="G632">
        <v>-18567.43</v>
      </c>
      <c r="H632">
        <f>_xlfn.XLOOKUP(tblFinancials[[#This Row],[DateKey]],tblCalendar[DateKey],tblCalendar[FullDate],"")</f>
        <v>45444</v>
      </c>
      <c r="I632">
        <f>_xlfn.XLOOKUP(tblFinancials[[#This Row],[AccountKey]],tblAccounts[AccountKey],tblAccounts[AccountNumber],"")</f>
        <v>5000</v>
      </c>
      <c r="J632" t="str">
        <f>_xlfn.XLOOKUP(tblFinancials[[#This Row],[AccountKey]],tblAccounts[AccountKey],tblAccounts[AccountName],"")</f>
        <v>Cost of Goods Sold</v>
      </c>
      <c r="K632" s="8" t="str">
        <f>_xlfn.XLOOKUP(tblFinancials[[#This Row],[AccountKey]],tblAccounts[AccountKey],tblAccounts[FinancialStatement],"")</f>
        <v>Income Statement</v>
      </c>
      <c r="L632" s="8" t="str">
        <f>_xlfn.XLOOKUP(tblFinancials[[#This Row],[AccountKey]],tblAccounts[AccountKey],tblAccounts[AccountCategory],"")</f>
        <v>Cost of Sales</v>
      </c>
      <c r="M632" s="8" t="str">
        <f>_xlfn.XLOOKUP(tblFinancials[[#This Row],[AccountKey]],tblAccounts[AccountKey],tblAccounts[NormalBalance],"")</f>
        <v>Debit</v>
      </c>
      <c r="N632" s="8" t="str">
        <f>_xlfn.XLOOKUP(tblFinancials[[#This Row],[DepartmentKey]],tblDepartments[DepartmentKey],tblDepartments[DepartmentName],"")</f>
        <v>Finance</v>
      </c>
      <c r="O632" s="8" t="str">
        <f>_xlfn.XLOOKUP(tblFinancials[[#This Row],[BusinessUnitKey]],tblBusinessUnits[BusinessUnitKey],tblBusinessUnits[BusinessUnitName],"")</f>
        <v>Retail</v>
      </c>
      <c r="P632" s="8" t="str">
        <f>_xlfn.XLOOKUP(tblFinancials[[#This Row],[RegionKey]],tblRegions[RegionKey],tblRegions[RegionName],"")</f>
        <v>South</v>
      </c>
    </row>
    <row r="633" spans="1:16">
      <c r="A633">
        <v>20240601</v>
      </c>
      <c r="B633">
        <v>4</v>
      </c>
      <c r="C633">
        <v>2</v>
      </c>
      <c r="D633">
        <v>2</v>
      </c>
      <c r="E633">
        <v>14</v>
      </c>
      <c r="F633" t="s">
        <v>92</v>
      </c>
      <c r="G633">
        <v>-18420.16</v>
      </c>
      <c r="H633">
        <f>_xlfn.XLOOKUP(tblFinancials[[#This Row],[DateKey]],tblCalendar[DateKey],tblCalendar[FullDate],"")</f>
        <v>45444</v>
      </c>
      <c r="I633">
        <f>_xlfn.XLOOKUP(tblFinancials[[#This Row],[AccountKey]],tblAccounts[AccountKey],tblAccounts[AccountNumber],"")</f>
        <v>5000</v>
      </c>
      <c r="J633" t="str">
        <f>_xlfn.XLOOKUP(tblFinancials[[#This Row],[AccountKey]],tblAccounts[AccountKey],tblAccounts[AccountName],"")</f>
        <v>Cost of Goods Sold</v>
      </c>
      <c r="K633" s="8" t="str">
        <f>_xlfn.XLOOKUP(tblFinancials[[#This Row],[AccountKey]],tblAccounts[AccountKey],tblAccounts[FinancialStatement],"")</f>
        <v>Income Statement</v>
      </c>
      <c r="L633" s="8" t="str">
        <f>_xlfn.XLOOKUP(tblFinancials[[#This Row],[AccountKey]],tblAccounts[AccountKey],tblAccounts[AccountCategory],"")</f>
        <v>Cost of Sales</v>
      </c>
      <c r="M633" s="8" t="str">
        <f>_xlfn.XLOOKUP(tblFinancials[[#This Row],[AccountKey]],tblAccounts[AccountKey],tblAccounts[NormalBalance],"")</f>
        <v>Debit</v>
      </c>
      <c r="N633" s="8" t="str">
        <f>_xlfn.XLOOKUP(tblFinancials[[#This Row],[DepartmentKey]],tblDepartments[DepartmentKey],tblDepartments[DepartmentName],"")</f>
        <v>Sales</v>
      </c>
      <c r="O633" s="8" t="str">
        <f>_xlfn.XLOOKUP(tblFinancials[[#This Row],[BusinessUnitKey]],tblBusinessUnits[BusinessUnitKey],tblBusinessUnits[BusinessUnitName],"")</f>
        <v>Wholesale</v>
      </c>
      <c r="P633" s="8" t="str">
        <f>_xlfn.XLOOKUP(tblFinancials[[#This Row],[RegionKey]],tblRegions[RegionKey],tblRegions[RegionName],"")</f>
        <v>Midwest</v>
      </c>
    </row>
    <row r="634" spans="1:16">
      <c r="A634">
        <v>20240601</v>
      </c>
      <c r="B634">
        <v>6</v>
      </c>
      <c r="C634">
        <v>3</v>
      </c>
      <c r="D634">
        <v>1</v>
      </c>
      <c r="E634">
        <v>14</v>
      </c>
      <c r="F634" t="s">
        <v>92</v>
      </c>
      <c r="G634">
        <v>-19869.34</v>
      </c>
      <c r="H634">
        <f>_xlfn.XLOOKUP(tblFinancials[[#This Row],[DateKey]],tblCalendar[DateKey],tblCalendar[FullDate],"")</f>
        <v>45444</v>
      </c>
      <c r="I634">
        <f>_xlfn.XLOOKUP(tblFinancials[[#This Row],[AccountKey]],tblAccounts[AccountKey],tblAccounts[AccountNumber],"")</f>
        <v>5000</v>
      </c>
      <c r="J634" t="str">
        <f>_xlfn.XLOOKUP(tblFinancials[[#This Row],[AccountKey]],tblAccounts[AccountKey],tblAccounts[AccountName],"")</f>
        <v>Cost of Goods Sold</v>
      </c>
      <c r="K634" s="8" t="str">
        <f>_xlfn.XLOOKUP(tblFinancials[[#This Row],[AccountKey]],tblAccounts[AccountKey],tblAccounts[FinancialStatement],"")</f>
        <v>Income Statement</v>
      </c>
      <c r="L634" s="8" t="str">
        <f>_xlfn.XLOOKUP(tblFinancials[[#This Row],[AccountKey]],tblAccounts[AccountKey],tblAccounts[AccountCategory],"")</f>
        <v>Cost of Sales</v>
      </c>
      <c r="M634" s="8" t="str">
        <f>_xlfn.XLOOKUP(tblFinancials[[#This Row],[AccountKey]],tblAccounts[AccountKey],tblAccounts[NormalBalance],"")</f>
        <v>Debit</v>
      </c>
      <c r="N634" s="8" t="str">
        <f>_xlfn.XLOOKUP(tblFinancials[[#This Row],[DepartmentKey]],tblDepartments[DepartmentKey],tblDepartments[DepartmentName],"")</f>
        <v>Operations</v>
      </c>
      <c r="O634" s="8" t="str">
        <f>_xlfn.XLOOKUP(tblFinancials[[#This Row],[BusinessUnitKey]],tblBusinessUnits[BusinessUnitKey],tblBusinessUnits[BusinessUnitName],"")</f>
        <v>Retail</v>
      </c>
      <c r="P634" s="8" t="str">
        <f>_xlfn.XLOOKUP(tblFinancials[[#This Row],[RegionKey]],tblRegions[RegionKey],tblRegions[RegionName],"")</f>
        <v>West</v>
      </c>
    </row>
    <row r="635" spans="1:16">
      <c r="A635">
        <v>20240601</v>
      </c>
      <c r="B635">
        <v>4</v>
      </c>
      <c r="C635">
        <v>3</v>
      </c>
      <c r="D635">
        <v>1</v>
      </c>
      <c r="E635">
        <v>14</v>
      </c>
      <c r="F635" t="s">
        <v>92</v>
      </c>
      <c r="G635">
        <v>-19091.96</v>
      </c>
      <c r="H635">
        <f>_xlfn.XLOOKUP(tblFinancials[[#This Row],[DateKey]],tblCalendar[DateKey],tblCalendar[FullDate],"")</f>
        <v>45444</v>
      </c>
      <c r="I635">
        <f>_xlfn.XLOOKUP(tblFinancials[[#This Row],[AccountKey]],tblAccounts[AccountKey],tblAccounts[AccountNumber],"")</f>
        <v>5000</v>
      </c>
      <c r="J635" t="str">
        <f>_xlfn.XLOOKUP(tblFinancials[[#This Row],[AccountKey]],tblAccounts[AccountKey],tblAccounts[AccountName],"")</f>
        <v>Cost of Goods Sold</v>
      </c>
      <c r="K635" s="8" t="str">
        <f>_xlfn.XLOOKUP(tblFinancials[[#This Row],[AccountKey]],tblAccounts[AccountKey],tblAccounts[FinancialStatement],"")</f>
        <v>Income Statement</v>
      </c>
      <c r="L635" s="8" t="str">
        <f>_xlfn.XLOOKUP(tblFinancials[[#This Row],[AccountKey]],tblAccounts[AccountKey],tblAccounts[AccountCategory],"")</f>
        <v>Cost of Sales</v>
      </c>
      <c r="M635" s="8" t="str">
        <f>_xlfn.XLOOKUP(tblFinancials[[#This Row],[AccountKey]],tblAccounts[AccountKey],tblAccounts[NormalBalance],"")</f>
        <v>Debit</v>
      </c>
      <c r="N635" s="8" t="str">
        <f>_xlfn.XLOOKUP(tblFinancials[[#This Row],[DepartmentKey]],tblDepartments[DepartmentKey],tblDepartments[DepartmentName],"")</f>
        <v>Sales</v>
      </c>
      <c r="O635" s="8" t="str">
        <f>_xlfn.XLOOKUP(tblFinancials[[#This Row],[BusinessUnitKey]],tblBusinessUnits[BusinessUnitKey],tblBusinessUnits[BusinessUnitName],"")</f>
        <v>Retail</v>
      </c>
      <c r="P635" s="8" t="str">
        <f>_xlfn.XLOOKUP(tblFinancials[[#This Row],[RegionKey]],tblRegions[RegionKey],tblRegions[RegionName],"")</f>
        <v>West</v>
      </c>
    </row>
    <row r="636" spans="1:16">
      <c r="A636">
        <v>20240601</v>
      </c>
      <c r="B636">
        <v>8</v>
      </c>
      <c r="C636">
        <v>3</v>
      </c>
      <c r="D636">
        <v>2</v>
      </c>
      <c r="E636">
        <v>14</v>
      </c>
      <c r="F636" t="s">
        <v>92</v>
      </c>
      <c r="G636">
        <v>-20306.95</v>
      </c>
      <c r="H636">
        <f>_xlfn.XLOOKUP(tblFinancials[[#This Row],[DateKey]],tblCalendar[DateKey],tblCalendar[FullDate],"")</f>
        <v>45444</v>
      </c>
      <c r="I636">
        <f>_xlfn.XLOOKUP(tblFinancials[[#This Row],[AccountKey]],tblAccounts[AccountKey],tblAccounts[AccountNumber],"")</f>
        <v>5000</v>
      </c>
      <c r="J636" t="str">
        <f>_xlfn.XLOOKUP(tblFinancials[[#This Row],[AccountKey]],tblAccounts[AccountKey],tblAccounts[AccountName],"")</f>
        <v>Cost of Goods Sold</v>
      </c>
      <c r="K636" s="8" t="str">
        <f>_xlfn.XLOOKUP(tblFinancials[[#This Row],[AccountKey]],tblAccounts[AccountKey],tblAccounts[FinancialStatement],"")</f>
        <v>Income Statement</v>
      </c>
      <c r="L636" s="8" t="str">
        <f>_xlfn.XLOOKUP(tblFinancials[[#This Row],[AccountKey]],tblAccounts[AccountKey],tblAccounts[AccountCategory],"")</f>
        <v>Cost of Sales</v>
      </c>
      <c r="M636" s="8" t="str">
        <f>_xlfn.XLOOKUP(tblFinancials[[#This Row],[AccountKey]],tblAccounts[AccountKey],tblAccounts[NormalBalance],"")</f>
        <v>Debit</v>
      </c>
      <c r="N636" s="8" t="str">
        <f>_xlfn.XLOOKUP(tblFinancials[[#This Row],[DepartmentKey]],tblDepartments[DepartmentKey],tblDepartments[DepartmentName],"")</f>
        <v>Customer Service</v>
      </c>
      <c r="O636" s="8" t="str">
        <f>_xlfn.XLOOKUP(tblFinancials[[#This Row],[BusinessUnitKey]],tblBusinessUnits[BusinessUnitKey],tblBusinessUnits[BusinessUnitName],"")</f>
        <v>Retail</v>
      </c>
      <c r="P636" s="8" t="str">
        <f>_xlfn.XLOOKUP(tblFinancials[[#This Row],[RegionKey]],tblRegions[RegionKey],tblRegions[RegionName],"")</f>
        <v>Midwest</v>
      </c>
    </row>
    <row r="637" spans="1:16">
      <c r="A637">
        <v>20240601</v>
      </c>
      <c r="B637">
        <v>7</v>
      </c>
      <c r="C637">
        <v>4</v>
      </c>
      <c r="D637">
        <v>3</v>
      </c>
      <c r="E637">
        <v>14</v>
      </c>
      <c r="F637" t="s">
        <v>92</v>
      </c>
      <c r="G637">
        <v>-23345.03</v>
      </c>
      <c r="H637">
        <f>_xlfn.XLOOKUP(tblFinancials[[#This Row],[DateKey]],tblCalendar[DateKey],tblCalendar[FullDate],"")</f>
        <v>45444</v>
      </c>
      <c r="I637">
        <f>_xlfn.XLOOKUP(tblFinancials[[#This Row],[AccountKey]],tblAccounts[AccountKey],tblAccounts[AccountNumber],"")</f>
        <v>5000</v>
      </c>
      <c r="J637" t="str">
        <f>_xlfn.XLOOKUP(tblFinancials[[#This Row],[AccountKey]],tblAccounts[AccountKey],tblAccounts[AccountName],"")</f>
        <v>Cost of Goods Sold</v>
      </c>
      <c r="K637" s="8" t="str">
        <f>_xlfn.XLOOKUP(tblFinancials[[#This Row],[AccountKey]],tblAccounts[AccountKey],tblAccounts[FinancialStatement],"")</f>
        <v>Income Statement</v>
      </c>
      <c r="L637" s="8" t="str">
        <f>_xlfn.XLOOKUP(tblFinancials[[#This Row],[AccountKey]],tblAccounts[AccountKey],tblAccounts[AccountCategory],"")</f>
        <v>Cost of Sales</v>
      </c>
      <c r="M637" s="8" t="str">
        <f>_xlfn.XLOOKUP(tblFinancials[[#This Row],[AccountKey]],tblAccounts[AccountKey],tblAccounts[NormalBalance],"")</f>
        <v>Debit</v>
      </c>
      <c r="N637" s="8" t="str">
        <f>_xlfn.XLOOKUP(tblFinancials[[#This Row],[DepartmentKey]],tblDepartments[DepartmentKey],tblDepartments[DepartmentName],"")</f>
        <v>Information Technology</v>
      </c>
      <c r="O637" s="8" t="str">
        <f>_xlfn.XLOOKUP(tblFinancials[[#This Row],[BusinessUnitKey]],tblBusinessUnits[BusinessUnitKey],tblBusinessUnits[BusinessUnitName],"")</f>
        <v>E-Commerce</v>
      </c>
      <c r="P637" s="8" t="str">
        <f>_xlfn.XLOOKUP(tblFinancials[[#This Row],[RegionKey]],tblRegions[RegionKey],tblRegions[RegionName],"")</f>
        <v>South</v>
      </c>
    </row>
    <row r="638" spans="1:16">
      <c r="A638">
        <v>20240601</v>
      </c>
      <c r="B638">
        <v>5</v>
      </c>
      <c r="C638">
        <v>4</v>
      </c>
      <c r="D638">
        <v>4</v>
      </c>
      <c r="E638">
        <v>19</v>
      </c>
      <c r="F638" t="s">
        <v>92</v>
      </c>
      <c r="G638">
        <v>-7668.81</v>
      </c>
      <c r="H638">
        <f>_xlfn.XLOOKUP(tblFinancials[[#This Row],[DateKey]],tblCalendar[DateKey],tblCalendar[FullDate],"")</f>
        <v>45444</v>
      </c>
      <c r="I638">
        <f>_xlfn.XLOOKUP(tblFinancials[[#This Row],[AccountKey]],tblAccounts[AccountKey],tblAccounts[AccountNumber],"")</f>
        <v>6300</v>
      </c>
      <c r="J638" t="str">
        <f>_xlfn.XLOOKUP(tblFinancials[[#This Row],[AccountKey]],tblAccounts[AccountKey],tblAccounts[AccountName],"")</f>
        <v>Software Expense</v>
      </c>
      <c r="K638" s="8" t="str">
        <f>_xlfn.XLOOKUP(tblFinancials[[#This Row],[AccountKey]],tblAccounts[AccountKey],tblAccounts[FinancialStatement],"")</f>
        <v>Income Statement</v>
      </c>
      <c r="L638" s="8" t="str">
        <f>_xlfn.XLOOKUP(tblFinancials[[#This Row],[AccountKey]],tblAccounts[AccountKey],tblAccounts[AccountCategory],"")</f>
        <v>Operating Expense</v>
      </c>
      <c r="M638" s="8" t="str">
        <f>_xlfn.XLOOKUP(tblFinancials[[#This Row],[AccountKey]],tblAccounts[AccountKey],tblAccounts[NormalBalance],"")</f>
        <v>Debit</v>
      </c>
      <c r="N638" s="8" t="str">
        <f>_xlfn.XLOOKUP(tblFinancials[[#This Row],[DepartmentKey]],tblDepartments[DepartmentKey],tblDepartments[DepartmentName],"")</f>
        <v>Marketing</v>
      </c>
      <c r="O638" s="8" t="str">
        <f>_xlfn.XLOOKUP(tblFinancials[[#This Row],[BusinessUnitKey]],tblBusinessUnits[BusinessUnitKey],tblBusinessUnits[BusinessUnitName],"")</f>
        <v>E-Commerce</v>
      </c>
      <c r="P638" s="8" t="str">
        <f>_xlfn.XLOOKUP(tblFinancials[[#This Row],[RegionKey]],tblRegions[RegionKey],tblRegions[RegionName],"")</f>
        <v>East</v>
      </c>
    </row>
    <row r="639" spans="1:16">
      <c r="A639">
        <v>20240601</v>
      </c>
      <c r="B639">
        <v>1</v>
      </c>
      <c r="C639">
        <v>2</v>
      </c>
      <c r="D639">
        <v>1</v>
      </c>
      <c r="E639">
        <v>16</v>
      </c>
      <c r="F639" t="s">
        <v>92</v>
      </c>
      <c r="G639">
        <v>-7613.01</v>
      </c>
      <c r="H639">
        <f>_xlfn.XLOOKUP(tblFinancials[[#This Row],[DateKey]],tblCalendar[DateKey],tblCalendar[FullDate],"")</f>
        <v>45444</v>
      </c>
      <c r="I639">
        <f>_xlfn.XLOOKUP(tblFinancials[[#This Row],[AccountKey]],tblAccounts[AccountKey],tblAccounts[AccountNumber],"")</f>
        <v>6110</v>
      </c>
      <c r="J639" t="str">
        <f>_xlfn.XLOOKUP(tblFinancials[[#This Row],[AccountKey]],tblAccounts[AccountKey],tblAccounts[AccountName],"")</f>
        <v>Payroll Taxes</v>
      </c>
      <c r="K639" s="8" t="str">
        <f>_xlfn.XLOOKUP(tblFinancials[[#This Row],[AccountKey]],tblAccounts[AccountKey],tblAccounts[FinancialStatement],"")</f>
        <v>Income Statement</v>
      </c>
      <c r="L639" s="8" t="str">
        <f>_xlfn.XLOOKUP(tblFinancials[[#This Row],[AccountKey]],tblAccounts[AccountKey],tblAccounts[AccountCategory],"")</f>
        <v>Operating Expense</v>
      </c>
      <c r="M639" s="8" t="str">
        <f>_xlfn.XLOOKUP(tblFinancials[[#This Row],[AccountKey]],tblAccounts[AccountKey],tblAccounts[NormalBalance],"")</f>
        <v>Debit</v>
      </c>
      <c r="N639" s="8" t="str">
        <f>_xlfn.XLOOKUP(tblFinancials[[#This Row],[DepartmentKey]],tblDepartments[DepartmentKey],tblDepartments[DepartmentName],"")</f>
        <v>Executive</v>
      </c>
      <c r="O639" s="8" t="str">
        <f>_xlfn.XLOOKUP(tblFinancials[[#This Row],[BusinessUnitKey]],tblBusinessUnits[BusinessUnitKey],tblBusinessUnits[BusinessUnitName],"")</f>
        <v>Wholesale</v>
      </c>
      <c r="P639" s="8" t="str">
        <f>_xlfn.XLOOKUP(tblFinancials[[#This Row],[RegionKey]],tblRegions[RegionKey],tblRegions[RegionName],"")</f>
        <v>West</v>
      </c>
    </row>
    <row r="640" spans="1:16">
      <c r="A640">
        <v>20240601</v>
      </c>
      <c r="B640">
        <v>1</v>
      </c>
      <c r="C640">
        <v>3</v>
      </c>
      <c r="D640">
        <v>1</v>
      </c>
      <c r="E640">
        <v>25</v>
      </c>
      <c r="F640" t="s">
        <v>92</v>
      </c>
      <c r="G640">
        <v>-7880.01</v>
      </c>
      <c r="H640">
        <f>_xlfn.XLOOKUP(tblFinancials[[#This Row],[DateKey]],tblCalendar[DateKey],tblCalendar[FullDate],"")</f>
        <v>45444</v>
      </c>
      <c r="I640">
        <f>_xlfn.XLOOKUP(tblFinancials[[#This Row],[AccountKey]],tblAccounts[AccountKey],tblAccounts[AccountNumber],"")</f>
        <v>8200</v>
      </c>
      <c r="J640" t="str">
        <f>_xlfn.XLOOKUP(tblFinancials[[#This Row],[AccountKey]],tblAccounts[AccountKey],tblAccounts[AccountName],"")</f>
        <v>Income Tax Expense</v>
      </c>
      <c r="K640" s="8" t="str">
        <f>_xlfn.XLOOKUP(tblFinancials[[#This Row],[AccountKey]],tblAccounts[AccountKey],tblAccounts[FinancialStatement],"")</f>
        <v>Income Statement</v>
      </c>
      <c r="L640" s="8" t="str">
        <f>_xlfn.XLOOKUP(tblFinancials[[#This Row],[AccountKey]],tblAccounts[AccountKey],tblAccounts[AccountCategory],"")</f>
        <v>Tax Expense</v>
      </c>
      <c r="M640" s="8" t="str">
        <f>_xlfn.XLOOKUP(tblFinancials[[#This Row],[AccountKey]],tblAccounts[AccountKey],tblAccounts[NormalBalance],"")</f>
        <v>Debit</v>
      </c>
      <c r="N640" s="8" t="str">
        <f>_xlfn.XLOOKUP(tblFinancials[[#This Row],[DepartmentKey]],tblDepartments[DepartmentKey],tblDepartments[DepartmentName],"")</f>
        <v>Executive</v>
      </c>
      <c r="O640" s="8" t="str">
        <f>_xlfn.XLOOKUP(tblFinancials[[#This Row],[BusinessUnitKey]],tblBusinessUnits[BusinessUnitKey],tblBusinessUnits[BusinessUnitName],"")</f>
        <v>Retail</v>
      </c>
      <c r="P640" s="8" t="str">
        <f>_xlfn.XLOOKUP(tblFinancials[[#This Row],[RegionKey]],tblRegions[RegionKey],tblRegions[RegionName],"")</f>
        <v>West</v>
      </c>
    </row>
    <row r="641" spans="1:16">
      <c r="A641">
        <v>20240601</v>
      </c>
      <c r="B641">
        <v>1</v>
      </c>
      <c r="C641">
        <v>1</v>
      </c>
      <c r="D641">
        <v>4</v>
      </c>
      <c r="E641">
        <v>16</v>
      </c>
      <c r="F641" t="s">
        <v>92</v>
      </c>
      <c r="G641">
        <v>-7256.29</v>
      </c>
      <c r="H641">
        <f>_xlfn.XLOOKUP(tblFinancials[[#This Row],[DateKey]],tblCalendar[DateKey],tblCalendar[FullDate],"")</f>
        <v>45444</v>
      </c>
      <c r="I641">
        <f>_xlfn.XLOOKUP(tblFinancials[[#This Row],[AccountKey]],tblAccounts[AccountKey],tblAccounts[AccountNumber],"")</f>
        <v>6110</v>
      </c>
      <c r="J641" t="str">
        <f>_xlfn.XLOOKUP(tblFinancials[[#This Row],[AccountKey]],tblAccounts[AccountKey],tblAccounts[AccountName],"")</f>
        <v>Payroll Taxes</v>
      </c>
      <c r="K641" s="8" t="str">
        <f>_xlfn.XLOOKUP(tblFinancials[[#This Row],[AccountKey]],tblAccounts[AccountKey],tblAccounts[FinancialStatement],"")</f>
        <v>Income Statement</v>
      </c>
      <c r="L641" s="8" t="str">
        <f>_xlfn.XLOOKUP(tblFinancials[[#This Row],[AccountKey]],tblAccounts[AccountKey],tblAccounts[AccountCategory],"")</f>
        <v>Operating Expense</v>
      </c>
      <c r="M641" s="8" t="str">
        <f>_xlfn.XLOOKUP(tblFinancials[[#This Row],[AccountKey]],tblAccounts[AccountKey],tblAccounts[NormalBalance],"")</f>
        <v>Debit</v>
      </c>
      <c r="N641" s="8" t="str">
        <f>_xlfn.XLOOKUP(tblFinancials[[#This Row],[DepartmentKey]],tblDepartments[DepartmentKey],tblDepartments[DepartmentName],"")</f>
        <v>Executive</v>
      </c>
      <c r="O641" s="8" t="str">
        <f>_xlfn.XLOOKUP(tblFinancials[[#This Row],[BusinessUnitKey]],tblBusinessUnits[BusinessUnitKey],tblBusinessUnits[BusinessUnitName],"")</f>
        <v xml:space="preserve">Manufacturing </v>
      </c>
      <c r="P641" s="8" t="str">
        <f>_xlfn.XLOOKUP(tblFinancials[[#This Row],[RegionKey]],tblRegions[RegionKey],tblRegions[RegionName],"")</f>
        <v>East</v>
      </c>
    </row>
    <row r="642" spans="1:16">
      <c r="A642">
        <v>20240601</v>
      </c>
      <c r="B642">
        <v>8</v>
      </c>
      <c r="C642">
        <v>4</v>
      </c>
      <c r="D642">
        <v>2</v>
      </c>
      <c r="E642">
        <v>20</v>
      </c>
      <c r="F642" t="s">
        <v>92</v>
      </c>
      <c r="G642">
        <v>-8154.66</v>
      </c>
      <c r="H642">
        <f>_xlfn.XLOOKUP(tblFinancials[[#This Row],[DateKey]],tblCalendar[DateKey],tblCalendar[FullDate],"")</f>
        <v>45444</v>
      </c>
      <c r="I642">
        <f>_xlfn.XLOOKUP(tblFinancials[[#This Row],[AccountKey]],tblAccounts[AccountKey],tblAccounts[AccountNumber],"")</f>
        <v>6500</v>
      </c>
      <c r="J642" t="str">
        <f>_xlfn.XLOOKUP(tblFinancials[[#This Row],[AccountKey]],tblAccounts[AccountKey],tblAccounts[AccountName],"")</f>
        <v>Rent Expense</v>
      </c>
      <c r="K642" s="8" t="str">
        <f>_xlfn.XLOOKUP(tblFinancials[[#This Row],[AccountKey]],tblAccounts[AccountKey],tblAccounts[FinancialStatement],"")</f>
        <v>Income Statement</v>
      </c>
      <c r="L642" s="8" t="str">
        <f>_xlfn.XLOOKUP(tblFinancials[[#This Row],[AccountKey]],tblAccounts[AccountKey],tblAccounts[AccountCategory],"")</f>
        <v>Operating Expense</v>
      </c>
      <c r="M642" s="8" t="str">
        <f>_xlfn.XLOOKUP(tblFinancials[[#This Row],[AccountKey]],tblAccounts[AccountKey],tblAccounts[NormalBalance],"")</f>
        <v>Debit</v>
      </c>
      <c r="N642" s="8" t="str">
        <f>_xlfn.XLOOKUP(tblFinancials[[#This Row],[DepartmentKey]],tblDepartments[DepartmentKey],tblDepartments[DepartmentName],"")</f>
        <v>Customer Service</v>
      </c>
      <c r="O642" s="8" t="str">
        <f>_xlfn.XLOOKUP(tblFinancials[[#This Row],[BusinessUnitKey]],tblBusinessUnits[BusinessUnitKey],tblBusinessUnits[BusinessUnitName],"")</f>
        <v>E-Commerce</v>
      </c>
      <c r="P642" s="8" t="str">
        <f>_xlfn.XLOOKUP(tblFinancials[[#This Row],[RegionKey]],tblRegions[RegionKey],tblRegions[RegionName],"")</f>
        <v>Midwest</v>
      </c>
    </row>
    <row r="643" spans="1:16">
      <c r="A643">
        <v>20240601</v>
      </c>
      <c r="B643">
        <v>1</v>
      </c>
      <c r="C643">
        <v>3</v>
      </c>
      <c r="D643">
        <v>2</v>
      </c>
      <c r="E643">
        <v>17</v>
      </c>
      <c r="F643" t="s">
        <v>92</v>
      </c>
      <c r="G643">
        <v>-8942.64</v>
      </c>
      <c r="H643">
        <f>_xlfn.XLOOKUP(tblFinancials[[#This Row],[DateKey]],tblCalendar[DateKey],tblCalendar[FullDate],"")</f>
        <v>45444</v>
      </c>
      <c r="I643">
        <f>_xlfn.XLOOKUP(tblFinancials[[#This Row],[AccountKey]],tblAccounts[AccountKey],tblAccounts[AccountNumber],"")</f>
        <v>6120</v>
      </c>
      <c r="J643" t="str">
        <f>_xlfn.XLOOKUP(tblFinancials[[#This Row],[AccountKey]],tblAccounts[AccountKey],tblAccounts[AccountName],"")</f>
        <v>Employee Benefits</v>
      </c>
      <c r="K643" s="8" t="str">
        <f>_xlfn.XLOOKUP(tblFinancials[[#This Row],[AccountKey]],tblAccounts[AccountKey],tblAccounts[FinancialStatement],"")</f>
        <v>Income Statement</v>
      </c>
      <c r="L643" s="8" t="str">
        <f>_xlfn.XLOOKUP(tblFinancials[[#This Row],[AccountKey]],tblAccounts[AccountKey],tblAccounts[AccountCategory],"")</f>
        <v>Operating Expense</v>
      </c>
      <c r="M643" s="8" t="str">
        <f>_xlfn.XLOOKUP(tblFinancials[[#This Row],[AccountKey]],tblAccounts[AccountKey],tblAccounts[NormalBalance],"")</f>
        <v>Debit</v>
      </c>
      <c r="N643" s="8" t="str">
        <f>_xlfn.XLOOKUP(tblFinancials[[#This Row],[DepartmentKey]],tblDepartments[DepartmentKey],tblDepartments[DepartmentName],"")</f>
        <v>Executive</v>
      </c>
      <c r="O643" s="8" t="str">
        <f>_xlfn.XLOOKUP(tblFinancials[[#This Row],[BusinessUnitKey]],tblBusinessUnits[BusinessUnitKey],tblBusinessUnits[BusinessUnitName],"")</f>
        <v>Retail</v>
      </c>
      <c r="P643" s="8" t="str">
        <f>_xlfn.XLOOKUP(tblFinancials[[#This Row],[RegionKey]],tblRegions[RegionKey],tblRegions[RegionName],"")</f>
        <v>Midwest</v>
      </c>
    </row>
    <row r="644" spans="1:16">
      <c r="A644">
        <v>20240601</v>
      </c>
      <c r="B644">
        <v>3</v>
      </c>
      <c r="C644">
        <v>1</v>
      </c>
      <c r="D644">
        <v>4</v>
      </c>
      <c r="E644">
        <v>15</v>
      </c>
      <c r="F644" t="s">
        <v>92</v>
      </c>
      <c r="G644">
        <v>-9045.7199999999993</v>
      </c>
      <c r="H644">
        <f>_xlfn.XLOOKUP(tblFinancials[[#This Row],[DateKey]],tblCalendar[DateKey],tblCalendar[FullDate],"")</f>
        <v>45444</v>
      </c>
      <c r="I644">
        <f>_xlfn.XLOOKUP(tblFinancials[[#This Row],[AccountKey]],tblAccounts[AccountKey],tblAccounts[AccountNumber],"")</f>
        <v>6100</v>
      </c>
      <c r="J644" t="str">
        <f>_xlfn.XLOOKUP(tblFinancials[[#This Row],[AccountKey]],tblAccounts[AccountKey],tblAccounts[AccountName],"")</f>
        <v>Salaries Expense</v>
      </c>
      <c r="K644" s="8" t="str">
        <f>_xlfn.XLOOKUP(tblFinancials[[#This Row],[AccountKey]],tblAccounts[AccountKey],tblAccounts[FinancialStatement],"")</f>
        <v>Income Statement</v>
      </c>
      <c r="L644" s="8" t="str">
        <f>_xlfn.XLOOKUP(tblFinancials[[#This Row],[AccountKey]],tblAccounts[AccountKey],tblAccounts[AccountCategory],"")</f>
        <v>Operating Expense</v>
      </c>
      <c r="M644" s="8" t="str">
        <f>_xlfn.XLOOKUP(tblFinancials[[#This Row],[AccountKey]],tblAccounts[AccountKey],tblAccounts[NormalBalance],"")</f>
        <v>Debit</v>
      </c>
      <c r="N644" s="8" t="str">
        <f>_xlfn.XLOOKUP(tblFinancials[[#This Row],[DepartmentKey]],tblDepartments[DepartmentKey],tblDepartments[DepartmentName],"")</f>
        <v>Human Resources</v>
      </c>
      <c r="O644" s="8" t="str">
        <f>_xlfn.XLOOKUP(tblFinancials[[#This Row],[BusinessUnitKey]],tblBusinessUnits[BusinessUnitKey],tblBusinessUnits[BusinessUnitName],"")</f>
        <v xml:space="preserve">Manufacturing </v>
      </c>
      <c r="P644" s="8" t="str">
        <f>_xlfn.XLOOKUP(tblFinancials[[#This Row],[RegionKey]],tblRegions[RegionKey],tblRegions[RegionName],"")</f>
        <v>East</v>
      </c>
    </row>
    <row r="645" spans="1:16">
      <c r="A645">
        <v>20240601</v>
      </c>
      <c r="B645">
        <v>2</v>
      </c>
      <c r="C645">
        <v>3</v>
      </c>
      <c r="D645">
        <v>3</v>
      </c>
      <c r="E645">
        <v>25</v>
      </c>
      <c r="F645" t="s">
        <v>92</v>
      </c>
      <c r="G645">
        <v>-8381.18</v>
      </c>
      <c r="H645">
        <f>_xlfn.XLOOKUP(tblFinancials[[#This Row],[DateKey]],tblCalendar[DateKey],tblCalendar[FullDate],"")</f>
        <v>45444</v>
      </c>
      <c r="I645">
        <f>_xlfn.XLOOKUP(tblFinancials[[#This Row],[AccountKey]],tblAccounts[AccountKey],tblAccounts[AccountNumber],"")</f>
        <v>8200</v>
      </c>
      <c r="J645" t="str">
        <f>_xlfn.XLOOKUP(tblFinancials[[#This Row],[AccountKey]],tblAccounts[AccountKey],tblAccounts[AccountName],"")</f>
        <v>Income Tax Expense</v>
      </c>
      <c r="K645" s="8" t="str">
        <f>_xlfn.XLOOKUP(tblFinancials[[#This Row],[AccountKey]],tblAccounts[AccountKey],tblAccounts[FinancialStatement],"")</f>
        <v>Income Statement</v>
      </c>
      <c r="L645" s="8" t="str">
        <f>_xlfn.XLOOKUP(tblFinancials[[#This Row],[AccountKey]],tblAccounts[AccountKey],tblAccounts[AccountCategory],"")</f>
        <v>Tax Expense</v>
      </c>
      <c r="M645" s="8" t="str">
        <f>_xlfn.XLOOKUP(tblFinancials[[#This Row],[AccountKey]],tblAccounts[AccountKey],tblAccounts[NormalBalance],"")</f>
        <v>Debit</v>
      </c>
      <c r="N645" s="8" t="str">
        <f>_xlfn.XLOOKUP(tblFinancials[[#This Row],[DepartmentKey]],tblDepartments[DepartmentKey],tblDepartments[DepartmentName],"")</f>
        <v>Finance</v>
      </c>
      <c r="O645" s="8" t="str">
        <f>_xlfn.XLOOKUP(tblFinancials[[#This Row],[BusinessUnitKey]],tblBusinessUnits[BusinessUnitKey],tblBusinessUnits[BusinessUnitName],"")</f>
        <v>Retail</v>
      </c>
      <c r="P645" s="8" t="str">
        <f>_xlfn.XLOOKUP(tblFinancials[[#This Row],[RegionKey]],tblRegions[RegionKey],tblRegions[RegionName],"")</f>
        <v>South</v>
      </c>
    </row>
    <row r="646" spans="1:16">
      <c r="A646">
        <v>20240601</v>
      </c>
      <c r="B646">
        <v>7</v>
      </c>
      <c r="C646">
        <v>3</v>
      </c>
      <c r="D646">
        <v>3</v>
      </c>
      <c r="E646">
        <v>23</v>
      </c>
      <c r="F646" t="s">
        <v>92</v>
      </c>
      <c r="G646">
        <v>-7789.3</v>
      </c>
      <c r="H646">
        <f>_xlfn.XLOOKUP(tblFinancials[[#This Row],[DateKey]],tblCalendar[DateKey],tblCalendar[FullDate],"")</f>
        <v>45444</v>
      </c>
      <c r="I646">
        <f>_xlfn.XLOOKUP(tblFinancials[[#This Row],[AccountKey]],tblAccounts[AccountKey],tblAccounts[AccountNumber],"")</f>
        <v>6800</v>
      </c>
      <c r="J646" t="str">
        <f>_xlfn.XLOOKUP(tblFinancials[[#This Row],[AccountKey]],tblAccounts[AccountKey],tblAccounts[AccountName],"")</f>
        <v>Travel Expense</v>
      </c>
      <c r="K646" s="8" t="str">
        <f>_xlfn.XLOOKUP(tblFinancials[[#This Row],[AccountKey]],tblAccounts[AccountKey],tblAccounts[FinancialStatement],"")</f>
        <v>Income Statement</v>
      </c>
      <c r="L646" s="8" t="str">
        <f>_xlfn.XLOOKUP(tblFinancials[[#This Row],[AccountKey]],tblAccounts[AccountKey],tblAccounts[AccountCategory],"")</f>
        <v>Operating Expense</v>
      </c>
      <c r="M646" s="8" t="str">
        <f>_xlfn.XLOOKUP(tblFinancials[[#This Row],[AccountKey]],tblAccounts[AccountKey],tblAccounts[NormalBalance],"")</f>
        <v>Debit</v>
      </c>
      <c r="N646" s="8" t="str">
        <f>_xlfn.XLOOKUP(tblFinancials[[#This Row],[DepartmentKey]],tblDepartments[DepartmentKey],tblDepartments[DepartmentName],"")</f>
        <v>Information Technology</v>
      </c>
      <c r="O646" s="8" t="str">
        <f>_xlfn.XLOOKUP(tblFinancials[[#This Row],[BusinessUnitKey]],tblBusinessUnits[BusinessUnitKey],tblBusinessUnits[BusinessUnitName],"")</f>
        <v>Retail</v>
      </c>
      <c r="P646" s="8" t="str">
        <f>_xlfn.XLOOKUP(tblFinancials[[#This Row],[RegionKey]],tblRegions[RegionKey],tblRegions[RegionName],"")</f>
        <v>South</v>
      </c>
    </row>
    <row r="647" spans="1:16">
      <c r="A647">
        <v>20240601</v>
      </c>
      <c r="B647">
        <v>3</v>
      </c>
      <c r="C647">
        <v>3</v>
      </c>
      <c r="D647">
        <v>1</v>
      </c>
      <c r="E647">
        <v>20</v>
      </c>
      <c r="F647" t="s">
        <v>92</v>
      </c>
      <c r="G647">
        <v>-8870.2999999999993</v>
      </c>
      <c r="H647">
        <f>_xlfn.XLOOKUP(tblFinancials[[#This Row],[DateKey]],tblCalendar[DateKey],tblCalendar[FullDate],"")</f>
        <v>45444</v>
      </c>
      <c r="I647">
        <f>_xlfn.XLOOKUP(tblFinancials[[#This Row],[AccountKey]],tblAccounts[AccountKey],tblAccounts[AccountNumber],"")</f>
        <v>6500</v>
      </c>
      <c r="J647" t="str">
        <f>_xlfn.XLOOKUP(tblFinancials[[#This Row],[AccountKey]],tblAccounts[AccountKey],tblAccounts[AccountName],"")</f>
        <v>Rent Expense</v>
      </c>
      <c r="K647" s="8" t="str">
        <f>_xlfn.XLOOKUP(tblFinancials[[#This Row],[AccountKey]],tblAccounts[AccountKey],tblAccounts[FinancialStatement],"")</f>
        <v>Income Statement</v>
      </c>
      <c r="L647" s="8" t="str">
        <f>_xlfn.XLOOKUP(tblFinancials[[#This Row],[AccountKey]],tblAccounts[AccountKey],tblAccounts[AccountCategory],"")</f>
        <v>Operating Expense</v>
      </c>
      <c r="M647" s="8" t="str">
        <f>_xlfn.XLOOKUP(tblFinancials[[#This Row],[AccountKey]],tblAccounts[AccountKey],tblAccounts[NormalBalance],"")</f>
        <v>Debit</v>
      </c>
      <c r="N647" s="8" t="str">
        <f>_xlfn.XLOOKUP(tblFinancials[[#This Row],[DepartmentKey]],tblDepartments[DepartmentKey],tblDepartments[DepartmentName],"")</f>
        <v>Human Resources</v>
      </c>
      <c r="O647" s="8" t="str">
        <f>_xlfn.XLOOKUP(tblFinancials[[#This Row],[BusinessUnitKey]],tblBusinessUnits[BusinessUnitKey],tblBusinessUnits[BusinessUnitName],"")</f>
        <v>Retail</v>
      </c>
      <c r="P647" s="8" t="str">
        <f>_xlfn.XLOOKUP(tblFinancials[[#This Row],[RegionKey]],tblRegions[RegionKey],tblRegions[RegionName],"")</f>
        <v>West</v>
      </c>
    </row>
    <row r="648" spans="1:16">
      <c r="A648">
        <v>20240601</v>
      </c>
      <c r="B648">
        <v>6</v>
      </c>
      <c r="C648">
        <v>1</v>
      </c>
      <c r="D648">
        <v>2</v>
      </c>
      <c r="E648">
        <v>18</v>
      </c>
      <c r="F648" t="s">
        <v>92</v>
      </c>
      <c r="G648">
        <v>-8061.82</v>
      </c>
      <c r="H648">
        <f>_xlfn.XLOOKUP(tblFinancials[[#This Row],[DateKey]],tblCalendar[DateKey],tblCalendar[FullDate],"")</f>
        <v>45444</v>
      </c>
      <c r="I648">
        <f>_xlfn.XLOOKUP(tblFinancials[[#This Row],[AccountKey]],tblAccounts[AccountKey],tblAccounts[AccountNumber],"")</f>
        <v>6200</v>
      </c>
      <c r="J648" t="str">
        <f>_xlfn.XLOOKUP(tblFinancials[[#This Row],[AccountKey]],tblAccounts[AccountKey],tblAccounts[AccountName],"")</f>
        <v>Marketing Expense</v>
      </c>
      <c r="K648" s="8" t="str">
        <f>_xlfn.XLOOKUP(tblFinancials[[#This Row],[AccountKey]],tblAccounts[AccountKey],tblAccounts[FinancialStatement],"")</f>
        <v>Income Statement</v>
      </c>
      <c r="L648" s="8" t="str">
        <f>_xlfn.XLOOKUP(tblFinancials[[#This Row],[AccountKey]],tblAccounts[AccountKey],tblAccounts[AccountCategory],"")</f>
        <v>Operating Expense</v>
      </c>
      <c r="M648" s="8" t="str">
        <f>_xlfn.XLOOKUP(tblFinancials[[#This Row],[AccountKey]],tblAccounts[AccountKey],tblAccounts[NormalBalance],"")</f>
        <v>Debit</v>
      </c>
      <c r="N648" s="8" t="str">
        <f>_xlfn.XLOOKUP(tblFinancials[[#This Row],[DepartmentKey]],tblDepartments[DepartmentKey],tblDepartments[DepartmentName],"")</f>
        <v>Operations</v>
      </c>
      <c r="O648" s="8" t="str">
        <f>_xlfn.XLOOKUP(tblFinancials[[#This Row],[BusinessUnitKey]],tblBusinessUnits[BusinessUnitKey],tblBusinessUnits[BusinessUnitName],"")</f>
        <v xml:space="preserve">Manufacturing </v>
      </c>
      <c r="P648" s="8" t="str">
        <f>_xlfn.XLOOKUP(tblFinancials[[#This Row],[RegionKey]],tblRegions[RegionKey],tblRegions[RegionName],"")</f>
        <v>Midwest</v>
      </c>
    </row>
    <row r="649" spans="1:16">
      <c r="A649">
        <v>20240601</v>
      </c>
      <c r="B649">
        <v>7</v>
      </c>
      <c r="C649">
        <v>4</v>
      </c>
      <c r="D649">
        <v>1</v>
      </c>
      <c r="E649">
        <v>15</v>
      </c>
      <c r="F649" t="s">
        <v>92</v>
      </c>
      <c r="G649">
        <v>-4839.26</v>
      </c>
      <c r="H649">
        <f>_xlfn.XLOOKUP(tblFinancials[[#This Row],[DateKey]],tblCalendar[DateKey],tblCalendar[FullDate],"")</f>
        <v>45444</v>
      </c>
      <c r="I649">
        <f>_xlfn.XLOOKUP(tblFinancials[[#This Row],[AccountKey]],tblAccounts[AccountKey],tblAccounts[AccountNumber],"")</f>
        <v>6100</v>
      </c>
      <c r="J649" t="str">
        <f>_xlfn.XLOOKUP(tblFinancials[[#This Row],[AccountKey]],tblAccounts[AccountKey],tblAccounts[AccountName],"")</f>
        <v>Salaries Expense</v>
      </c>
      <c r="K649" s="8" t="str">
        <f>_xlfn.XLOOKUP(tblFinancials[[#This Row],[AccountKey]],tblAccounts[AccountKey],tblAccounts[FinancialStatement],"")</f>
        <v>Income Statement</v>
      </c>
      <c r="L649" s="8" t="str">
        <f>_xlfn.XLOOKUP(tblFinancials[[#This Row],[AccountKey]],tblAccounts[AccountKey],tblAccounts[AccountCategory],"")</f>
        <v>Operating Expense</v>
      </c>
      <c r="M649" s="8" t="str">
        <f>_xlfn.XLOOKUP(tblFinancials[[#This Row],[AccountKey]],tblAccounts[AccountKey],tblAccounts[NormalBalance],"")</f>
        <v>Debit</v>
      </c>
      <c r="N649" s="8" t="str">
        <f>_xlfn.XLOOKUP(tblFinancials[[#This Row],[DepartmentKey]],tblDepartments[DepartmentKey],tblDepartments[DepartmentName],"")</f>
        <v>Information Technology</v>
      </c>
      <c r="O649" s="8" t="str">
        <f>_xlfn.XLOOKUP(tblFinancials[[#This Row],[BusinessUnitKey]],tblBusinessUnits[BusinessUnitKey],tblBusinessUnits[BusinessUnitName],"")</f>
        <v>E-Commerce</v>
      </c>
      <c r="P649" s="8" t="str">
        <f>_xlfn.XLOOKUP(tblFinancials[[#This Row],[RegionKey]],tblRegions[RegionKey],tblRegions[RegionName],"")</f>
        <v>West</v>
      </c>
    </row>
    <row r="650" spans="1:16">
      <c r="A650">
        <v>20240701</v>
      </c>
      <c r="B650">
        <v>2</v>
      </c>
      <c r="C650">
        <v>3</v>
      </c>
      <c r="D650">
        <v>4</v>
      </c>
      <c r="E650">
        <v>11</v>
      </c>
      <c r="F650" t="s">
        <v>92</v>
      </c>
      <c r="G650">
        <v>33381.9</v>
      </c>
      <c r="H650">
        <f>_xlfn.XLOOKUP(tblFinancials[[#This Row],[DateKey]],tblCalendar[DateKey],tblCalendar[FullDate],"")</f>
        <v>45474</v>
      </c>
      <c r="I650">
        <f>_xlfn.XLOOKUP(tblFinancials[[#This Row],[AccountKey]],tblAccounts[AccountKey],tblAccounts[AccountNumber],"")</f>
        <v>4000</v>
      </c>
      <c r="J650" t="str">
        <f>_xlfn.XLOOKUP(tblFinancials[[#This Row],[AccountKey]],tblAccounts[AccountKey],tblAccounts[AccountName],"")</f>
        <v>Product Revenue</v>
      </c>
      <c r="K650" s="8" t="str">
        <f>_xlfn.XLOOKUP(tblFinancials[[#This Row],[AccountKey]],tblAccounts[AccountKey],tblAccounts[FinancialStatement],"")</f>
        <v>Income Statement</v>
      </c>
      <c r="L650" s="8" t="str">
        <f>_xlfn.XLOOKUP(tblFinancials[[#This Row],[AccountKey]],tblAccounts[AccountKey],tblAccounts[AccountCategory],"")</f>
        <v>Revenue</v>
      </c>
      <c r="M650" s="8" t="str">
        <f>_xlfn.XLOOKUP(tblFinancials[[#This Row],[AccountKey]],tblAccounts[AccountKey],tblAccounts[NormalBalance],"")</f>
        <v>Credit</v>
      </c>
      <c r="N650" s="8" t="str">
        <f>_xlfn.XLOOKUP(tblFinancials[[#This Row],[DepartmentKey]],tblDepartments[DepartmentKey],tblDepartments[DepartmentName],"")</f>
        <v>Finance</v>
      </c>
      <c r="O650" s="8" t="str">
        <f>_xlfn.XLOOKUP(tblFinancials[[#This Row],[BusinessUnitKey]],tblBusinessUnits[BusinessUnitKey],tblBusinessUnits[BusinessUnitName],"")</f>
        <v>Retail</v>
      </c>
      <c r="P650" s="8" t="str">
        <f>_xlfn.XLOOKUP(tblFinancials[[#This Row],[RegionKey]],tblRegions[RegionKey],tblRegions[RegionName],"")</f>
        <v>East</v>
      </c>
    </row>
    <row r="651" spans="1:16">
      <c r="A651">
        <v>20240701</v>
      </c>
      <c r="B651">
        <v>4</v>
      </c>
      <c r="C651">
        <v>2</v>
      </c>
      <c r="D651">
        <v>1</v>
      </c>
      <c r="E651">
        <v>12</v>
      </c>
      <c r="F651" t="s">
        <v>92</v>
      </c>
      <c r="G651">
        <v>32857.910000000003</v>
      </c>
      <c r="H651">
        <f>_xlfn.XLOOKUP(tblFinancials[[#This Row],[DateKey]],tblCalendar[DateKey],tblCalendar[FullDate],"")</f>
        <v>45474</v>
      </c>
      <c r="I651">
        <f>_xlfn.XLOOKUP(tblFinancials[[#This Row],[AccountKey]],tblAccounts[AccountKey],tblAccounts[AccountNumber],"")</f>
        <v>4010</v>
      </c>
      <c r="J651" t="str">
        <f>_xlfn.XLOOKUP(tblFinancials[[#This Row],[AccountKey]],tblAccounts[AccountKey],tblAccounts[AccountName],"")</f>
        <v>Service Revenue</v>
      </c>
      <c r="K651" s="8" t="str">
        <f>_xlfn.XLOOKUP(tblFinancials[[#This Row],[AccountKey]],tblAccounts[AccountKey],tblAccounts[FinancialStatement],"")</f>
        <v>Income Statement</v>
      </c>
      <c r="L651" s="8" t="str">
        <f>_xlfn.XLOOKUP(tblFinancials[[#This Row],[AccountKey]],tblAccounts[AccountKey],tblAccounts[AccountCategory],"")</f>
        <v>Revenue</v>
      </c>
      <c r="M651" s="8" t="str">
        <f>_xlfn.XLOOKUP(tblFinancials[[#This Row],[AccountKey]],tblAccounts[AccountKey],tblAccounts[NormalBalance],"")</f>
        <v>Credit</v>
      </c>
      <c r="N651" s="8" t="str">
        <f>_xlfn.XLOOKUP(tblFinancials[[#This Row],[DepartmentKey]],tblDepartments[DepartmentKey],tblDepartments[DepartmentName],"")</f>
        <v>Sales</v>
      </c>
      <c r="O651" s="8" t="str">
        <f>_xlfn.XLOOKUP(tblFinancials[[#This Row],[BusinessUnitKey]],tblBusinessUnits[BusinessUnitKey],tblBusinessUnits[BusinessUnitName],"")</f>
        <v>Wholesale</v>
      </c>
      <c r="P651" s="8" t="str">
        <f>_xlfn.XLOOKUP(tblFinancials[[#This Row],[RegionKey]],tblRegions[RegionKey],tblRegions[RegionName],"")</f>
        <v>West</v>
      </c>
    </row>
    <row r="652" spans="1:16">
      <c r="A652">
        <v>20240701</v>
      </c>
      <c r="B652">
        <v>7</v>
      </c>
      <c r="C652">
        <v>4</v>
      </c>
      <c r="D652">
        <v>4</v>
      </c>
      <c r="E652">
        <v>13</v>
      </c>
      <c r="F652" t="s">
        <v>92</v>
      </c>
      <c r="G652">
        <v>34323.56</v>
      </c>
      <c r="H652">
        <f>_xlfn.XLOOKUP(tblFinancials[[#This Row],[DateKey]],tblCalendar[DateKey],tblCalendar[FullDate],"")</f>
        <v>45474</v>
      </c>
      <c r="I652">
        <f>_xlfn.XLOOKUP(tblFinancials[[#This Row],[AccountKey]],tblAccounts[AccountKey],tblAccounts[AccountNumber],"")</f>
        <v>4020</v>
      </c>
      <c r="J652" t="str">
        <f>_xlfn.XLOOKUP(tblFinancials[[#This Row],[AccountKey]],tblAccounts[AccountKey],tblAccounts[AccountName],"")</f>
        <v>Online Revenue</v>
      </c>
      <c r="K652" s="8" t="str">
        <f>_xlfn.XLOOKUP(tblFinancials[[#This Row],[AccountKey]],tblAccounts[AccountKey],tblAccounts[FinancialStatement],"")</f>
        <v>Income Statement</v>
      </c>
      <c r="L652" s="8" t="str">
        <f>_xlfn.XLOOKUP(tblFinancials[[#This Row],[AccountKey]],tblAccounts[AccountKey],tblAccounts[AccountCategory],"")</f>
        <v>Revenue</v>
      </c>
      <c r="M652" s="8" t="str">
        <f>_xlfn.XLOOKUP(tblFinancials[[#This Row],[AccountKey]],tblAccounts[AccountKey],tblAccounts[NormalBalance],"")</f>
        <v>Credit</v>
      </c>
      <c r="N652" s="8" t="str">
        <f>_xlfn.XLOOKUP(tblFinancials[[#This Row],[DepartmentKey]],tblDepartments[DepartmentKey],tblDepartments[DepartmentName],"")</f>
        <v>Information Technology</v>
      </c>
      <c r="O652" s="8" t="str">
        <f>_xlfn.XLOOKUP(tblFinancials[[#This Row],[BusinessUnitKey]],tblBusinessUnits[BusinessUnitKey],tblBusinessUnits[BusinessUnitName],"")</f>
        <v>E-Commerce</v>
      </c>
      <c r="P652" s="8" t="str">
        <f>_xlfn.XLOOKUP(tblFinancials[[#This Row],[RegionKey]],tblRegions[RegionKey],tblRegions[RegionName],"")</f>
        <v>East</v>
      </c>
    </row>
    <row r="653" spans="1:16">
      <c r="A653">
        <v>20240701</v>
      </c>
      <c r="B653">
        <v>1</v>
      </c>
      <c r="C653">
        <v>2</v>
      </c>
      <c r="D653">
        <v>4</v>
      </c>
      <c r="E653">
        <v>13</v>
      </c>
      <c r="F653" t="s">
        <v>92</v>
      </c>
      <c r="G653">
        <v>32670.83</v>
      </c>
      <c r="H653">
        <f>_xlfn.XLOOKUP(tblFinancials[[#This Row],[DateKey]],tblCalendar[DateKey],tblCalendar[FullDate],"")</f>
        <v>45474</v>
      </c>
      <c r="I653">
        <f>_xlfn.XLOOKUP(tblFinancials[[#This Row],[AccountKey]],tblAccounts[AccountKey],tblAccounts[AccountNumber],"")</f>
        <v>4020</v>
      </c>
      <c r="J653" t="str">
        <f>_xlfn.XLOOKUP(tblFinancials[[#This Row],[AccountKey]],tblAccounts[AccountKey],tblAccounts[AccountName],"")</f>
        <v>Online Revenue</v>
      </c>
      <c r="K653" s="8" t="str">
        <f>_xlfn.XLOOKUP(tblFinancials[[#This Row],[AccountKey]],tblAccounts[AccountKey],tblAccounts[FinancialStatement],"")</f>
        <v>Income Statement</v>
      </c>
      <c r="L653" s="8" t="str">
        <f>_xlfn.XLOOKUP(tblFinancials[[#This Row],[AccountKey]],tblAccounts[AccountKey],tblAccounts[AccountCategory],"")</f>
        <v>Revenue</v>
      </c>
      <c r="M653" s="8" t="str">
        <f>_xlfn.XLOOKUP(tblFinancials[[#This Row],[AccountKey]],tblAccounts[AccountKey],tblAccounts[NormalBalance],"")</f>
        <v>Credit</v>
      </c>
      <c r="N653" s="8" t="str">
        <f>_xlfn.XLOOKUP(tblFinancials[[#This Row],[DepartmentKey]],tblDepartments[DepartmentKey],tblDepartments[DepartmentName],"")</f>
        <v>Executive</v>
      </c>
      <c r="O653" s="8" t="str">
        <f>_xlfn.XLOOKUP(tblFinancials[[#This Row],[BusinessUnitKey]],tblBusinessUnits[BusinessUnitKey],tblBusinessUnits[BusinessUnitName],"")</f>
        <v>Wholesale</v>
      </c>
      <c r="P653" s="8" t="str">
        <f>_xlfn.XLOOKUP(tblFinancials[[#This Row],[RegionKey]],tblRegions[RegionKey],tblRegions[RegionName],"")</f>
        <v>East</v>
      </c>
    </row>
    <row r="654" spans="1:16">
      <c r="A654">
        <v>20240701</v>
      </c>
      <c r="B654">
        <v>4</v>
      </c>
      <c r="C654">
        <v>4</v>
      </c>
      <c r="D654">
        <v>1</v>
      </c>
      <c r="E654">
        <v>11</v>
      </c>
      <c r="F654" t="s">
        <v>92</v>
      </c>
      <c r="G654">
        <v>34089.85</v>
      </c>
      <c r="H654">
        <f>_xlfn.XLOOKUP(tblFinancials[[#This Row],[DateKey]],tblCalendar[DateKey],tblCalendar[FullDate],"")</f>
        <v>45474</v>
      </c>
      <c r="I654">
        <f>_xlfn.XLOOKUP(tblFinancials[[#This Row],[AccountKey]],tblAccounts[AccountKey],tblAccounts[AccountNumber],"")</f>
        <v>4000</v>
      </c>
      <c r="J654" t="str">
        <f>_xlfn.XLOOKUP(tblFinancials[[#This Row],[AccountKey]],tblAccounts[AccountKey],tblAccounts[AccountName],"")</f>
        <v>Product Revenue</v>
      </c>
      <c r="K654" s="8" t="str">
        <f>_xlfn.XLOOKUP(tblFinancials[[#This Row],[AccountKey]],tblAccounts[AccountKey],tblAccounts[FinancialStatement],"")</f>
        <v>Income Statement</v>
      </c>
      <c r="L654" s="8" t="str">
        <f>_xlfn.XLOOKUP(tblFinancials[[#This Row],[AccountKey]],tblAccounts[AccountKey],tblAccounts[AccountCategory],"")</f>
        <v>Revenue</v>
      </c>
      <c r="M654" s="8" t="str">
        <f>_xlfn.XLOOKUP(tblFinancials[[#This Row],[AccountKey]],tblAccounts[AccountKey],tblAccounts[NormalBalance],"")</f>
        <v>Credit</v>
      </c>
      <c r="N654" s="8" t="str">
        <f>_xlfn.XLOOKUP(tblFinancials[[#This Row],[DepartmentKey]],tblDepartments[DepartmentKey],tblDepartments[DepartmentName],"")</f>
        <v>Sales</v>
      </c>
      <c r="O654" s="8" t="str">
        <f>_xlfn.XLOOKUP(tblFinancials[[#This Row],[BusinessUnitKey]],tblBusinessUnits[BusinessUnitKey],tblBusinessUnits[BusinessUnitName],"")</f>
        <v>E-Commerce</v>
      </c>
      <c r="P654" s="8" t="str">
        <f>_xlfn.XLOOKUP(tblFinancials[[#This Row],[RegionKey]],tblRegions[RegionKey],tblRegions[RegionName],"")</f>
        <v>West</v>
      </c>
    </row>
    <row r="655" spans="1:16">
      <c r="A655">
        <v>20240701</v>
      </c>
      <c r="B655">
        <v>3</v>
      </c>
      <c r="C655">
        <v>2</v>
      </c>
      <c r="D655">
        <v>1</v>
      </c>
      <c r="E655">
        <v>13</v>
      </c>
      <c r="F655" t="s">
        <v>92</v>
      </c>
      <c r="G655">
        <v>33668.33</v>
      </c>
      <c r="H655">
        <f>_xlfn.XLOOKUP(tblFinancials[[#This Row],[DateKey]],tblCalendar[DateKey],tblCalendar[FullDate],"")</f>
        <v>45474</v>
      </c>
      <c r="I655">
        <f>_xlfn.XLOOKUP(tblFinancials[[#This Row],[AccountKey]],tblAccounts[AccountKey],tblAccounts[AccountNumber],"")</f>
        <v>4020</v>
      </c>
      <c r="J655" t="str">
        <f>_xlfn.XLOOKUP(tblFinancials[[#This Row],[AccountKey]],tblAccounts[AccountKey],tblAccounts[AccountName],"")</f>
        <v>Online Revenue</v>
      </c>
      <c r="K655" s="8" t="str">
        <f>_xlfn.XLOOKUP(tblFinancials[[#This Row],[AccountKey]],tblAccounts[AccountKey],tblAccounts[FinancialStatement],"")</f>
        <v>Income Statement</v>
      </c>
      <c r="L655" s="8" t="str">
        <f>_xlfn.XLOOKUP(tblFinancials[[#This Row],[AccountKey]],tblAccounts[AccountKey],tblAccounts[AccountCategory],"")</f>
        <v>Revenue</v>
      </c>
      <c r="M655" s="8" t="str">
        <f>_xlfn.XLOOKUP(tblFinancials[[#This Row],[AccountKey]],tblAccounts[AccountKey],tblAccounts[NormalBalance],"")</f>
        <v>Credit</v>
      </c>
      <c r="N655" s="8" t="str">
        <f>_xlfn.XLOOKUP(tblFinancials[[#This Row],[DepartmentKey]],tblDepartments[DepartmentKey],tblDepartments[DepartmentName],"")</f>
        <v>Human Resources</v>
      </c>
      <c r="O655" s="8" t="str">
        <f>_xlfn.XLOOKUP(tblFinancials[[#This Row],[BusinessUnitKey]],tblBusinessUnits[BusinessUnitKey],tblBusinessUnits[BusinessUnitName],"")</f>
        <v>Wholesale</v>
      </c>
      <c r="P655" s="8" t="str">
        <f>_xlfn.XLOOKUP(tblFinancials[[#This Row],[RegionKey]],tblRegions[RegionKey],tblRegions[RegionName],"")</f>
        <v>West</v>
      </c>
    </row>
    <row r="656" spans="1:16">
      <c r="A656">
        <v>20240701</v>
      </c>
      <c r="B656">
        <v>5</v>
      </c>
      <c r="C656">
        <v>1</v>
      </c>
      <c r="D656">
        <v>4</v>
      </c>
      <c r="E656">
        <v>13</v>
      </c>
      <c r="F656" t="s">
        <v>92</v>
      </c>
      <c r="G656">
        <v>33296.99</v>
      </c>
      <c r="H656">
        <f>_xlfn.XLOOKUP(tblFinancials[[#This Row],[DateKey]],tblCalendar[DateKey],tblCalendar[FullDate],"")</f>
        <v>45474</v>
      </c>
      <c r="I656">
        <f>_xlfn.XLOOKUP(tblFinancials[[#This Row],[AccountKey]],tblAccounts[AccountKey],tblAccounts[AccountNumber],"")</f>
        <v>4020</v>
      </c>
      <c r="J656" t="str">
        <f>_xlfn.XLOOKUP(tblFinancials[[#This Row],[AccountKey]],tblAccounts[AccountKey],tblAccounts[AccountName],"")</f>
        <v>Online Revenue</v>
      </c>
      <c r="K656" s="8" t="str">
        <f>_xlfn.XLOOKUP(tblFinancials[[#This Row],[AccountKey]],tblAccounts[AccountKey],tblAccounts[FinancialStatement],"")</f>
        <v>Income Statement</v>
      </c>
      <c r="L656" s="8" t="str">
        <f>_xlfn.XLOOKUP(tblFinancials[[#This Row],[AccountKey]],tblAccounts[AccountKey],tblAccounts[AccountCategory],"")</f>
        <v>Revenue</v>
      </c>
      <c r="M656" s="8" t="str">
        <f>_xlfn.XLOOKUP(tblFinancials[[#This Row],[AccountKey]],tblAccounts[AccountKey],tblAccounts[NormalBalance],"")</f>
        <v>Credit</v>
      </c>
      <c r="N656" s="8" t="str">
        <f>_xlfn.XLOOKUP(tblFinancials[[#This Row],[DepartmentKey]],tblDepartments[DepartmentKey],tblDepartments[DepartmentName],"")</f>
        <v>Marketing</v>
      </c>
      <c r="O656" s="8" t="str">
        <f>_xlfn.XLOOKUP(tblFinancials[[#This Row],[BusinessUnitKey]],tblBusinessUnits[BusinessUnitKey],tblBusinessUnits[BusinessUnitName],"")</f>
        <v xml:space="preserve">Manufacturing </v>
      </c>
      <c r="P656" s="8" t="str">
        <f>_xlfn.XLOOKUP(tblFinancials[[#This Row],[RegionKey]],tblRegions[RegionKey],tblRegions[RegionName],"")</f>
        <v>East</v>
      </c>
    </row>
    <row r="657" spans="1:16">
      <c r="A657">
        <v>20240701</v>
      </c>
      <c r="B657">
        <v>6</v>
      </c>
      <c r="C657">
        <v>2</v>
      </c>
      <c r="D657">
        <v>2</v>
      </c>
      <c r="E657">
        <v>12</v>
      </c>
      <c r="F657" t="s">
        <v>92</v>
      </c>
      <c r="G657">
        <v>34356.370000000003</v>
      </c>
      <c r="H657">
        <f>_xlfn.XLOOKUP(tblFinancials[[#This Row],[DateKey]],tblCalendar[DateKey],tblCalendar[FullDate],"")</f>
        <v>45474</v>
      </c>
      <c r="I657">
        <f>_xlfn.XLOOKUP(tblFinancials[[#This Row],[AccountKey]],tblAccounts[AccountKey],tblAccounts[AccountNumber],"")</f>
        <v>4010</v>
      </c>
      <c r="J657" t="str">
        <f>_xlfn.XLOOKUP(tblFinancials[[#This Row],[AccountKey]],tblAccounts[AccountKey],tblAccounts[AccountName],"")</f>
        <v>Service Revenue</v>
      </c>
      <c r="K657" s="8" t="str">
        <f>_xlfn.XLOOKUP(tblFinancials[[#This Row],[AccountKey]],tblAccounts[AccountKey],tblAccounts[FinancialStatement],"")</f>
        <v>Income Statement</v>
      </c>
      <c r="L657" s="8" t="str">
        <f>_xlfn.XLOOKUP(tblFinancials[[#This Row],[AccountKey]],tblAccounts[AccountKey],tblAccounts[AccountCategory],"")</f>
        <v>Revenue</v>
      </c>
      <c r="M657" s="8" t="str">
        <f>_xlfn.XLOOKUP(tblFinancials[[#This Row],[AccountKey]],tblAccounts[AccountKey],tblAccounts[NormalBalance],"")</f>
        <v>Credit</v>
      </c>
      <c r="N657" s="8" t="str">
        <f>_xlfn.XLOOKUP(tblFinancials[[#This Row],[DepartmentKey]],tblDepartments[DepartmentKey],tblDepartments[DepartmentName],"")</f>
        <v>Operations</v>
      </c>
      <c r="O657" s="8" t="str">
        <f>_xlfn.XLOOKUP(tblFinancials[[#This Row],[BusinessUnitKey]],tblBusinessUnits[BusinessUnitKey],tblBusinessUnits[BusinessUnitName],"")</f>
        <v>Wholesale</v>
      </c>
      <c r="P657" s="8" t="str">
        <f>_xlfn.XLOOKUP(tblFinancials[[#This Row],[RegionKey]],tblRegions[RegionKey],tblRegions[RegionName],"")</f>
        <v>Midwest</v>
      </c>
    </row>
    <row r="658" spans="1:16">
      <c r="A658">
        <v>20240701</v>
      </c>
      <c r="B658">
        <v>2</v>
      </c>
      <c r="C658">
        <v>4</v>
      </c>
      <c r="D658">
        <v>2</v>
      </c>
      <c r="E658">
        <v>11</v>
      </c>
      <c r="F658" t="s">
        <v>92</v>
      </c>
      <c r="G658">
        <v>33156.9</v>
      </c>
      <c r="H658">
        <f>_xlfn.XLOOKUP(tblFinancials[[#This Row],[DateKey]],tblCalendar[DateKey],tblCalendar[FullDate],"")</f>
        <v>45474</v>
      </c>
      <c r="I658">
        <f>_xlfn.XLOOKUP(tblFinancials[[#This Row],[AccountKey]],tblAccounts[AccountKey],tblAccounts[AccountNumber],"")</f>
        <v>4000</v>
      </c>
      <c r="J658" t="str">
        <f>_xlfn.XLOOKUP(tblFinancials[[#This Row],[AccountKey]],tblAccounts[AccountKey],tblAccounts[AccountName],"")</f>
        <v>Product Revenue</v>
      </c>
      <c r="K658" s="8" t="str">
        <f>_xlfn.XLOOKUP(tblFinancials[[#This Row],[AccountKey]],tblAccounts[AccountKey],tblAccounts[FinancialStatement],"")</f>
        <v>Income Statement</v>
      </c>
      <c r="L658" s="8" t="str">
        <f>_xlfn.XLOOKUP(tblFinancials[[#This Row],[AccountKey]],tblAccounts[AccountKey],tblAccounts[AccountCategory],"")</f>
        <v>Revenue</v>
      </c>
      <c r="M658" s="8" t="str">
        <f>_xlfn.XLOOKUP(tblFinancials[[#This Row],[AccountKey]],tblAccounts[AccountKey],tblAccounts[NormalBalance],"")</f>
        <v>Credit</v>
      </c>
      <c r="N658" s="8" t="str">
        <f>_xlfn.XLOOKUP(tblFinancials[[#This Row],[DepartmentKey]],tblDepartments[DepartmentKey],tblDepartments[DepartmentName],"")</f>
        <v>Finance</v>
      </c>
      <c r="O658" s="8" t="str">
        <f>_xlfn.XLOOKUP(tblFinancials[[#This Row],[BusinessUnitKey]],tblBusinessUnits[BusinessUnitKey],tblBusinessUnits[BusinessUnitName],"")</f>
        <v>E-Commerce</v>
      </c>
      <c r="P658" s="8" t="str">
        <f>_xlfn.XLOOKUP(tblFinancials[[#This Row],[RegionKey]],tblRegions[RegionKey],tblRegions[RegionName],"")</f>
        <v>Midwest</v>
      </c>
    </row>
    <row r="659" spans="1:16">
      <c r="A659">
        <v>20240701</v>
      </c>
      <c r="B659">
        <v>5</v>
      </c>
      <c r="C659">
        <v>2</v>
      </c>
      <c r="D659">
        <v>4</v>
      </c>
      <c r="E659">
        <v>13</v>
      </c>
      <c r="F659" t="s">
        <v>92</v>
      </c>
      <c r="G659">
        <v>32549.7</v>
      </c>
      <c r="H659">
        <f>_xlfn.XLOOKUP(tblFinancials[[#This Row],[DateKey]],tblCalendar[DateKey],tblCalendar[FullDate],"")</f>
        <v>45474</v>
      </c>
      <c r="I659">
        <f>_xlfn.XLOOKUP(tblFinancials[[#This Row],[AccountKey]],tblAccounts[AccountKey],tblAccounts[AccountNumber],"")</f>
        <v>4020</v>
      </c>
      <c r="J659" t="str">
        <f>_xlfn.XLOOKUP(tblFinancials[[#This Row],[AccountKey]],tblAccounts[AccountKey],tblAccounts[AccountName],"")</f>
        <v>Online Revenue</v>
      </c>
      <c r="K659" s="8" t="str">
        <f>_xlfn.XLOOKUP(tblFinancials[[#This Row],[AccountKey]],tblAccounts[AccountKey],tblAccounts[FinancialStatement],"")</f>
        <v>Income Statement</v>
      </c>
      <c r="L659" s="8" t="str">
        <f>_xlfn.XLOOKUP(tblFinancials[[#This Row],[AccountKey]],tblAccounts[AccountKey],tblAccounts[AccountCategory],"")</f>
        <v>Revenue</v>
      </c>
      <c r="M659" s="8" t="str">
        <f>_xlfn.XLOOKUP(tblFinancials[[#This Row],[AccountKey]],tblAccounts[AccountKey],tblAccounts[NormalBalance],"")</f>
        <v>Credit</v>
      </c>
      <c r="N659" s="8" t="str">
        <f>_xlfn.XLOOKUP(tblFinancials[[#This Row],[DepartmentKey]],tblDepartments[DepartmentKey],tblDepartments[DepartmentName],"")</f>
        <v>Marketing</v>
      </c>
      <c r="O659" s="8" t="str">
        <f>_xlfn.XLOOKUP(tblFinancials[[#This Row],[BusinessUnitKey]],tblBusinessUnits[BusinessUnitKey],tblBusinessUnits[BusinessUnitName],"")</f>
        <v>Wholesale</v>
      </c>
      <c r="P659" s="8" t="str">
        <f>_xlfn.XLOOKUP(tblFinancials[[#This Row],[RegionKey]],tblRegions[RegionKey],tblRegions[RegionName],"")</f>
        <v>East</v>
      </c>
    </row>
    <row r="660" spans="1:16">
      <c r="A660">
        <v>20240701</v>
      </c>
      <c r="B660">
        <v>2</v>
      </c>
      <c r="C660">
        <v>2</v>
      </c>
      <c r="D660">
        <v>3</v>
      </c>
      <c r="E660">
        <v>13</v>
      </c>
      <c r="F660" t="s">
        <v>92</v>
      </c>
      <c r="G660">
        <v>34391.410000000003</v>
      </c>
      <c r="H660">
        <f>_xlfn.XLOOKUP(tblFinancials[[#This Row],[DateKey]],tblCalendar[DateKey],tblCalendar[FullDate],"")</f>
        <v>45474</v>
      </c>
      <c r="I660">
        <f>_xlfn.XLOOKUP(tblFinancials[[#This Row],[AccountKey]],tblAccounts[AccountKey],tblAccounts[AccountNumber],"")</f>
        <v>4020</v>
      </c>
      <c r="J660" t="str">
        <f>_xlfn.XLOOKUP(tblFinancials[[#This Row],[AccountKey]],tblAccounts[AccountKey],tblAccounts[AccountName],"")</f>
        <v>Online Revenue</v>
      </c>
      <c r="K660" s="8" t="str">
        <f>_xlfn.XLOOKUP(tblFinancials[[#This Row],[AccountKey]],tblAccounts[AccountKey],tblAccounts[FinancialStatement],"")</f>
        <v>Income Statement</v>
      </c>
      <c r="L660" s="8" t="str">
        <f>_xlfn.XLOOKUP(tblFinancials[[#This Row],[AccountKey]],tblAccounts[AccountKey],tblAccounts[AccountCategory],"")</f>
        <v>Revenue</v>
      </c>
      <c r="M660" s="8" t="str">
        <f>_xlfn.XLOOKUP(tblFinancials[[#This Row],[AccountKey]],tblAccounts[AccountKey],tblAccounts[NormalBalance],"")</f>
        <v>Credit</v>
      </c>
      <c r="N660" s="8" t="str">
        <f>_xlfn.XLOOKUP(tblFinancials[[#This Row],[DepartmentKey]],tblDepartments[DepartmentKey],tblDepartments[DepartmentName],"")</f>
        <v>Finance</v>
      </c>
      <c r="O660" s="8" t="str">
        <f>_xlfn.XLOOKUP(tblFinancials[[#This Row],[BusinessUnitKey]],tblBusinessUnits[BusinessUnitKey],tblBusinessUnits[BusinessUnitName],"")</f>
        <v>Wholesale</v>
      </c>
      <c r="P660" s="8" t="str">
        <f>_xlfn.XLOOKUP(tblFinancials[[#This Row],[RegionKey]],tblRegions[RegionKey],tblRegions[RegionName],"")</f>
        <v>South</v>
      </c>
    </row>
    <row r="661" spans="1:16">
      <c r="A661">
        <v>20240701</v>
      </c>
      <c r="B661">
        <v>6</v>
      </c>
      <c r="C661">
        <v>3</v>
      </c>
      <c r="D661">
        <v>1</v>
      </c>
      <c r="E661">
        <v>12</v>
      </c>
      <c r="F661" t="s">
        <v>92</v>
      </c>
      <c r="G661">
        <v>34683.97</v>
      </c>
      <c r="H661">
        <f>_xlfn.XLOOKUP(tblFinancials[[#This Row],[DateKey]],tblCalendar[DateKey],tblCalendar[FullDate],"")</f>
        <v>45474</v>
      </c>
      <c r="I661">
        <f>_xlfn.XLOOKUP(tblFinancials[[#This Row],[AccountKey]],tblAccounts[AccountKey],tblAccounts[AccountNumber],"")</f>
        <v>4010</v>
      </c>
      <c r="J661" t="str">
        <f>_xlfn.XLOOKUP(tblFinancials[[#This Row],[AccountKey]],tblAccounts[AccountKey],tblAccounts[AccountName],"")</f>
        <v>Service Revenue</v>
      </c>
      <c r="K661" s="8" t="str">
        <f>_xlfn.XLOOKUP(tblFinancials[[#This Row],[AccountKey]],tblAccounts[AccountKey],tblAccounts[FinancialStatement],"")</f>
        <v>Income Statement</v>
      </c>
      <c r="L661" s="8" t="str">
        <f>_xlfn.XLOOKUP(tblFinancials[[#This Row],[AccountKey]],tblAccounts[AccountKey],tblAccounts[AccountCategory],"")</f>
        <v>Revenue</v>
      </c>
      <c r="M661" s="8" t="str">
        <f>_xlfn.XLOOKUP(tblFinancials[[#This Row],[AccountKey]],tblAccounts[AccountKey],tblAccounts[NormalBalance],"")</f>
        <v>Credit</v>
      </c>
      <c r="N661" s="8" t="str">
        <f>_xlfn.XLOOKUP(tblFinancials[[#This Row],[DepartmentKey]],tblDepartments[DepartmentKey],tblDepartments[DepartmentName],"")</f>
        <v>Operations</v>
      </c>
      <c r="O661" s="8" t="str">
        <f>_xlfn.XLOOKUP(tblFinancials[[#This Row],[BusinessUnitKey]],tblBusinessUnits[BusinessUnitKey],tblBusinessUnits[BusinessUnitName],"")</f>
        <v>Retail</v>
      </c>
      <c r="P661" s="8" t="str">
        <f>_xlfn.XLOOKUP(tblFinancials[[#This Row],[RegionKey]],tblRegions[RegionKey],tblRegions[RegionName],"")</f>
        <v>West</v>
      </c>
    </row>
    <row r="662" spans="1:16">
      <c r="A662">
        <v>20240701</v>
      </c>
      <c r="B662">
        <v>2</v>
      </c>
      <c r="C662">
        <v>4</v>
      </c>
      <c r="D662">
        <v>2</v>
      </c>
      <c r="E662">
        <v>14</v>
      </c>
      <c r="F662" t="s">
        <v>92</v>
      </c>
      <c r="G662">
        <v>-20076</v>
      </c>
      <c r="H662">
        <f>_xlfn.XLOOKUP(tblFinancials[[#This Row],[DateKey]],tblCalendar[DateKey],tblCalendar[FullDate],"")</f>
        <v>45474</v>
      </c>
      <c r="I662">
        <f>_xlfn.XLOOKUP(tblFinancials[[#This Row],[AccountKey]],tblAccounts[AccountKey],tblAccounts[AccountNumber],"")</f>
        <v>5000</v>
      </c>
      <c r="J662" t="str">
        <f>_xlfn.XLOOKUP(tblFinancials[[#This Row],[AccountKey]],tblAccounts[AccountKey],tblAccounts[AccountName],"")</f>
        <v>Cost of Goods Sold</v>
      </c>
      <c r="K662" s="8" t="str">
        <f>_xlfn.XLOOKUP(tblFinancials[[#This Row],[AccountKey]],tblAccounts[AccountKey],tblAccounts[FinancialStatement],"")</f>
        <v>Income Statement</v>
      </c>
      <c r="L662" s="8" t="str">
        <f>_xlfn.XLOOKUP(tblFinancials[[#This Row],[AccountKey]],tblAccounts[AccountKey],tblAccounts[AccountCategory],"")</f>
        <v>Cost of Sales</v>
      </c>
      <c r="M662" s="8" t="str">
        <f>_xlfn.XLOOKUP(tblFinancials[[#This Row],[AccountKey]],tblAccounts[AccountKey],tblAccounts[NormalBalance],"")</f>
        <v>Debit</v>
      </c>
      <c r="N662" s="8" t="str">
        <f>_xlfn.XLOOKUP(tblFinancials[[#This Row],[DepartmentKey]],tblDepartments[DepartmentKey],tblDepartments[DepartmentName],"")</f>
        <v>Finance</v>
      </c>
      <c r="O662" s="8" t="str">
        <f>_xlfn.XLOOKUP(tblFinancials[[#This Row],[BusinessUnitKey]],tblBusinessUnits[BusinessUnitKey],tblBusinessUnits[BusinessUnitName],"")</f>
        <v>E-Commerce</v>
      </c>
      <c r="P662" s="8" t="str">
        <f>_xlfn.XLOOKUP(tblFinancials[[#This Row],[RegionKey]],tblRegions[RegionKey],tblRegions[RegionName],"")</f>
        <v>Midwest</v>
      </c>
    </row>
    <row r="663" spans="1:16">
      <c r="A663">
        <v>20240701</v>
      </c>
      <c r="B663">
        <v>7</v>
      </c>
      <c r="C663">
        <v>1</v>
      </c>
      <c r="D663">
        <v>1</v>
      </c>
      <c r="E663">
        <v>14</v>
      </c>
      <c r="F663" t="s">
        <v>92</v>
      </c>
      <c r="G663">
        <v>-19697.57</v>
      </c>
      <c r="H663">
        <f>_xlfn.XLOOKUP(tblFinancials[[#This Row],[DateKey]],tblCalendar[DateKey],tblCalendar[FullDate],"")</f>
        <v>45474</v>
      </c>
      <c r="I663">
        <f>_xlfn.XLOOKUP(tblFinancials[[#This Row],[AccountKey]],tblAccounts[AccountKey],tblAccounts[AccountNumber],"")</f>
        <v>5000</v>
      </c>
      <c r="J663" t="str">
        <f>_xlfn.XLOOKUP(tblFinancials[[#This Row],[AccountKey]],tblAccounts[AccountKey],tblAccounts[AccountName],"")</f>
        <v>Cost of Goods Sold</v>
      </c>
      <c r="K663" s="8" t="str">
        <f>_xlfn.XLOOKUP(tblFinancials[[#This Row],[AccountKey]],tblAccounts[AccountKey],tblAccounts[FinancialStatement],"")</f>
        <v>Income Statement</v>
      </c>
      <c r="L663" s="8" t="str">
        <f>_xlfn.XLOOKUP(tblFinancials[[#This Row],[AccountKey]],tblAccounts[AccountKey],tblAccounts[AccountCategory],"")</f>
        <v>Cost of Sales</v>
      </c>
      <c r="M663" s="8" t="str">
        <f>_xlfn.XLOOKUP(tblFinancials[[#This Row],[AccountKey]],tblAccounts[AccountKey],tblAccounts[NormalBalance],"")</f>
        <v>Debit</v>
      </c>
      <c r="N663" s="8" t="str">
        <f>_xlfn.XLOOKUP(tblFinancials[[#This Row],[DepartmentKey]],tblDepartments[DepartmentKey],tblDepartments[DepartmentName],"")</f>
        <v>Information Technology</v>
      </c>
      <c r="O663" s="8" t="str">
        <f>_xlfn.XLOOKUP(tblFinancials[[#This Row],[BusinessUnitKey]],tblBusinessUnits[BusinessUnitKey],tblBusinessUnits[BusinessUnitName],"")</f>
        <v xml:space="preserve">Manufacturing </v>
      </c>
      <c r="P663" s="8" t="str">
        <f>_xlfn.XLOOKUP(tblFinancials[[#This Row],[RegionKey]],tblRegions[RegionKey],tblRegions[RegionName],"")</f>
        <v>West</v>
      </c>
    </row>
    <row r="664" spans="1:16">
      <c r="A664">
        <v>20240701</v>
      </c>
      <c r="B664">
        <v>7</v>
      </c>
      <c r="C664">
        <v>3</v>
      </c>
      <c r="D664">
        <v>3</v>
      </c>
      <c r="E664">
        <v>14</v>
      </c>
      <c r="F664" t="s">
        <v>92</v>
      </c>
      <c r="G664">
        <v>-19756.560000000001</v>
      </c>
      <c r="H664">
        <f>_xlfn.XLOOKUP(tblFinancials[[#This Row],[DateKey]],tblCalendar[DateKey],tblCalendar[FullDate],"")</f>
        <v>45474</v>
      </c>
      <c r="I664">
        <f>_xlfn.XLOOKUP(tblFinancials[[#This Row],[AccountKey]],tblAccounts[AccountKey],tblAccounts[AccountNumber],"")</f>
        <v>5000</v>
      </c>
      <c r="J664" t="str">
        <f>_xlfn.XLOOKUP(tblFinancials[[#This Row],[AccountKey]],tblAccounts[AccountKey],tblAccounts[AccountName],"")</f>
        <v>Cost of Goods Sold</v>
      </c>
      <c r="K664" s="8" t="str">
        <f>_xlfn.XLOOKUP(tblFinancials[[#This Row],[AccountKey]],tblAccounts[AccountKey],tblAccounts[FinancialStatement],"")</f>
        <v>Income Statement</v>
      </c>
      <c r="L664" s="8" t="str">
        <f>_xlfn.XLOOKUP(tblFinancials[[#This Row],[AccountKey]],tblAccounts[AccountKey],tblAccounts[AccountCategory],"")</f>
        <v>Cost of Sales</v>
      </c>
      <c r="M664" s="8" t="str">
        <f>_xlfn.XLOOKUP(tblFinancials[[#This Row],[AccountKey]],tblAccounts[AccountKey],tblAccounts[NormalBalance],"")</f>
        <v>Debit</v>
      </c>
      <c r="N664" s="8" t="str">
        <f>_xlfn.XLOOKUP(tblFinancials[[#This Row],[DepartmentKey]],tblDepartments[DepartmentKey],tblDepartments[DepartmentName],"")</f>
        <v>Information Technology</v>
      </c>
      <c r="O664" s="8" t="str">
        <f>_xlfn.XLOOKUP(tblFinancials[[#This Row],[BusinessUnitKey]],tblBusinessUnits[BusinessUnitKey],tblBusinessUnits[BusinessUnitName],"")</f>
        <v>Retail</v>
      </c>
      <c r="P664" s="8" t="str">
        <f>_xlfn.XLOOKUP(tblFinancials[[#This Row],[RegionKey]],tblRegions[RegionKey],tblRegions[RegionName],"")</f>
        <v>South</v>
      </c>
    </row>
    <row r="665" spans="1:16">
      <c r="A665">
        <v>20240701</v>
      </c>
      <c r="B665">
        <v>2</v>
      </c>
      <c r="C665">
        <v>1</v>
      </c>
      <c r="D665">
        <v>2</v>
      </c>
      <c r="E665">
        <v>14</v>
      </c>
      <c r="F665" t="s">
        <v>92</v>
      </c>
      <c r="G665">
        <v>-20512.71</v>
      </c>
      <c r="H665">
        <f>_xlfn.XLOOKUP(tblFinancials[[#This Row],[DateKey]],tblCalendar[DateKey],tblCalendar[FullDate],"")</f>
        <v>45474</v>
      </c>
      <c r="I665">
        <f>_xlfn.XLOOKUP(tblFinancials[[#This Row],[AccountKey]],tblAccounts[AccountKey],tblAccounts[AccountNumber],"")</f>
        <v>5000</v>
      </c>
      <c r="J665" t="str">
        <f>_xlfn.XLOOKUP(tblFinancials[[#This Row],[AccountKey]],tblAccounts[AccountKey],tblAccounts[AccountName],"")</f>
        <v>Cost of Goods Sold</v>
      </c>
      <c r="K665" s="8" t="str">
        <f>_xlfn.XLOOKUP(tblFinancials[[#This Row],[AccountKey]],tblAccounts[AccountKey],tblAccounts[FinancialStatement],"")</f>
        <v>Income Statement</v>
      </c>
      <c r="L665" s="8" t="str">
        <f>_xlfn.XLOOKUP(tblFinancials[[#This Row],[AccountKey]],tblAccounts[AccountKey],tblAccounts[AccountCategory],"")</f>
        <v>Cost of Sales</v>
      </c>
      <c r="M665" s="8" t="str">
        <f>_xlfn.XLOOKUP(tblFinancials[[#This Row],[AccountKey]],tblAccounts[AccountKey],tblAccounts[NormalBalance],"")</f>
        <v>Debit</v>
      </c>
      <c r="N665" s="8" t="str">
        <f>_xlfn.XLOOKUP(tblFinancials[[#This Row],[DepartmentKey]],tblDepartments[DepartmentKey],tblDepartments[DepartmentName],"")</f>
        <v>Finance</v>
      </c>
      <c r="O665" s="8" t="str">
        <f>_xlfn.XLOOKUP(tblFinancials[[#This Row],[BusinessUnitKey]],tblBusinessUnits[BusinessUnitKey],tblBusinessUnits[BusinessUnitName],"")</f>
        <v xml:space="preserve">Manufacturing </v>
      </c>
      <c r="P665" s="8" t="str">
        <f>_xlfn.XLOOKUP(tblFinancials[[#This Row],[RegionKey]],tblRegions[RegionKey],tblRegions[RegionName],"")</f>
        <v>Midwest</v>
      </c>
    </row>
    <row r="666" spans="1:16">
      <c r="A666">
        <v>20240701</v>
      </c>
      <c r="B666">
        <v>2</v>
      </c>
      <c r="C666">
        <v>1</v>
      </c>
      <c r="D666">
        <v>2</v>
      </c>
      <c r="E666">
        <v>14</v>
      </c>
      <c r="F666" t="s">
        <v>92</v>
      </c>
      <c r="G666">
        <v>-20602.939999999999</v>
      </c>
      <c r="H666">
        <f>_xlfn.XLOOKUP(tblFinancials[[#This Row],[DateKey]],tblCalendar[DateKey],tblCalendar[FullDate],"")</f>
        <v>45474</v>
      </c>
      <c r="I666">
        <f>_xlfn.XLOOKUP(tblFinancials[[#This Row],[AccountKey]],tblAccounts[AccountKey],tblAccounts[AccountNumber],"")</f>
        <v>5000</v>
      </c>
      <c r="J666" t="str">
        <f>_xlfn.XLOOKUP(tblFinancials[[#This Row],[AccountKey]],tblAccounts[AccountKey],tblAccounts[AccountName],"")</f>
        <v>Cost of Goods Sold</v>
      </c>
      <c r="K666" s="8" t="str">
        <f>_xlfn.XLOOKUP(tblFinancials[[#This Row],[AccountKey]],tblAccounts[AccountKey],tblAccounts[FinancialStatement],"")</f>
        <v>Income Statement</v>
      </c>
      <c r="L666" s="8" t="str">
        <f>_xlfn.XLOOKUP(tblFinancials[[#This Row],[AccountKey]],tblAccounts[AccountKey],tblAccounts[AccountCategory],"")</f>
        <v>Cost of Sales</v>
      </c>
      <c r="M666" s="8" t="str">
        <f>_xlfn.XLOOKUP(tblFinancials[[#This Row],[AccountKey]],tblAccounts[AccountKey],tblAccounts[NormalBalance],"")</f>
        <v>Debit</v>
      </c>
      <c r="N666" s="8" t="str">
        <f>_xlfn.XLOOKUP(tblFinancials[[#This Row],[DepartmentKey]],tblDepartments[DepartmentKey],tblDepartments[DepartmentName],"")</f>
        <v>Finance</v>
      </c>
      <c r="O666" s="8" t="str">
        <f>_xlfn.XLOOKUP(tblFinancials[[#This Row],[BusinessUnitKey]],tblBusinessUnits[BusinessUnitKey],tblBusinessUnits[BusinessUnitName],"")</f>
        <v xml:space="preserve">Manufacturing </v>
      </c>
      <c r="P666" s="8" t="str">
        <f>_xlfn.XLOOKUP(tblFinancials[[#This Row],[RegionKey]],tblRegions[RegionKey],tblRegions[RegionName],"")</f>
        <v>Midwest</v>
      </c>
    </row>
    <row r="667" spans="1:16">
      <c r="A667">
        <v>20240701</v>
      </c>
      <c r="B667">
        <v>8</v>
      </c>
      <c r="C667">
        <v>1</v>
      </c>
      <c r="D667">
        <v>1</v>
      </c>
      <c r="E667">
        <v>14</v>
      </c>
      <c r="F667" t="s">
        <v>92</v>
      </c>
      <c r="G667">
        <v>-20632.34</v>
      </c>
      <c r="H667">
        <f>_xlfn.XLOOKUP(tblFinancials[[#This Row],[DateKey]],tblCalendar[DateKey],tblCalendar[FullDate],"")</f>
        <v>45474</v>
      </c>
      <c r="I667">
        <f>_xlfn.XLOOKUP(tblFinancials[[#This Row],[AccountKey]],tblAccounts[AccountKey],tblAccounts[AccountNumber],"")</f>
        <v>5000</v>
      </c>
      <c r="J667" t="str">
        <f>_xlfn.XLOOKUP(tblFinancials[[#This Row],[AccountKey]],tblAccounts[AccountKey],tblAccounts[AccountName],"")</f>
        <v>Cost of Goods Sold</v>
      </c>
      <c r="K667" s="8" t="str">
        <f>_xlfn.XLOOKUP(tblFinancials[[#This Row],[AccountKey]],tblAccounts[AccountKey],tblAccounts[FinancialStatement],"")</f>
        <v>Income Statement</v>
      </c>
      <c r="L667" s="8" t="str">
        <f>_xlfn.XLOOKUP(tblFinancials[[#This Row],[AccountKey]],tblAccounts[AccountKey],tblAccounts[AccountCategory],"")</f>
        <v>Cost of Sales</v>
      </c>
      <c r="M667" s="8" t="str">
        <f>_xlfn.XLOOKUP(tblFinancials[[#This Row],[AccountKey]],tblAccounts[AccountKey],tblAccounts[NormalBalance],"")</f>
        <v>Debit</v>
      </c>
      <c r="N667" s="8" t="str">
        <f>_xlfn.XLOOKUP(tblFinancials[[#This Row],[DepartmentKey]],tblDepartments[DepartmentKey],tblDepartments[DepartmentName],"")</f>
        <v>Customer Service</v>
      </c>
      <c r="O667" s="8" t="str">
        <f>_xlfn.XLOOKUP(tblFinancials[[#This Row],[BusinessUnitKey]],tblBusinessUnits[BusinessUnitKey],tblBusinessUnits[BusinessUnitName],"")</f>
        <v xml:space="preserve">Manufacturing </v>
      </c>
      <c r="P667" s="8" t="str">
        <f>_xlfn.XLOOKUP(tblFinancials[[#This Row],[RegionKey]],tblRegions[RegionKey],tblRegions[RegionName],"")</f>
        <v>West</v>
      </c>
    </row>
    <row r="668" spans="1:16">
      <c r="A668">
        <v>20240701</v>
      </c>
      <c r="B668">
        <v>1</v>
      </c>
      <c r="C668">
        <v>3</v>
      </c>
      <c r="D668">
        <v>4</v>
      </c>
      <c r="E668">
        <v>14</v>
      </c>
      <c r="F668" t="s">
        <v>92</v>
      </c>
      <c r="G668">
        <v>-19498.939999999999</v>
      </c>
      <c r="H668">
        <f>_xlfn.XLOOKUP(tblFinancials[[#This Row],[DateKey]],tblCalendar[DateKey],tblCalendar[FullDate],"")</f>
        <v>45474</v>
      </c>
      <c r="I668">
        <f>_xlfn.XLOOKUP(tblFinancials[[#This Row],[AccountKey]],tblAccounts[AccountKey],tblAccounts[AccountNumber],"")</f>
        <v>5000</v>
      </c>
      <c r="J668" t="str">
        <f>_xlfn.XLOOKUP(tblFinancials[[#This Row],[AccountKey]],tblAccounts[AccountKey],tblAccounts[AccountName],"")</f>
        <v>Cost of Goods Sold</v>
      </c>
      <c r="K668" s="8" t="str">
        <f>_xlfn.XLOOKUP(tblFinancials[[#This Row],[AccountKey]],tblAccounts[AccountKey],tblAccounts[FinancialStatement],"")</f>
        <v>Income Statement</v>
      </c>
      <c r="L668" s="8" t="str">
        <f>_xlfn.XLOOKUP(tblFinancials[[#This Row],[AccountKey]],tblAccounts[AccountKey],tblAccounts[AccountCategory],"")</f>
        <v>Cost of Sales</v>
      </c>
      <c r="M668" s="8" t="str">
        <f>_xlfn.XLOOKUP(tblFinancials[[#This Row],[AccountKey]],tblAccounts[AccountKey],tblAccounts[NormalBalance],"")</f>
        <v>Debit</v>
      </c>
      <c r="N668" s="8" t="str">
        <f>_xlfn.XLOOKUP(tblFinancials[[#This Row],[DepartmentKey]],tblDepartments[DepartmentKey],tblDepartments[DepartmentName],"")</f>
        <v>Executive</v>
      </c>
      <c r="O668" s="8" t="str">
        <f>_xlfn.XLOOKUP(tblFinancials[[#This Row],[BusinessUnitKey]],tblBusinessUnits[BusinessUnitKey],tblBusinessUnits[BusinessUnitName],"")</f>
        <v>Retail</v>
      </c>
      <c r="P668" s="8" t="str">
        <f>_xlfn.XLOOKUP(tblFinancials[[#This Row],[RegionKey]],tblRegions[RegionKey],tblRegions[RegionName],"")</f>
        <v>East</v>
      </c>
    </row>
    <row r="669" spans="1:16">
      <c r="A669">
        <v>20240701</v>
      </c>
      <c r="B669">
        <v>8</v>
      </c>
      <c r="C669">
        <v>4</v>
      </c>
      <c r="D669">
        <v>3</v>
      </c>
      <c r="E669">
        <v>14</v>
      </c>
      <c r="F669" t="s">
        <v>92</v>
      </c>
      <c r="G669">
        <v>-19387.64</v>
      </c>
      <c r="H669">
        <f>_xlfn.XLOOKUP(tblFinancials[[#This Row],[DateKey]],tblCalendar[DateKey],tblCalendar[FullDate],"")</f>
        <v>45474</v>
      </c>
      <c r="I669">
        <f>_xlfn.XLOOKUP(tblFinancials[[#This Row],[AccountKey]],tblAccounts[AccountKey],tblAccounts[AccountNumber],"")</f>
        <v>5000</v>
      </c>
      <c r="J669" t="str">
        <f>_xlfn.XLOOKUP(tblFinancials[[#This Row],[AccountKey]],tblAccounts[AccountKey],tblAccounts[AccountName],"")</f>
        <v>Cost of Goods Sold</v>
      </c>
      <c r="K669" s="8" t="str">
        <f>_xlfn.XLOOKUP(tblFinancials[[#This Row],[AccountKey]],tblAccounts[AccountKey],tblAccounts[FinancialStatement],"")</f>
        <v>Income Statement</v>
      </c>
      <c r="L669" s="8" t="str">
        <f>_xlfn.XLOOKUP(tblFinancials[[#This Row],[AccountKey]],tblAccounts[AccountKey],tblAccounts[AccountCategory],"")</f>
        <v>Cost of Sales</v>
      </c>
      <c r="M669" s="8" t="str">
        <f>_xlfn.XLOOKUP(tblFinancials[[#This Row],[AccountKey]],tblAccounts[AccountKey],tblAccounts[NormalBalance],"")</f>
        <v>Debit</v>
      </c>
      <c r="N669" s="8" t="str">
        <f>_xlfn.XLOOKUP(tblFinancials[[#This Row],[DepartmentKey]],tblDepartments[DepartmentKey],tblDepartments[DepartmentName],"")</f>
        <v>Customer Service</v>
      </c>
      <c r="O669" s="8" t="str">
        <f>_xlfn.XLOOKUP(tblFinancials[[#This Row],[BusinessUnitKey]],tblBusinessUnits[BusinessUnitKey],tblBusinessUnits[BusinessUnitName],"")</f>
        <v>E-Commerce</v>
      </c>
      <c r="P669" s="8" t="str">
        <f>_xlfn.XLOOKUP(tblFinancials[[#This Row],[RegionKey]],tblRegions[RegionKey],tblRegions[RegionName],"")</f>
        <v>South</v>
      </c>
    </row>
    <row r="670" spans="1:16">
      <c r="A670">
        <v>20240701</v>
      </c>
      <c r="B670">
        <v>8</v>
      </c>
      <c r="C670">
        <v>4</v>
      </c>
      <c r="D670">
        <v>1</v>
      </c>
      <c r="E670">
        <v>14</v>
      </c>
      <c r="F670" t="s">
        <v>92</v>
      </c>
      <c r="G670">
        <v>-18641.060000000001</v>
      </c>
      <c r="H670">
        <f>_xlfn.XLOOKUP(tblFinancials[[#This Row],[DateKey]],tblCalendar[DateKey],tblCalendar[FullDate],"")</f>
        <v>45474</v>
      </c>
      <c r="I670">
        <f>_xlfn.XLOOKUP(tblFinancials[[#This Row],[AccountKey]],tblAccounts[AccountKey],tblAccounts[AccountNumber],"")</f>
        <v>5000</v>
      </c>
      <c r="J670" t="str">
        <f>_xlfn.XLOOKUP(tblFinancials[[#This Row],[AccountKey]],tblAccounts[AccountKey],tblAccounts[AccountName],"")</f>
        <v>Cost of Goods Sold</v>
      </c>
      <c r="K670" s="8" t="str">
        <f>_xlfn.XLOOKUP(tblFinancials[[#This Row],[AccountKey]],tblAccounts[AccountKey],tblAccounts[FinancialStatement],"")</f>
        <v>Income Statement</v>
      </c>
      <c r="L670" s="8" t="str">
        <f>_xlfn.XLOOKUP(tblFinancials[[#This Row],[AccountKey]],tblAccounts[AccountKey],tblAccounts[AccountCategory],"")</f>
        <v>Cost of Sales</v>
      </c>
      <c r="M670" s="8" t="str">
        <f>_xlfn.XLOOKUP(tblFinancials[[#This Row],[AccountKey]],tblAccounts[AccountKey],tblAccounts[NormalBalance],"")</f>
        <v>Debit</v>
      </c>
      <c r="N670" s="8" t="str">
        <f>_xlfn.XLOOKUP(tblFinancials[[#This Row],[DepartmentKey]],tblDepartments[DepartmentKey],tblDepartments[DepartmentName],"")</f>
        <v>Customer Service</v>
      </c>
      <c r="O670" s="8" t="str">
        <f>_xlfn.XLOOKUP(tblFinancials[[#This Row],[BusinessUnitKey]],tblBusinessUnits[BusinessUnitKey],tblBusinessUnits[BusinessUnitName],"")</f>
        <v>E-Commerce</v>
      </c>
      <c r="P670" s="8" t="str">
        <f>_xlfn.XLOOKUP(tblFinancials[[#This Row],[RegionKey]],tblRegions[RegionKey],tblRegions[RegionName],"")</f>
        <v>West</v>
      </c>
    </row>
    <row r="671" spans="1:16">
      <c r="A671">
        <v>20240701</v>
      </c>
      <c r="B671">
        <v>1</v>
      </c>
      <c r="C671">
        <v>2</v>
      </c>
      <c r="D671">
        <v>2</v>
      </c>
      <c r="E671">
        <v>14</v>
      </c>
      <c r="F671" t="s">
        <v>92</v>
      </c>
      <c r="G671">
        <v>-18677.84</v>
      </c>
      <c r="H671">
        <f>_xlfn.XLOOKUP(tblFinancials[[#This Row],[DateKey]],tblCalendar[DateKey],tblCalendar[FullDate],"")</f>
        <v>45474</v>
      </c>
      <c r="I671">
        <f>_xlfn.XLOOKUP(tblFinancials[[#This Row],[AccountKey]],tblAccounts[AccountKey],tblAccounts[AccountNumber],"")</f>
        <v>5000</v>
      </c>
      <c r="J671" t="str">
        <f>_xlfn.XLOOKUP(tblFinancials[[#This Row],[AccountKey]],tblAccounts[AccountKey],tblAccounts[AccountName],"")</f>
        <v>Cost of Goods Sold</v>
      </c>
      <c r="K671" s="8" t="str">
        <f>_xlfn.XLOOKUP(tblFinancials[[#This Row],[AccountKey]],tblAccounts[AccountKey],tblAccounts[FinancialStatement],"")</f>
        <v>Income Statement</v>
      </c>
      <c r="L671" s="8" t="str">
        <f>_xlfn.XLOOKUP(tblFinancials[[#This Row],[AccountKey]],tblAccounts[AccountKey],tblAccounts[AccountCategory],"")</f>
        <v>Cost of Sales</v>
      </c>
      <c r="M671" s="8" t="str">
        <f>_xlfn.XLOOKUP(tblFinancials[[#This Row],[AccountKey]],tblAccounts[AccountKey],tblAccounts[NormalBalance],"")</f>
        <v>Debit</v>
      </c>
      <c r="N671" s="8" t="str">
        <f>_xlfn.XLOOKUP(tblFinancials[[#This Row],[DepartmentKey]],tblDepartments[DepartmentKey],tblDepartments[DepartmentName],"")</f>
        <v>Executive</v>
      </c>
      <c r="O671" s="8" t="str">
        <f>_xlfn.XLOOKUP(tblFinancials[[#This Row],[BusinessUnitKey]],tblBusinessUnits[BusinessUnitKey],tblBusinessUnits[BusinessUnitName],"")</f>
        <v>Wholesale</v>
      </c>
      <c r="P671" s="8" t="str">
        <f>_xlfn.XLOOKUP(tblFinancials[[#This Row],[RegionKey]],tblRegions[RegionKey],tblRegions[RegionName],"")</f>
        <v>Midwest</v>
      </c>
    </row>
    <row r="672" spans="1:16">
      <c r="A672">
        <v>20240701</v>
      </c>
      <c r="B672">
        <v>5</v>
      </c>
      <c r="C672">
        <v>2</v>
      </c>
      <c r="D672">
        <v>2</v>
      </c>
      <c r="E672">
        <v>14</v>
      </c>
      <c r="F672" t="s">
        <v>92</v>
      </c>
      <c r="G672">
        <v>-20637.009999999998</v>
      </c>
      <c r="H672">
        <f>_xlfn.XLOOKUP(tblFinancials[[#This Row],[DateKey]],tblCalendar[DateKey],tblCalendar[FullDate],"")</f>
        <v>45474</v>
      </c>
      <c r="I672">
        <f>_xlfn.XLOOKUP(tblFinancials[[#This Row],[AccountKey]],tblAccounts[AccountKey],tblAccounts[AccountNumber],"")</f>
        <v>5000</v>
      </c>
      <c r="J672" t="str">
        <f>_xlfn.XLOOKUP(tblFinancials[[#This Row],[AccountKey]],tblAccounts[AccountKey],tblAccounts[AccountName],"")</f>
        <v>Cost of Goods Sold</v>
      </c>
      <c r="K672" s="8" t="str">
        <f>_xlfn.XLOOKUP(tblFinancials[[#This Row],[AccountKey]],tblAccounts[AccountKey],tblAccounts[FinancialStatement],"")</f>
        <v>Income Statement</v>
      </c>
      <c r="L672" s="8" t="str">
        <f>_xlfn.XLOOKUP(tblFinancials[[#This Row],[AccountKey]],tblAccounts[AccountKey],tblAccounts[AccountCategory],"")</f>
        <v>Cost of Sales</v>
      </c>
      <c r="M672" s="8" t="str">
        <f>_xlfn.XLOOKUP(tblFinancials[[#This Row],[AccountKey]],tblAccounts[AccountKey],tblAccounts[NormalBalance],"")</f>
        <v>Debit</v>
      </c>
      <c r="N672" s="8" t="str">
        <f>_xlfn.XLOOKUP(tblFinancials[[#This Row],[DepartmentKey]],tblDepartments[DepartmentKey],tblDepartments[DepartmentName],"")</f>
        <v>Marketing</v>
      </c>
      <c r="O672" s="8" t="str">
        <f>_xlfn.XLOOKUP(tblFinancials[[#This Row],[BusinessUnitKey]],tblBusinessUnits[BusinessUnitKey],tblBusinessUnits[BusinessUnitName],"")</f>
        <v>Wholesale</v>
      </c>
      <c r="P672" s="8" t="str">
        <f>_xlfn.XLOOKUP(tblFinancials[[#This Row],[RegionKey]],tblRegions[RegionKey],tblRegions[RegionName],"")</f>
        <v>Midwest</v>
      </c>
    </row>
    <row r="673" spans="1:16">
      <c r="A673">
        <v>20240701</v>
      </c>
      <c r="B673">
        <v>4</v>
      </c>
      <c r="C673">
        <v>1</v>
      </c>
      <c r="D673">
        <v>3</v>
      </c>
      <c r="E673">
        <v>14</v>
      </c>
      <c r="F673" t="s">
        <v>92</v>
      </c>
      <c r="G673">
        <v>-17884.61</v>
      </c>
      <c r="H673">
        <f>_xlfn.XLOOKUP(tblFinancials[[#This Row],[DateKey]],tblCalendar[DateKey],tblCalendar[FullDate],"")</f>
        <v>45474</v>
      </c>
      <c r="I673">
        <f>_xlfn.XLOOKUP(tblFinancials[[#This Row],[AccountKey]],tblAccounts[AccountKey],tblAccounts[AccountNumber],"")</f>
        <v>5000</v>
      </c>
      <c r="J673" t="str">
        <f>_xlfn.XLOOKUP(tblFinancials[[#This Row],[AccountKey]],tblAccounts[AccountKey],tblAccounts[AccountName],"")</f>
        <v>Cost of Goods Sold</v>
      </c>
      <c r="K673" s="8" t="str">
        <f>_xlfn.XLOOKUP(tblFinancials[[#This Row],[AccountKey]],tblAccounts[AccountKey],tblAccounts[FinancialStatement],"")</f>
        <v>Income Statement</v>
      </c>
      <c r="L673" s="8" t="str">
        <f>_xlfn.XLOOKUP(tblFinancials[[#This Row],[AccountKey]],tblAccounts[AccountKey],tblAccounts[AccountCategory],"")</f>
        <v>Cost of Sales</v>
      </c>
      <c r="M673" s="8" t="str">
        <f>_xlfn.XLOOKUP(tblFinancials[[#This Row],[AccountKey]],tblAccounts[AccountKey],tblAccounts[NormalBalance],"")</f>
        <v>Debit</v>
      </c>
      <c r="N673" s="8" t="str">
        <f>_xlfn.XLOOKUP(tblFinancials[[#This Row],[DepartmentKey]],tblDepartments[DepartmentKey],tblDepartments[DepartmentName],"")</f>
        <v>Sales</v>
      </c>
      <c r="O673" s="8" t="str">
        <f>_xlfn.XLOOKUP(tblFinancials[[#This Row],[BusinessUnitKey]],tblBusinessUnits[BusinessUnitKey],tblBusinessUnits[BusinessUnitName],"")</f>
        <v xml:space="preserve">Manufacturing </v>
      </c>
      <c r="P673" s="8" t="str">
        <f>_xlfn.XLOOKUP(tblFinancials[[#This Row],[RegionKey]],tblRegions[RegionKey],tblRegions[RegionName],"")</f>
        <v>South</v>
      </c>
    </row>
    <row r="674" spans="1:16">
      <c r="A674">
        <v>20240701</v>
      </c>
      <c r="B674">
        <v>1</v>
      </c>
      <c r="C674">
        <v>4</v>
      </c>
      <c r="D674">
        <v>2</v>
      </c>
      <c r="E674">
        <v>21</v>
      </c>
      <c r="F674" t="s">
        <v>92</v>
      </c>
      <c r="G674">
        <v>-8991.35</v>
      </c>
      <c r="H674">
        <f>_xlfn.XLOOKUP(tblFinancials[[#This Row],[DateKey]],tblCalendar[DateKey],tblCalendar[FullDate],"")</f>
        <v>45474</v>
      </c>
      <c r="I674">
        <f>_xlfn.XLOOKUP(tblFinancials[[#This Row],[AccountKey]],tblAccounts[AccountKey],tblAccounts[AccountNumber],"")</f>
        <v>6600</v>
      </c>
      <c r="J674" t="str">
        <f>_xlfn.XLOOKUP(tblFinancials[[#This Row],[AccountKey]],tblAccounts[AccountKey],tblAccounts[AccountName],"")</f>
        <v>Utilities Expense</v>
      </c>
      <c r="K674" s="8" t="str">
        <f>_xlfn.XLOOKUP(tblFinancials[[#This Row],[AccountKey]],tblAccounts[AccountKey],tblAccounts[FinancialStatement],"")</f>
        <v>Income Statement</v>
      </c>
      <c r="L674" s="8" t="str">
        <f>_xlfn.XLOOKUP(tblFinancials[[#This Row],[AccountKey]],tblAccounts[AccountKey],tblAccounts[AccountCategory],"")</f>
        <v>Operating Expense</v>
      </c>
      <c r="M674" s="8" t="str">
        <f>_xlfn.XLOOKUP(tblFinancials[[#This Row],[AccountKey]],tblAccounts[AccountKey],tblAccounts[NormalBalance],"")</f>
        <v>Debit</v>
      </c>
      <c r="N674" s="8" t="str">
        <f>_xlfn.XLOOKUP(tblFinancials[[#This Row],[DepartmentKey]],tblDepartments[DepartmentKey],tblDepartments[DepartmentName],"")</f>
        <v>Executive</v>
      </c>
      <c r="O674" s="8" t="str">
        <f>_xlfn.XLOOKUP(tblFinancials[[#This Row],[BusinessUnitKey]],tblBusinessUnits[BusinessUnitKey],tblBusinessUnits[BusinessUnitName],"")</f>
        <v>E-Commerce</v>
      </c>
      <c r="P674" s="8" t="str">
        <f>_xlfn.XLOOKUP(tblFinancials[[#This Row],[RegionKey]],tblRegions[RegionKey],tblRegions[RegionName],"")</f>
        <v>Midwest</v>
      </c>
    </row>
    <row r="675" spans="1:16">
      <c r="A675">
        <v>20240701</v>
      </c>
      <c r="B675">
        <v>8</v>
      </c>
      <c r="C675">
        <v>1</v>
      </c>
      <c r="D675">
        <v>4</v>
      </c>
      <c r="E675">
        <v>24</v>
      </c>
      <c r="F675" t="s">
        <v>92</v>
      </c>
      <c r="G675">
        <v>-7443.04</v>
      </c>
      <c r="H675">
        <f>_xlfn.XLOOKUP(tblFinancials[[#This Row],[DateKey]],tblCalendar[DateKey],tblCalendar[FullDate],"")</f>
        <v>45474</v>
      </c>
      <c r="I675">
        <f>_xlfn.XLOOKUP(tblFinancials[[#This Row],[AccountKey]],tblAccounts[AccountKey],tblAccounts[AccountNumber],"")</f>
        <v>6900</v>
      </c>
      <c r="J675" t="str">
        <f>_xlfn.XLOOKUP(tblFinancials[[#This Row],[AccountKey]],tblAccounts[AccountKey],tblAccounts[AccountName],"")</f>
        <v>Professional Services</v>
      </c>
      <c r="K675" s="8" t="str">
        <f>_xlfn.XLOOKUP(tblFinancials[[#This Row],[AccountKey]],tblAccounts[AccountKey],tblAccounts[FinancialStatement],"")</f>
        <v>Income Statement</v>
      </c>
      <c r="L675" s="8" t="str">
        <f>_xlfn.XLOOKUP(tblFinancials[[#This Row],[AccountKey]],tblAccounts[AccountKey],tblAccounts[AccountCategory],"")</f>
        <v>Operating Expense</v>
      </c>
      <c r="M675" s="8" t="str">
        <f>_xlfn.XLOOKUP(tblFinancials[[#This Row],[AccountKey]],tblAccounts[AccountKey],tblAccounts[NormalBalance],"")</f>
        <v>Debit</v>
      </c>
      <c r="N675" s="8" t="str">
        <f>_xlfn.XLOOKUP(tblFinancials[[#This Row],[DepartmentKey]],tblDepartments[DepartmentKey],tblDepartments[DepartmentName],"")</f>
        <v>Customer Service</v>
      </c>
      <c r="O675" s="8" t="str">
        <f>_xlfn.XLOOKUP(tblFinancials[[#This Row],[BusinessUnitKey]],tblBusinessUnits[BusinessUnitKey],tblBusinessUnits[BusinessUnitName],"")</f>
        <v xml:space="preserve">Manufacturing </v>
      </c>
      <c r="P675" s="8" t="str">
        <f>_xlfn.XLOOKUP(tblFinancials[[#This Row],[RegionKey]],tblRegions[RegionKey],tblRegions[RegionName],"")</f>
        <v>East</v>
      </c>
    </row>
    <row r="676" spans="1:16">
      <c r="A676">
        <v>20240701</v>
      </c>
      <c r="B676">
        <v>6</v>
      </c>
      <c r="C676">
        <v>3</v>
      </c>
      <c r="D676">
        <v>4</v>
      </c>
      <c r="E676">
        <v>22</v>
      </c>
      <c r="F676" t="s">
        <v>92</v>
      </c>
      <c r="G676">
        <v>-9010.1200000000008</v>
      </c>
      <c r="H676">
        <f>_xlfn.XLOOKUP(tblFinancials[[#This Row],[DateKey]],tblCalendar[DateKey],tblCalendar[FullDate],"")</f>
        <v>45474</v>
      </c>
      <c r="I676">
        <f>_xlfn.XLOOKUP(tblFinancials[[#This Row],[AccountKey]],tblAccounts[AccountKey],tblAccounts[AccountNumber],"")</f>
        <v>6700</v>
      </c>
      <c r="J676" t="str">
        <f>_xlfn.XLOOKUP(tblFinancials[[#This Row],[AccountKey]],tblAccounts[AccountKey],tblAccounts[AccountName],"")</f>
        <v>Insurance Expense</v>
      </c>
      <c r="K676" s="8" t="str">
        <f>_xlfn.XLOOKUP(tblFinancials[[#This Row],[AccountKey]],tblAccounts[AccountKey],tblAccounts[FinancialStatement],"")</f>
        <v>Income Statement</v>
      </c>
      <c r="L676" s="8" t="str">
        <f>_xlfn.XLOOKUP(tblFinancials[[#This Row],[AccountKey]],tblAccounts[AccountKey],tblAccounts[AccountCategory],"")</f>
        <v>Operating Expense</v>
      </c>
      <c r="M676" s="8" t="str">
        <f>_xlfn.XLOOKUP(tblFinancials[[#This Row],[AccountKey]],tblAccounts[AccountKey],tblAccounts[NormalBalance],"")</f>
        <v>Debit</v>
      </c>
      <c r="N676" s="8" t="str">
        <f>_xlfn.XLOOKUP(tblFinancials[[#This Row],[DepartmentKey]],tblDepartments[DepartmentKey],tblDepartments[DepartmentName],"")</f>
        <v>Operations</v>
      </c>
      <c r="O676" s="8" t="str">
        <f>_xlfn.XLOOKUP(tblFinancials[[#This Row],[BusinessUnitKey]],tblBusinessUnits[BusinessUnitKey],tblBusinessUnits[BusinessUnitName],"")</f>
        <v>Retail</v>
      </c>
      <c r="P676" s="8" t="str">
        <f>_xlfn.XLOOKUP(tblFinancials[[#This Row],[RegionKey]],tblRegions[RegionKey],tblRegions[RegionName],"")</f>
        <v>East</v>
      </c>
    </row>
    <row r="677" spans="1:16">
      <c r="A677">
        <v>20240701</v>
      </c>
      <c r="B677">
        <v>3</v>
      </c>
      <c r="C677">
        <v>4</v>
      </c>
      <c r="D677">
        <v>1</v>
      </c>
      <c r="E677">
        <v>16</v>
      </c>
      <c r="F677" t="s">
        <v>92</v>
      </c>
      <c r="G677">
        <v>-8577.2999999999993</v>
      </c>
      <c r="H677">
        <f>_xlfn.XLOOKUP(tblFinancials[[#This Row],[DateKey]],tblCalendar[DateKey],tblCalendar[FullDate],"")</f>
        <v>45474</v>
      </c>
      <c r="I677">
        <f>_xlfn.XLOOKUP(tblFinancials[[#This Row],[AccountKey]],tblAccounts[AccountKey],tblAccounts[AccountNumber],"")</f>
        <v>6110</v>
      </c>
      <c r="J677" t="str">
        <f>_xlfn.XLOOKUP(tblFinancials[[#This Row],[AccountKey]],tblAccounts[AccountKey],tblAccounts[AccountName],"")</f>
        <v>Payroll Taxes</v>
      </c>
      <c r="K677" s="8" t="str">
        <f>_xlfn.XLOOKUP(tblFinancials[[#This Row],[AccountKey]],tblAccounts[AccountKey],tblAccounts[FinancialStatement],"")</f>
        <v>Income Statement</v>
      </c>
      <c r="L677" s="8" t="str">
        <f>_xlfn.XLOOKUP(tblFinancials[[#This Row],[AccountKey]],tblAccounts[AccountKey],tblAccounts[AccountCategory],"")</f>
        <v>Operating Expense</v>
      </c>
      <c r="M677" s="8" t="str">
        <f>_xlfn.XLOOKUP(tblFinancials[[#This Row],[AccountKey]],tblAccounts[AccountKey],tblAccounts[NormalBalance],"")</f>
        <v>Debit</v>
      </c>
      <c r="N677" s="8" t="str">
        <f>_xlfn.XLOOKUP(tblFinancials[[#This Row],[DepartmentKey]],tblDepartments[DepartmentKey],tblDepartments[DepartmentName],"")</f>
        <v>Human Resources</v>
      </c>
      <c r="O677" s="8" t="str">
        <f>_xlfn.XLOOKUP(tblFinancials[[#This Row],[BusinessUnitKey]],tblBusinessUnits[BusinessUnitKey],tblBusinessUnits[BusinessUnitName],"")</f>
        <v>E-Commerce</v>
      </c>
      <c r="P677" s="8" t="str">
        <f>_xlfn.XLOOKUP(tblFinancials[[#This Row],[RegionKey]],tblRegions[RegionKey],tblRegions[RegionName],"")</f>
        <v>West</v>
      </c>
    </row>
    <row r="678" spans="1:16">
      <c r="A678">
        <v>20240701</v>
      </c>
      <c r="B678">
        <v>8</v>
      </c>
      <c r="C678">
        <v>2</v>
      </c>
      <c r="D678">
        <v>3</v>
      </c>
      <c r="E678">
        <v>15</v>
      </c>
      <c r="F678" t="s">
        <v>92</v>
      </c>
      <c r="G678">
        <v>-8175.15</v>
      </c>
      <c r="H678">
        <f>_xlfn.XLOOKUP(tblFinancials[[#This Row],[DateKey]],tblCalendar[DateKey],tblCalendar[FullDate],"")</f>
        <v>45474</v>
      </c>
      <c r="I678">
        <f>_xlfn.XLOOKUP(tblFinancials[[#This Row],[AccountKey]],tblAccounts[AccountKey],tblAccounts[AccountNumber],"")</f>
        <v>6100</v>
      </c>
      <c r="J678" t="str">
        <f>_xlfn.XLOOKUP(tblFinancials[[#This Row],[AccountKey]],tblAccounts[AccountKey],tblAccounts[AccountName],"")</f>
        <v>Salaries Expense</v>
      </c>
      <c r="K678" s="8" t="str">
        <f>_xlfn.XLOOKUP(tblFinancials[[#This Row],[AccountKey]],tblAccounts[AccountKey],tblAccounts[FinancialStatement],"")</f>
        <v>Income Statement</v>
      </c>
      <c r="L678" s="8" t="str">
        <f>_xlfn.XLOOKUP(tblFinancials[[#This Row],[AccountKey]],tblAccounts[AccountKey],tblAccounts[AccountCategory],"")</f>
        <v>Operating Expense</v>
      </c>
      <c r="M678" s="8" t="str">
        <f>_xlfn.XLOOKUP(tblFinancials[[#This Row],[AccountKey]],tblAccounts[AccountKey],tblAccounts[NormalBalance],"")</f>
        <v>Debit</v>
      </c>
      <c r="N678" s="8" t="str">
        <f>_xlfn.XLOOKUP(tblFinancials[[#This Row],[DepartmentKey]],tblDepartments[DepartmentKey],tblDepartments[DepartmentName],"")</f>
        <v>Customer Service</v>
      </c>
      <c r="O678" s="8" t="str">
        <f>_xlfn.XLOOKUP(tblFinancials[[#This Row],[BusinessUnitKey]],tblBusinessUnits[BusinessUnitKey],tblBusinessUnits[BusinessUnitName],"")</f>
        <v>Wholesale</v>
      </c>
      <c r="P678" s="8" t="str">
        <f>_xlfn.XLOOKUP(tblFinancials[[#This Row],[RegionKey]],tblRegions[RegionKey],tblRegions[RegionName],"")</f>
        <v>South</v>
      </c>
    </row>
    <row r="679" spans="1:16">
      <c r="A679">
        <v>20240701</v>
      </c>
      <c r="B679">
        <v>2</v>
      </c>
      <c r="C679">
        <v>4</v>
      </c>
      <c r="D679">
        <v>4</v>
      </c>
      <c r="E679">
        <v>17</v>
      </c>
      <c r="F679" t="s">
        <v>92</v>
      </c>
      <c r="G679">
        <v>-7318.24</v>
      </c>
      <c r="H679">
        <f>_xlfn.XLOOKUP(tblFinancials[[#This Row],[DateKey]],tblCalendar[DateKey],tblCalendar[FullDate],"")</f>
        <v>45474</v>
      </c>
      <c r="I679">
        <f>_xlfn.XLOOKUP(tblFinancials[[#This Row],[AccountKey]],tblAccounts[AccountKey],tblAccounts[AccountNumber],"")</f>
        <v>6120</v>
      </c>
      <c r="J679" t="str">
        <f>_xlfn.XLOOKUP(tblFinancials[[#This Row],[AccountKey]],tblAccounts[AccountKey],tblAccounts[AccountName],"")</f>
        <v>Employee Benefits</v>
      </c>
      <c r="K679" s="8" t="str">
        <f>_xlfn.XLOOKUP(tblFinancials[[#This Row],[AccountKey]],tblAccounts[AccountKey],tblAccounts[FinancialStatement],"")</f>
        <v>Income Statement</v>
      </c>
      <c r="L679" s="8" t="str">
        <f>_xlfn.XLOOKUP(tblFinancials[[#This Row],[AccountKey]],tblAccounts[AccountKey],tblAccounts[AccountCategory],"")</f>
        <v>Operating Expense</v>
      </c>
      <c r="M679" s="8" t="str">
        <f>_xlfn.XLOOKUP(tblFinancials[[#This Row],[AccountKey]],tblAccounts[AccountKey],tblAccounts[NormalBalance],"")</f>
        <v>Debit</v>
      </c>
      <c r="N679" s="8" t="str">
        <f>_xlfn.XLOOKUP(tblFinancials[[#This Row],[DepartmentKey]],tblDepartments[DepartmentKey],tblDepartments[DepartmentName],"")</f>
        <v>Finance</v>
      </c>
      <c r="O679" s="8" t="str">
        <f>_xlfn.XLOOKUP(tblFinancials[[#This Row],[BusinessUnitKey]],tblBusinessUnits[BusinessUnitKey],tblBusinessUnits[BusinessUnitName],"")</f>
        <v>E-Commerce</v>
      </c>
      <c r="P679" s="8" t="str">
        <f>_xlfn.XLOOKUP(tblFinancials[[#This Row],[RegionKey]],tblRegions[RegionKey],tblRegions[RegionName],"")</f>
        <v>East</v>
      </c>
    </row>
    <row r="680" spans="1:16">
      <c r="A680">
        <v>20240701</v>
      </c>
      <c r="B680">
        <v>5</v>
      </c>
      <c r="C680">
        <v>3</v>
      </c>
      <c r="D680">
        <v>3</v>
      </c>
      <c r="E680">
        <v>25</v>
      </c>
      <c r="F680" t="s">
        <v>92</v>
      </c>
      <c r="G680">
        <v>-8988.51</v>
      </c>
      <c r="H680">
        <f>_xlfn.XLOOKUP(tblFinancials[[#This Row],[DateKey]],tblCalendar[DateKey],tblCalendar[FullDate],"")</f>
        <v>45474</v>
      </c>
      <c r="I680">
        <f>_xlfn.XLOOKUP(tblFinancials[[#This Row],[AccountKey]],tblAccounts[AccountKey],tblAccounts[AccountNumber],"")</f>
        <v>8200</v>
      </c>
      <c r="J680" t="str">
        <f>_xlfn.XLOOKUP(tblFinancials[[#This Row],[AccountKey]],tblAccounts[AccountKey],tblAccounts[AccountName],"")</f>
        <v>Income Tax Expense</v>
      </c>
      <c r="K680" s="8" t="str">
        <f>_xlfn.XLOOKUP(tblFinancials[[#This Row],[AccountKey]],tblAccounts[AccountKey],tblAccounts[FinancialStatement],"")</f>
        <v>Income Statement</v>
      </c>
      <c r="L680" s="8" t="str">
        <f>_xlfn.XLOOKUP(tblFinancials[[#This Row],[AccountKey]],tblAccounts[AccountKey],tblAccounts[AccountCategory],"")</f>
        <v>Tax Expense</v>
      </c>
      <c r="M680" s="8" t="str">
        <f>_xlfn.XLOOKUP(tblFinancials[[#This Row],[AccountKey]],tblAccounts[AccountKey],tblAccounts[NormalBalance],"")</f>
        <v>Debit</v>
      </c>
      <c r="N680" s="8" t="str">
        <f>_xlfn.XLOOKUP(tblFinancials[[#This Row],[DepartmentKey]],tblDepartments[DepartmentKey],tblDepartments[DepartmentName],"")</f>
        <v>Marketing</v>
      </c>
      <c r="O680" s="8" t="str">
        <f>_xlfn.XLOOKUP(tblFinancials[[#This Row],[BusinessUnitKey]],tblBusinessUnits[BusinessUnitKey],tblBusinessUnits[BusinessUnitName],"")</f>
        <v>Retail</v>
      </c>
      <c r="P680" s="8" t="str">
        <f>_xlfn.XLOOKUP(tblFinancials[[#This Row],[RegionKey]],tblRegions[RegionKey],tblRegions[RegionName],"")</f>
        <v>South</v>
      </c>
    </row>
    <row r="681" spans="1:16">
      <c r="A681">
        <v>20240701</v>
      </c>
      <c r="B681">
        <v>3</v>
      </c>
      <c r="C681">
        <v>2</v>
      </c>
      <c r="D681">
        <v>2</v>
      </c>
      <c r="E681">
        <v>18</v>
      </c>
      <c r="F681" t="s">
        <v>92</v>
      </c>
      <c r="G681">
        <v>-7203.95</v>
      </c>
      <c r="H681">
        <f>_xlfn.XLOOKUP(tblFinancials[[#This Row],[DateKey]],tblCalendar[DateKey],tblCalendar[FullDate],"")</f>
        <v>45474</v>
      </c>
      <c r="I681">
        <f>_xlfn.XLOOKUP(tblFinancials[[#This Row],[AccountKey]],tblAccounts[AccountKey],tblAccounts[AccountNumber],"")</f>
        <v>6200</v>
      </c>
      <c r="J681" t="str">
        <f>_xlfn.XLOOKUP(tblFinancials[[#This Row],[AccountKey]],tblAccounts[AccountKey],tblAccounts[AccountName],"")</f>
        <v>Marketing Expense</v>
      </c>
      <c r="K681" s="8" t="str">
        <f>_xlfn.XLOOKUP(tblFinancials[[#This Row],[AccountKey]],tblAccounts[AccountKey],tblAccounts[FinancialStatement],"")</f>
        <v>Income Statement</v>
      </c>
      <c r="L681" s="8" t="str">
        <f>_xlfn.XLOOKUP(tblFinancials[[#This Row],[AccountKey]],tblAccounts[AccountKey],tblAccounts[AccountCategory],"")</f>
        <v>Operating Expense</v>
      </c>
      <c r="M681" s="8" t="str">
        <f>_xlfn.XLOOKUP(tblFinancials[[#This Row],[AccountKey]],tblAccounts[AccountKey],tblAccounts[NormalBalance],"")</f>
        <v>Debit</v>
      </c>
      <c r="N681" s="8" t="str">
        <f>_xlfn.XLOOKUP(tblFinancials[[#This Row],[DepartmentKey]],tblDepartments[DepartmentKey],tblDepartments[DepartmentName],"")</f>
        <v>Human Resources</v>
      </c>
      <c r="O681" s="8" t="str">
        <f>_xlfn.XLOOKUP(tblFinancials[[#This Row],[BusinessUnitKey]],tblBusinessUnits[BusinessUnitKey],tblBusinessUnits[BusinessUnitName],"")</f>
        <v>Wholesale</v>
      </c>
      <c r="P681" s="8" t="str">
        <f>_xlfn.XLOOKUP(tblFinancials[[#This Row],[RegionKey]],tblRegions[RegionKey],tblRegions[RegionName],"")</f>
        <v>Midwest</v>
      </c>
    </row>
    <row r="682" spans="1:16">
      <c r="A682">
        <v>20240701</v>
      </c>
      <c r="B682">
        <v>1</v>
      </c>
      <c r="C682">
        <v>3</v>
      </c>
      <c r="D682">
        <v>3</v>
      </c>
      <c r="E682">
        <v>21</v>
      </c>
      <c r="F682" t="s">
        <v>92</v>
      </c>
      <c r="G682">
        <v>-8182.95</v>
      </c>
      <c r="H682">
        <f>_xlfn.XLOOKUP(tblFinancials[[#This Row],[DateKey]],tblCalendar[DateKey],tblCalendar[FullDate],"")</f>
        <v>45474</v>
      </c>
      <c r="I682">
        <f>_xlfn.XLOOKUP(tblFinancials[[#This Row],[AccountKey]],tblAccounts[AccountKey],tblAccounts[AccountNumber],"")</f>
        <v>6600</v>
      </c>
      <c r="J682" t="str">
        <f>_xlfn.XLOOKUP(tblFinancials[[#This Row],[AccountKey]],tblAccounts[AccountKey],tblAccounts[AccountName],"")</f>
        <v>Utilities Expense</v>
      </c>
      <c r="K682" s="8" t="str">
        <f>_xlfn.XLOOKUP(tblFinancials[[#This Row],[AccountKey]],tblAccounts[AccountKey],tblAccounts[FinancialStatement],"")</f>
        <v>Income Statement</v>
      </c>
      <c r="L682" s="8" t="str">
        <f>_xlfn.XLOOKUP(tblFinancials[[#This Row],[AccountKey]],tblAccounts[AccountKey],tblAccounts[AccountCategory],"")</f>
        <v>Operating Expense</v>
      </c>
      <c r="M682" s="8" t="str">
        <f>_xlfn.XLOOKUP(tblFinancials[[#This Row],[AccountKey]],tblAccounts[AccountKey],tblAccounts[NormalBalance],"")</f>
        <v>Debit</v>
      </c>
      <c r="N682" s="8" t="str">
        <f>_xlfn.XLOOKUP(tblFinancials[[#This Row],[DepartmentKey]],tblDepartments[DepartmentKey],tblDepartments[DepartmentName],"")</f>
        <v>Executive</v>
      </c>
      <c r="O682" s="8" t="str">
        <f>_xlfn.XLOOKUP(tblFinancials[[#This Row],[BusinessUnitKey]],tblBusinessUnits[BusinessUnitKey],tblBusinessUnits[BusinessUnitName],"")</f>
        <v>Retail</v>
      </c>
      <c r="P682" s="8" t="str">
        <f>_xlfn.XLOOKUP(tblFinancials[[#This Row],[RegionKey]],tblRegions[RegionKey],tblRegions[RegionName],"")</f>
        <v>South</v>
      </c>
    </row>
    <row r="683" spans="1:16">
      <c r="A683">
        <v>20240701</v>
      </c>
      <c r="B683">
        <v>6</v>
      </c>
      <c r="C683">
        <v>2</v>
      </c>
      <c r="D683">
        <v>4</v>
      </c>
      <c r="E683">
        <v>23</v>
      </c>
      <c r="F683" t="s">
        <v>92</v>
      </c>
      <c r="G683">
        <v>-7924.55</v>
      </c>
      <c r="H683">
        <f>_xlfn.XLOOKUP(tblFinancials[[#This Row],[DateKey]],tblCalendar[DateKey],tblCalendar[FullDate],"")</f>
        <v>45474</v>
      </c>
      <c r="I683">
        <f>_xlfn.XLOOKUP(tblFinancials[[#This Row],[AccountKey]],tblAccounts[AccountKey],tblAccounts[AccountNumber],"")</f>
        <v>6800</v>
      </c>
      <c r="J683" t="str">
        <f>_xlfn.XLOOKUP(tblFinancials[[#This Row],[AccountKey]],tblAccounts[AccountKey],tblAccounts[AccountName],"")</f>
        <v>Travel Expense</v>
      </c>
      <c r="K683" s="8" t="str">
        <f>_xlfn.XLOOKUP(tblFinancials[[#This Row],[AccountKey]],tblAccounts[AccountKey],tblAccounts[FinancialStatement],"")</f>
        <v>Income Statement</v>
      </c>
      <c r="L683" s="8" t="str">
        <f>_xlfn.XLOOKUP(tblFinancials[[#This Row],[AccountKey]],tblAccounts[AccountKey],tblAccounts[AccountCategory],"")</f>
        <v>Operating Expense</v>
      </c>
      <c r="M683" s="8" t="str">
        <f>_xlfn.XLOOKUP(tblFinancials[[#This Row],[AccountKey]],tblAccounts[AccountKey],tblAccounts[NormalBalance],"")</f>
        <v>Debit</v>
      </c>
      <c r="N683" s="8" t="str">
        <f>_xlfn.XLOOKUP(tblFinancials[[#This Row],[DepartmentKey]],tblDepartments[DepartmentKey],tblDepartments[DepartmentName],"")</f>
        <v>Operations</v>
      </c>
      <c r="O683" s="8" t="str">
        <f>_xlfn.XLOOKUP(tblFinancials[[#This Row],[BusinessUnitKey]],tblBusinessUnits[BusinessUnitKey],tblBusinessUnits[BusinessUnitName],"")</f>
        <v>Wholesale</v>
      </c>
      <c r="P683" s="8" t="str">
        <f>_xlfn.XLOOKUP(tblFinancials[[#This Row],[RegionKey]],tblRegions[RegionKey],tblRegions[RegionName],"")</f>
        <v>East</v>
      </c>
    </row>
    <row r="684" spans="1:16">
      <c r="A684">
        <v>20240701</v>
      </c>
      <c r="B684">
        <v>2</v>
      </c>
      <c r="C684">
        <v>2</v>
      </c>
      <c r="D684">
        <v>1</v>
      </c>
      <c r="E684">
        <v>19</v>
      </c>
      <c r="F684" t="s">
        <v>92</v>
      </c>
      <c r="G684">
        <v>-7575.27</v>
      </c>
      <c r="H684">
        <f>_xlfn.XLOOKUP(tblFinancials[[#This Row],[DateKey]],tblCalendar[DateKey],tblCalendar[FullDate],"")</f>
        <v>45474</v>
      </c>
      <c r="I684">
        <f>_xlfn.XLOOKUP(tblFinancials[[#This Row],[AccountKey]],tblAccounts[AccountKey],tblAccounts[AccountNumber],"")</f>
        <v>6300</v>
      </c>
      <c r="J684" t="str">
        <f>_xlfn.XLOOKUP(tblFinancials[[#This Row],[AccountKey]],tblAccounts[AccountKey],tblAccounts[AccountName],"")</f>
        <v>Software Expense</v>
      </c>
      <c r="K684" s="8" t="str">
        <f>_xlfn.XLOOKUP(tblFinancials[[#This Row],[AccountKey]],tblAccounts[AccountKey],tblAccounts[FinancialStatement],"")</f>
        <v>Income Statement</v>
      </c>
      <c r="L684" s="8" t="str">
        <f>_xlfn.XLOOKUP(tblFinancials[[#This Row],[AccountKey]],tblAccounts[AccountKey],tblAccounts[AccountCategory],"")</f>
        <v>Operating Expense</v>
      </c>
      <c r="M684" s="8" t="str">
        <f>_xlfn.XLOOKUP(tblFinancials[[#This Row],[AccountKey]],tblAccounts[AccountKey],tblAccounts[NormalBalance],"")</f>
        <v>Debit</v>
      </c>
      <c r="N684" s="8" t="str">
        <f>_xlfn.XLOOKUP(tblFinancials[[#This Row],[DepartmentKey]],tblDepartments[DepartmentKey],tblDepartments[DepartmentName],"")</f>
        <v>Finance</v>
      </c>
      <c r="O684" s="8" t="str">
        <f>_xlfn.XLOOKUP(tblFinancials[[#This Row],[BusinessUnitKey]],tblBusinessUnits[BusinessUnitKey],tblBusinessUnits[BusinessUnitName],"")</f>
        <v>Wholesale</v>
      </c>
      <c r="P684" s="8" t="str">
        <f>_xlfn.XLOOKUP(tblFinancials[[#This Row],[RegionKey]],tblRegions[RegionKey],tblRegions[RegionName],"")</f>
        <v>West</v>
      </c>
    </row>
    <row r="685" spans="1:16">
      <c r="A685">
        <v>20240701</v>
      </c>
      <c r="B685">
        <v>5</v>
      </c>
      <c r="C685">
        <v>3</v>
      </c>
      <c r="D685">
        <v>2</v>
      </c>
      <c r="E685">
        <v>18</v>
      </c>
      <c r="F685" t="s">
        <v>92</v>
      </c>
      <c r="G685">
        <v>-5415.09</v>
      </c>
      <c r="H685">
        <f>_xlfn.XLOOKUP(tblFinancials[[#This Row],[DateKey]],tblCalendar[DateKey],tblCalendar[FullDate],"")</f>
        <v>45474</v>
      </c>
      <c r="I685">
        <f>_xlfn.XLOOKUP(tblFinancials[[#This Row],[AccountKey]],tblAccounts[AccountKey],tblAccounts[AccountNumber],"")</f>
        <v>6200</v>
      </c>
      <c r="J685" t="str">
        <f>_xlfn.XLOOKUP(tblFinancials[[#This Row],[AccountKey]],tblAccounts[AccountKey],tblAccounts[AccountName],"")</f>
        <v>Marketing Expense</v>
      </c>
      <c r="K685" s="8" t="str">
        <f>_xlfn.XLOOKUP(tblFinancials[[#This Row],[AccountKey]],tblAccounts[AccountKey],tblAccounts[FinancialStatement],"")</f>
        <v>Income Statement</v>
      </c>
      <c r="L685" s="8" t="str">
        <f>_xlfn.XLOOKUP(tblFinancials[[#This Row],[AccountKey]],tblAccounts[AccountKey],tblAccounts[AccountCategory],"")</f>
        <v>Operating Expense</v>
      </c>
      <c r="M685" s="8" t="str">
        <f>_xlfn.XLOOKUP(tblFinancials[[#This Row],[AccountKey]],tblAccounts[AccountKey],tblAccounts[NormalBalance],"")</f>
        <v>Debit</v>
      </c>
      <c r="N685" s="8" t="str">
        <f>_xlfn.XLOOKUP(tblFinancials[[#This Row],[DepartmentKey]],tblDepartments[DepartmentKey],tblDepartments[DepartmentName],"")</f>
        <v>Marketing</v>
      </c>
      <c r="O685" s="8" t="str">
        <f>_xlfn.XLOOKUP(tblFinancials[[#This Row],[BusinessUnitKey]],tblBusinessUnits[BusinessUnitKey],tblBusinessUnits[BusinessUnitName],"")</f>
        <v>Retail</v>
      </c>
      <c r="P685" s="8" t="str">
        <f>_xlfn.XLOOKUP(tblFinancials[[#This Row],[RegionKey]],tblRegions[RegionKey],tblRegions[RegionName],"")</f>
        <v>Midwest</v>
      </c>
    </row>
    <row r="686" spans="1:16">
      <c r="A686">
        <v>20240801</v>
      </c>
      <c r="B686">
        <v>1</v>
      </c>
      <c r="C686">
        <v>4</v>
      </c>
      <c r="D686">
        <v>1</v>
      </c>
      <c r="E686">
        <v>13</v>
      </c>
      <c r="F686" t="s">
        <v>92</v>
      </c>
      <c r="G686">
        <v>33969.370000000003</v>
      </c>
      <c r="H686">
        <f>_xlfn.XLOOKUP(tblFinancials[[#This Row],[DateKey]],tblCalendar[DateKey],tblCalendar[FullDate],"")</f>
        <v>45505</v>
      </c>
      <c r="I686">
        <f>_xlfn.XLOOKUP(tblFinancials[[#This Row],[AccountKey]],tblAccounts[AccountKey],tblAccounts[AccountNumber],"")</f>
        <v>4020</v>
      </c>
      <c r="J686" t="str">
        <f>_xlfn.XLOOKUP(tblFinancials[[#This Row],[AccountKey]],tblAccounts[AccountKey],tblAccounts[AccountName],"")</f>
        <v>Online Revenue</v>
      </c>
      <c r="K686" s="8" t="str">
        <f>_xlfn.XLOOKUP(tblFinancials[[#This Row],[AccountKey]],tblAccounts[AccountKey],tblAccounts[FinancialStatement],"")</f>
        <v>Income Statement</v>
      </c>
      <c r="L686" s="8" t="str">
        <f>_xlfn.XLOOKUP(tblFinancials[[#This Row],[AccountKey]],tblAccounts[AccountKey],tblAccounts[AccountCategory],"")</f>
        <v>Revenue</v>
      </c>
      <c r="M686" s="8" t="str">
        <f>_xlfn.XLOOKUP(tblFinancials[[#This Row],[AccountKey]],tblAccounts[AccountKey],tblAccounts[NormalBalance],"")</f>
        <v>Credit</v>
      </c>
      <c r="N686" s="8" t="str">
        <f>_xlfn.XLOOKUP(tblFinancials[[#This Row],[DepartmentKey]],tblDepartments[DepartmentKey],tblDepartments[DepartmentName],"")</f>
        <v>Executive</v>
      </c>
      <c r="O686" s="8" t="str">
        <f>_xlfn.XLOOKUP(tblFinancials[[#This Row],[BusinessUnitKey]],tblBusinessUnits[BusinessUnitKey],tblBusinessUnits[BusinessUnitName],"")</f>
        <v>E-Commerce</v>
      </c>
      <c r="P686" s="8" t="str">
        <f>_xlfn.XLOOKUP(tblFinancials[[#This Row],[RegionKey]],tblRegions[RegionKey],tblRegions[RegionName],"")</f>
        <v>West</v>
      </c>
    </row>
    <row r="687" spans="1:16">
      <c r="A687">
        <v>20240801</v>
      </c>
      <c r="B687">
        <v>5</v>
      </c>
      <c r="C687">
        <v>3</v>
      </c>
      <c r="D687">
        <v>2</v>
      </c>
      <c r="E687">
        <v>13</v>
      </c>
      <c r="F687" t="s">
        <v>92</v>
      </c>
      <c r="G687">
        <v>34050.43</v>
      </c>
      <c r="H687">
        <f>_xlfn.XLOOKUP(tblFinancials[[#This Row],[DateKey]],tblCalendar[DateKey],tblCalendar[FullDate],"")</f>
        <v>45505</v>
      </c>
      <c r="I687">
        <f>_xlfn.XLOOKUP(tblFinancials[[#This Row],[AccountKey]],tblAccounts[AccountKey],tblAccounts[AccountNumber],"")</f>
        <v>4020</v>
      </c>
      <c r="J687" t="str">
        <f>_xlfn.XLOOKUP(tblFinancials[[#This Row],[AccountKey]],tblAccounts[AccountKey],tblAccounts[AccountName],"")</f>
        <v>Online Revenue</v>
      </c>
      <c r="K687" s="8" t="str">
        <f>_xlfn.XLOOKUP(tblFinancials[[#This Row],[AccountKey]],tblAccounts[AccountKey],tblAccounts[FinancialStatement],"")</f>
        <v>Income Statement</v>
      </c>
      <c r="L687" s="8" t="str">
        <f>_xlfn.XLOOKUP(tblFinancials[[#This Row],[AccountKey]],tblAccounts[AccountKey],tblAccounts[AccountCategory],"")</f>
        <v>Revenue</v>
      </c>
      <c r="M687" s="8" t="str">
        <f>_xlfn.XLOOKUP(tblFinancials[[#This Row],[AccountKey]],tblAccounts[AccountKey],tblAccounts[NormalBalance],"")</f>
        <v>Credit</v>
      </c>
      <c r="N687" s="8" t="str">
        <f>_xlfn.XLOOKUP(tblFinancials[[#This Row],[DepartmentKey]],tblDepartments[DepartmentKey],tblDepartments[DepartmentName],"")</f>
        <v>Marketing</v>
      </c>
      <c r="O687" s="8" t="str">
        <f>_xlfn.XLOOKUP(tblFinancials[[#This Row],[BusinessUnitKey]],tblBusinessUnits[BusinessUnitKey],tblBusinessUnits[BusinessUnitName],"")</f>
        <v>Retail</v>
      </c>
      <c r="P687" s="8" t="str">
        <f>_xlfn.XLOOKUP(tblFinancials[[#This Row],[RegionKey]],tblRegions[RegionKey],tblRegions[RegionName],"")</f>
        <v>Midwest</v>
      </c>
    </row>
    <row r="688" spans="1:16">
      <c r="A688">
        <v>20240801</v>
      </c>
      <c r="B688">
        <v>5</v>
      </c>
      <c r="C688">
        <v>2</v>
      </c>
      <c r="D688">
        <v>1</v>
      </c>
      <c r="E688">
        <v>11</v>
      </c>
      <c r="F688" t="s">
        <v>92</v>
      </c>
      <c r="G688">
        <v>31742.66</v>
      </c>
      <c r="H688">
        <f>_xlfn.XLOOKUP(tblFinancials[[#This Row],[DateKey]],tblCalendar[DateKey],tblCalendar[FullDate],"")</f>
        <v>45505</v>
      </c>
      <c r="I688">
        <f>_xlfn.XLOOKUP(tblFinancials[[#This Row],[AccountKey]],tblAccounts[AccountKey],tblAccounts[AccountNumber],"")</f>
        <v>4000</v>
      </c>
      <c r="J688" t="str">
        <f>_xlfn.XLOOKUP(tblFinancials[[#This Row],[AccountKey]],tblAccounts[AccountKey],tblAccounts[AccountName],"")</f>
        <v>Product Revenue</v>
      </c>
      <c r="K688" s="8" t="str">
        <f>_xlfn.XLOOKUP(tblFinancials[[#This Row],[AccountKey]],tblAccounts[AccountKey],tblAccounts[FinancialStatement],"")</f>
        <v>Income Statement</v>
      </c>
      <c r="L688" s="8" t="str">
        <f>_xlfn.XLOOKUP(tblFinancials[[#This Row],[AccountKey]],tblAccounts[AccountKey],tblAccounts[AccountCategory],"")</f>
        <v>Revenue</v>
      </c>
      <c r="M688" s="8" t="str">
        <f>_xlfn.XLOOKUP(tblFinancials[[#This Row],[AccountKey]],tblAccounts[AccountKey],tblAccounts[NormalBalance],"")</f>
        <v>Credit</v>
      </c>
      <c r="N688" s="8" t="str">
        <f>_xlfn.XLOOKUP(tblFinancials[[#This Row],[DepartmentKey]],tblDepartments[DepartmentKey],tblDepartments[DepartmentName],"")</f>
        <v>Marketing</v>
      </c>
      <c r="O688" s="8" t="str">
        <f>_xlfn.XLOOKUP(tblFinancials[[#This Row],[BusinessUnitKey]],tblBusinessUnits[BusinessUnitKey],tblBusinessUnits[BusinessUnitName],"")</f>
        <v>Wholesale</v>
      </c>
      <c r="P688" s="8" t="str">
        <f>_xlfn.XLOOKUP(tblFinancials[[#This Row],[RegionKey]],tblRegions[RegionKey],tblRegions[RegionName],"")</f>
        <v>West</v>
      </c>
    </row>
    <row r="689" spans="1:16">
      <c r="A689">
        <v>20240801</v>
      </c>
      <c r="B689">
        <v>1</v>
      </c>
      <c r="C689">
        <v>2</v>
      </c>
      <c r="D689">
        <v>4</v>
      </c>
      <c r="E689">
        <v>11</v>
      </c>
      <c r="F689" t="s">
        <v>92</v>
      </c>
      <c r="G689">
        <v>33549.64</v>
      </c>
      <c r="H689">
        <f>_xlfn.XLOOKUP(tblFinancials[[#This Row],[DateKey]],tblCalendar[DateKey],tblCalendar[FullDate],"")</f>
        <v>45505</v>
      </c>
      <c r="I689">
        <f>_xlfn.XLOOKUP(tblFinancials[[#This Row],[AccountKey]],tblAccounts[AccountKey],tblAccounts[AccountNumber],"")</f>
        <v>4000</v>
      </c>
      <c r="J689" t="str">
        <f>_xlfn.XLOOKUP(tblFinancials[[#This Row],[AccountKey]],tblAccounts[AccountKey],tblAccounts[AccountName],"")</f>
        <v>Product Revenue</v>
      </c>
      <c r="K689" s="8" t="str">
        <f>_xlfn.XLOOKUP(tblFinancials[[#This Row],[AccountKey]],tblAccounts[AccountKey],tblAccounts[FinancialStatement],"")</f>
        <v>Income Statement</v>
      </c>
      <c r="L689" s="8" t="str">
        <f>_xlfn.XLOOKUP(tblFinancials[[#This Row],[AccountKey]],tblAccounts[AccountKey],tblAccounts[AccountCategory],"")</f>
        <v>Revenue</v>
      </c>
      <c r="M689" s="8" t="str">
        <f>_xlfn.XLOOKUP(tblFinancials[[#This Row],[AccountKey]],tblAccounts[AccountKey],tblAccounts[NormalBalance],"")</f>
        <v>Credit</v>
      </c>
      <c r="N689" s="8" t="str">
        <f>_xlfn.XLOOKUP(tblFinancials[[#This Row],[DepartmentKey]],tblDepartments[DepartmentKey],tblDepartments[DepartmentName],"")</f>
        <v>Executive</v>
      </c>
      <c r="O689" s="8" t="str">
        <f>_xlfn.XLOOKUP(tblFinancials[[#This Row],[BusinessUnitKey]],tblBusinessUnits[BusinessUnitKey],tblBusinessUnits[BusinessUnitName],"")</f>
        <v>Wholesale</v>
      </c>
      <c r="P689" s="8" t="str">
        <f>_xlfn.XLOOKUP(tblFinancials[[#This Row],[RegionKey]],tblRegions[RegionKey],tblRegions[RegionName],"")</f>
        <v>East</v>
      </c>
    </row>
    <row r="690" spans="1:16">
      <c r="A690">
        <v>20240801</v>
      </c>
      <c r="B690">
        <v>4</v>
      </c>
      <c r="C690">
        <v>3</v>
      </c>
      <c r="D690">
        <v>3</v>
      </c>
      <c r="E690">
        <v>11</v>
      </c>
      <c r="F690" t="s">
        <v>92</v>
      </c>
      <c r="G690">
        <v>33165.75</v>
      </c>
      <c r="H690">
        <f>_xlfn.XLOOKUP(tblFinancials[[#This Row],[DateKey]],tblCalendar[DateKey],tblCalendar[FullDate],"")</f>
        <v>45505</v>
      </c>
      <c r="I690">
        <f>_xlfn.XLOOKUP(tblFinancials[[#This Row],[AccountKey]],tblAccounts[AccountKey],tblAccounts[AccountNumber],"")</f>
        <v>4000</v>
      </c>
      <c r="J690" t="str">
        <f>_xlfn.XLOOKUP(tblFinancials[[#This Row],[AccountKey]],tblAccounts[AccountKey],tblAccounts[AccountName],"")</f>
        <v>Product Revenue</v>
      </c>
      <c r="K690" s="8" t="str">
        <f>_xlfn.XLOOKUP(tblFinancials[[#This Row],[AccountKey]],tblAccounts[AccountKey],tblAccounts[FinancialStatement],"")</f>
        <v>Income Statement</v>
      </c>
      <c r="L690" s="8" t="str">
        <f>_xlfn.XLOOKUP(tblFinancials[[#This Row],[AccountKey]],tblAccounts[AccountKey],tblAccounts[AccountCategory],"")</f>
        <v>Revenue</v>
      </c>
      <c r="M690" s="8" t="str">
        <f>_xlfn.XLOOKUP(tblFinancials[[#This Row],[AccountKey]],tblAccounts[AccountKey],tblAccounts[NormalBalance],"")</f>
        <v>Credit</v>
      </c>
      <c r="N690" s="8" t="str">
        <f>_xlfn.XLOOKUP(tblFinancials[[#This Row],[DepartmentKey]],tblDepartments[DepartmentKey],tblDepartments[DepartmentName],"")</f>
        <v>Sales</v>
      </c>
      <c r="O690" s="8" t="str">
        <f>_xlfn.XLOOKUP(tblFinancials[[#This Row],[BusinessUnitKey]],tblBusinessUnits[BusinessUnitKey],tblBusinessUnits[BusinessUnitName],"")</f>
        <v>Retail</v>
      </c>
      <c r="P690" s="8" t="str">
        <f>_xlfn.XLOOKUP(tblFinancials[[#This Row],[RegionKey]],tblRegions[RegionKey],tblRegions[RegionName],"")</f>
        <v>South</v>
      </c>
    </row>
    <row r="691" spans="1:16">
      <c r="A691">
        <v>20240801</v>
      </c>
      <c r="B691">
        <v>1</v>
      </c>
      <c r="C691">
        <v>2</v>
      </c>
      <c r="D691">
        <v>1</v>
      </c>
      <c r="E691">
        <v>12</v>
      </c>
      <c r="F691" t="s">
        <v>92</v>
      </c>
      <c r="G691">
        <v>33583.449999999997</v>
      </c>
      <c r="H691">
        <f>_xlfn.XLOOKUP(tblFinancials[[#This Row],[DateKey]],tblCalendar[DateKey],tblCalendar[FullDate],"")</f>
        <v>45505</v>
      </c>
      <c r="I691">
        <f>_xlfn.XLOOKUP(tblFinancials[[#This Row],[AccountKey]],tblAccounts[AccountKey],tblAccounts[AccountNumber],"")</f>
        <v>4010</v>
      </c>
      <c r="J691" t="str">
        <f>_xlfn.XLOOKUP(tblFinancials[[#This Row],[AccountKey]],tblAccounts[AccountKey],tblAccounts[AccountName],"")</f>
        <v>Service Revenue</v>
      </c>
      <c r="K691" s="8" t="str">
        <f>_xlfn.XLOOKUP(tblFinancials[[#This Row],[AccountKey]],tblAccounts[AccountKey],tblAccounts[FinancialStatement],"")</f>
        <v>Income Statement</v>
      </c>
      <c r="L691" s="8" t="str">
        <f>_xlfn.XLOOKUP(tblFinancials[[#This Row],[AccountKey]],tblAccounts[AccountKey],tblAccounts[AccountCategory],"")</f>
        <v>Revenue</v>
      </c>
      <c r="M691" s="8" t="str">
        <f>_xlfn.XLOOKUP(tblFinancials[[#This Row],[AccountKey]],tblAccounts[AccountKey],tblAccounts[NormalBalance],"")</f>
        <v>Credit</v>
      </c>
      <c r="N691" s="8" t="str">
        <f>_xlfn.XLOOKUP(tblFinancials[[#This Row],[DepartmentKey]],tblDepartments[DepartmentKey],tblDepartments[DepartmentName],"")</f>
        <v>Executive</v>
      </c>
      <c r="O691" s="8" t="str">
        <f>_xlfn.XLOOKUP(tblFinancials[[#This Row],[BusinessUnitKey]],tblBusinessUnits[BusinessUnitKey],tblBusinessUnits[BusinessUnitName],"")</f>
        <v>Wholesale</v>
      </c>
      <c r="P691" s="8" t="str">
        <f>_xlfn.XLOOKUP(tblFinancials[[#This Row],[RegionKey]],tblRegions[RegionKey],tblRegions[RegionName],"")</f>
        <v>West</v>
      </c>
    </row>
    <row r="692" spans="1:16">
      <c r="A692">
        <v>20240801</v>
      </c>
      <c r="B692">
        <v>8</v>
      </c>
      <c r="C692">
        <v>3</v>
      </c>
      <c r="D692">
        <v>1</v>
      </c>
      <c r="E692">
        <v>13</v>
      </c>
      <c r="F692" t="s">
        <v>92</v>
      </c>
      <c r="G692">
        <v>33890.03</v>
      </c>
      <c r="H692">
        <f>_xlfn.XLOOKUP(tblFinancials[[#This Row],[DateKey]],tblCalendar[DateKey],tblCalendar[FullDate],"")</f>
        <v>45505</v>
      </c>
      <c r="I692">
        <f>_xlfn.XLOOKUP(tblFinancials[[#This Row],[AccountKey]],tblAccounts[AccountKey],tblAccounts[AccountNumber],"")</f>
        <v>4020</v>
      </c>
      <c r="J692" t="str">
        <f>_xlfn.XLOOKUP(tblFinancials[[#This Row],[AccountKey]],tblAccounts[AccountKey],tblAccounts[AccountName],"")</f>
        <v>Online Revenue</v>
      </c>
      <c r="K692" s="8" t="str">
        <f>_xlfn.XLOOKUP(tblFinancials[[#This Row],[AccountKey]],tblAccounts[AccountKey],tblAccounts[FinancialStatement],"")</f>
        <v>Income Statement</v>
      </c>
      <c r="L692" s="8" t="str">
        <f>_xlfn.XLOOKUP(tblFinancials[[#This Row],[AccountKey]],tblAccounts[AccountKey],tblAccounts[AccountCategory],"")</f>
        <v>Revenue</v>
      </c>
      <c r="M692" s="8" t="str">
        <f>_xlfn.XLOOKUP(tblFinancials[[#This Row],[AccountKey]],tblAccounts[AccountKey],tblAccounts[NormalBalance],"")</f>
        <v>Credit</v>
      </c>
      <c r="N692" s="8" t="str">
        <f>_xlfn.XLOOKUP(tblFinancials[[#This Row],[DepartmentKey]],tblDepartments[DepartmentKey],tblDepartments[DepartmentName],"")</f>
        <v>Customer Service</v>
      </c>
      <c r="O692" s="8" t="str">
        <f>_xlfn.XLOOKUP(tblFinancials[[#This Row],[BusinessUnitKey]],tblBusinessUnits[BusinessUnitKey],tblBusinessUnits[BusinessUnitName],"")</f>
        <v>Retail</v>
      </c>
      <c r="P692" s="8" t="str">
        <f>_xlfn.XLOOKUP(tblFinancials[[#This Row],[RegionKey]],tblRegions[RegionKey],tblRegions[RegionName],"")</f>
        <v>West</v>
      </c>
    </row>
    <row r="693" spans="1:16">
      <c r="A693">
        <v>20240801</v>
      </c>
      <c r="B693">
        <v>1</v>
      </c>
      <c r="C693">
        <v>4</v>
      </c>
      <c r="D693">
        <v>3</v>
      </c>
      <c r="E693">
        <v>12</v>
      </c>
      <c r="F693" t="s">
        <v>92</v>
      </c>
      <c r="G693">
        <v>32806.959999999999</v>
      </c>
      <c r="H693">
        <f>_xlfn.XLOOKUP(tblFinancials[[#This Row],[DateKey]],tblCalendar[DateKey],tblCalendar[FullDate],"")</f>
        <v>45505</v>
      </c>
      <c r="I693">
        <f>_xlfn.XLOOKUP(tblFinancials[[#This Row],[AccountKey]],tblAccounts[AccountKey],tblAccounts[AccountNumber],"")</f>
        <v>4010</v>
      </c>
      <c r="J693" t="str">
        <f>_xlfn.XLOOKUP(tblFinancials[[#This Row],[AccountKey]],tblAccounts[AccountKey],tblAccounts[AccountName],"")</f>
        <v>Service Revenue</v>
      </c>
      <c r="K693" s="8" t="str">
        <f>_xlfn.XLOOKUP(tblFinancials[[#This Row],[AccountKey]],tblAccounts[AccountKey],tblAccounts[FinancialStatement],"")</f>
        <v>Income Statement</v>
      </c>
      <c r="L693" s="8" t="str">
        <f>_xlfn.XLOOKUP(tblFinancials[[#This Row],[AccountKey]],tblAccounts[AccountKey],tblAccounts[AccountCategory],"")</f>
        <v>Revenue</v>
      </c>
      <c r="M693" s="8" t="str">
        <f>_xlfn.XLOOKUP(tblFinancials[[#This Row],[AccountKey]],tblAccounts[AccountKey],tblAccounts[NormalBalance],"")</f>
        <v>Credit</v>
      </c>
      <c r="N693" s="8" t="str">
        <f>_xlfn.XLOOKUP(tblFinancials[[#This Row],[DepartmentKey]],tblDepartments[DepartmentKey],tblDepartments[DepartmentName],"")</f>
        <v>Executive</v>
      </c>
      <c r="O693" s="8" t="str">
        <f>_xlfn.XLOOKUP(tblFinancials[[#This Row],[BusinessUnitKey]],tblBusinessUnits[BusinessUnitKey],tblBusinessUnits[BusinessUnitName],"")</f>
        <v>E-Commerce</v>
      </c>
      <c r="P693" s="8" t="str">
        <f>_xlfn.XLOOKUP(tblFinancials[[#This Row],[RegionKey]],tblRegions[RegionKey],tblRegions[RegionName],"")</f>
        <v>South</v>
      </c>
    </row>
    <row r="694" spans="1:16">
      <c r="A694">
        <v>20240801</v>
      </c>
      <c r="B694">
        <v>2</v>
      </c>
      <c r="C694">
        <v>1</v>
      </c>
      <c r="D694">
        <v>2</v>
      </c>
      <c r="E694">
        <v>12</v>
      </c>
      <c r="F694" t="s">
        <v>92</v>
      </c>
      <c r="G694">
        <v>33390.04</v>
      </c>
      <c r="H694">
        <f>_xlfn.XLOOKUP(tblFinancials[[#This Row],[DateKey]],tblCalendar[DateKey],tblCalendar[FullDate],"")</f>
        <v>45505</v>
      </c>
      <c r="I694">
        <f>_xlfn.XLOOKUP(tblFinancials[[#This Row],[AccountKey]],tblAccounts[AccountKey],tblAccounts[AccountNumber],"")</f>
        <v>4010</v>
      </c>
      <c r="J694" t="str">
        <f>_xlfn.XLOOKUP(tblFinancials[[#This Row],[AccountKey]],tblAccounts[AccountKey],tblAccounts[AccountName],"")</f>
        <v>Service Revenue</v>
      </c>
      <c r="K694" s="8" t="str">
        <f>_xlfn.XLOOKUP(tblFinancials[[#This Row],[AccountKey]],tblAccounts[AccountKey],tblAccounts[FinancialStatement],"")</f>
        <v>Income Statement</v>
      </c>
      <c r="L694" s="8" t="str">
        <f>_xlfn.XLOOKUP(tblFinancials[[#This Row],[AccountKey]],tblAccounts[AccountKey],tblAccounts[AccountCategory],"")</f>
        <v>Revenue</v>
      </c>
      <c r="M694" s="8" t="str">
        <f>_xlfn.XLOOKUP(tblFinancials[[#This Row],[AccountKey]],tblAccounts[AccountKey],tblAccounts[NormalBalance],"")</f>
        <v>Credit</v>
      </c>
      <c r="N694" s="8" t="str">
        <f>_xlfn.XLOOKUP(tblFinancials[[#This Row],[DepartmentKey]],tblDepartments[DepartmentKey],tblDepartments[DepartmentName],"")</f>
        <v>Finance</v>
      </c>
      <c r="O694" s="8" t="str">
        <f>_xlfn.XLOOKUP(tblFinancials[[#This Row],[BusinessUnitKey]],tblBusinessUnits[BusinessUnitKey],tblBusinessUnits[BusinessUnitName],"")</f>
        <v xml:space="preserve">Manufacturing </v>
      </c>
      <c r="P694" s="8" t="str">
        <f>_xlfn.XLOOKUP(tblFinancials[[#This Row],[RegionKey]],tblRegions[RegionKey],tblRegions[RegionName],"")</f>
        <v>Midwest</v>
      </c>
    </row>
    <row r="695" spans="1:16">
      <c r="A695">
        <v>20240801</v>
      </c>
      <c r="B695">
        <v>3</v>
      </c>
      <c r="C695">
        <v>4</v>
      </c>
      <c r="D695">
        <v>2</v>
      </c>
      <c r="E695">
        <v>11</v>
      </c>
      <c r="F695" t="s">
        <v>92</v>
      </c>
      <c r="G695">
        <v>32455.33</v>
      </c>
      <c r="H695">
        <f>_xlfn.XLOOKUP(tblFinancials[[#This Row],[DateKey]],tblCalendar[DateKey],tblCalendar[FullDate],"")</f>
        <v>45505</v>
      </c>
      <c r="I695">
        <f>_xlfn.XLOOKUP(tblFinancials[[#This Row],[AccountKey]],tblAccounts[AccountKey],tblAccounts[AccountNumber],"")</f>
        <v>4000</v>
      </c>
      <c r="J695" t="str">
        <f>_xlfn.XLOOKUP(tblFinancials[[#This Row],[AccountKey]],tblAccounts[AccountKey],tblAccounts[AccountName],"")</f>
        <v>Product Revenue</v>
      </c>
      <c r="K695" s="8" t="str">
        <f>_xlfn.XLOOKUP(tblFinancials[[#This Row],[AccountKey]],tblAccounts[AccountKey],tblAccounts[FinancialStatement],"")</f>
        <v>Income Statement</v>
      </c>
      <c r="L695" s="8" t="str">
        <f>_xlfn.XLOOKUP(tblFinancials[[#This Row],[AccountKey]],tblAccounts[AccountKey],tblAccounts[AccountCategory],"")</f>
        <v>Revenue</v>
      </c>
      <c r="M695" s="8" t="str">
        <f>_xlfn.XLOOKUP(tblFinancials[[#This Row],[AccountKey]],tblAccounts[AccountKey],tblAccounts[NormalBalance],"")</f>
        <v>Credit</v>
      </c>
      <c r="N695" s="8" t="str">
        <f>_xlfn.XLOOKUP(tblFinancials[[#This Row],[DepartmentKey]],tblDepartments[DepartmentKey],tblDepartments[DepartmentName],"")</f>
        <v>Human Resources</v>
      </c>
      <c r="O695" s="8" t="str">
        <f>_xlfn.XLOOKUP(tblFinancials[[#This Row],[BusinessUnitKey]],tblBusinessUnits[BusinessUnitKey],tblBusinessUnits[BusinessUnitName],"")</f>
        <v>E-Commerce</v>
      </c>
      <c r="P695" s="8" t="str">
        <f>_xlfn.XLOOKUP(tblFinancials[[#This Row],[RegionKey]],tblRegions[RegionKey],tblRegions[RegionName],"")</f>
        <v>Midwest</v>
      </c>
    </row>
    <row r="696" spans="1:16">
      <c r="A696">
        <v>20240801</v>
      </c>
      <c r="B696">
        <v>7</v>
      </c>
      <c r="C696">
        <v>1</v>
      </c>
      <c r="D696">
        <v>4</v>
      </c>
      <c r="E696">
        <v>11</v>
      </c>
      <c r="F696" t="s">
        <v>92</v>
      </c>
      <c r="G696">
        <v>33430.79</v>
      </c>
      <c r="H696">
        <f>_xlfn.XLOOKUP(tblFinancials[[#This Row],[DateKey]],tblCalendar[DateKey],tblCalendar[FullDate],"")</f>
        <v>45505</v>
      </c>
      <c r="I696">
        <f>_xlfn.XLOOKUP(tblFinancials[[#This Row],[AccountKey]],tblAccounts[AccountKey],tblAccounts[AccountNumber],"")</f>
        <v>4000</v>
      </c>
      <c r="J696" t="str">
        <f>_xlfn.XLOOKUP(tblFinancials[[#This Row],[AccountKey]],tblAccounts[AccountKey],tblAccounts[AccountName],"")</f>
        <v>Product Revenue</v>
      </c>
      <c r="K696" s="8" t="str">
        <f>_xlfn.XLOOKUP(tblFinancials[[#This Row],[AccountKey]],tblAccounts[AccountKey],tblAccounts[FinancialStatement],"")</f>
        <v>Income Statement</v>
      </c>
      <c r="L696" s="8" t="str">
        <f>_xlfn.XLOOKUP(tblFinancials[[#This Row],[AccountKey]],tblAccounts[AccountKey],tblAccounts[AccountCategory],"")</f>
        <v>Revenue</v>
      </c>
      <c r="M696" s="8" t="str">
        <f>_xlfn.XLOOKUP(tblFinancials[[#This Row],[AccountKey]],tblAccounts[AccountKey],tblAccounts[NormalBalance],"")</f>
        <v>Credit</v>
      </c>
      <c r="N696" s="8" t="str">
        <f>_xlfn.XLOOKUP(tblFinancials[[#This Row],[DepartmentKey]],tblDepartments[DepartmentKey],tblDepartments[DepartmentName],"")</f>
        <v>Information Technology</v>
      </c>
      <c r="O696" s="8" t="str">
        <f>_xlfn.XLOOKUP(tblFinancials[[#This Row],[BusinessUnitKey]],tblBusinessUnits[BusinessUnitKey],tblBusinessUnits[BusinessUnitName],"")</f>
        <v xml:space="preserve">Manufacturing </v>
      </c>
      <c r="P696" s="8" t="str">
        <f>_xlfn.XLOOKUP(tblFinancials[[#This Row],[RegionKey]],tblRegions[RegionKey],tblRegions[RegionName],"")</f>
        <v>East</v>
      </c>
    </row>
    <row r="697" spans="1:16">
      <c r="A697">
        <v>20240801</v>
      </c>
      <c r="B697">
        <v>4</v>
      </c>
      <c r="C697">
        <v>3</v>
      </c>
      <c r="D697">
        <v>3</v>
      </c>
      <c r="E697">
        <v>11</v>
      </c>
      <c r="F697" t="s">
        <v>92</v>
      </c>
      <c r="G697">
        <v>28550.53</v>
      </c>
      <c r="H697">
        <f>_xlfn.XLOOKUP(tblFinancials[[#This Row],[DateKey]],tblCalendar[DateKey],tblCalendar[FullDate],"")</f>
        <v>45505</v>
      </c>
      <c r="I697">
        <f>_xlfn.XLOOKUP(tblFinancials[[#This Row],[AccountKey]],tblAccounts[AccountKey],tblAccounts[AccountNumber],"")</f>
        <v>4000</v>
      </c>
      <c r="J697" t="str">
        <f>_xlfn.XLOOKUP(tblFinancials[[#This Row],[AccountKey]],tblAccounts[AccountKey],tblAccounts[AccountName],"")</f>
        <v>Product Revenue</v>
      </c>
      <c r="K697" s="8" t="str">
        <f>_xlfn.XLOOKUP(tblFinancials[[#This Row],[AccountKey]],tblAccounts[AccountKey],tblAccounts[FinancialStatement],"")</f>
        <v>Income Statement</v>
      </c>
      <c r="L697" s="8" t="str">
        <f>_xlfn.XLOOKUP(tblFinancials[[#This Row],[AccountKey]],tblAccounts[AccountKey],tblAccounts[AccountCategory],"")</f>
        <v>Revenue</v>
      </c>
      <c r="M697" s="8" t="str">
        <f>_xlfn.XLOOKUP(tblFinancials[[#This Row],[AccountKey]],tblAccounts[AccountKey],tblAccounts[NormalBalance],"")</f>
        <v>Credit</v>
      </c>
      <c r="N697" s="8" t="str">
        <f>_xlfn.XLOOKUP(tblFinancials[[#This Row],[DepartmentKey]],tblDepartments[DepartmentKey],tblDepartments[DepartmentName],"")</f>
        <v>Sales</v>
      </c>
      <c r="O697" s="8" t="str">
        <f>_xlfn.XLOOKUP(tblFinancials[[#This Row],[BusinessUnitKey]],tblBusinessUnits[BusinessUnitKey],tblBusinessUnits[BusinessUnitName],"")</f>
        <v>Retail</v>
      </c>
      <c r="P697" s="8" t="str">
        <f>_xlfn.XLOOKUP(tblFinancials[[#This Row],[RegionKey]],tblRegions[RegionKey],tblRegions[RegionName],"")</f>
        <v>South</v>
      </c>
    </row>
    <row r="698" spans="1:16">
      <c r="A698">
        <v>20240801</v>
      </c>
      <c r="B698">
        <v>2</v>
      </c>
      <c r="C698">
        <v>2</v>
      </c>
      <c r="D698">
        <v>1</v>
      </c>
      <c r="E698">
        <v>14</v>
      </c>
      <c r="F698" t="s">
        <v>92</v>
      </c>
      <c r="G698">
        <v>-20272.09</v>
      </c>
      <c r="H698">
        <f>_xlfn.XLOOKUP(tblFinancials[[#This Row],[DateKey]],tblCalendar[DateKey],tblCalendar[FullDate],"")</f>
        <v>45505</v>
      </c>
      <c r="I698">
        <f>_xlfn.XLOOKUP(tblFinancials[[#This Row],[AccountKey]],tblAccounts[AccountKey],tblAccounts[AccountNumber],"")</f>
        <v>5000</v>
      </c>
      <c r="J698" t="str">
        <f>_xlfn.XLOOKUP(tblFinancials[[#This Row],[AccountKey]],tblAccounts[AccountKey],tblAccounts[AccountName],"")</f>
        <v>Cost of Goods Sold</v>
      </c>
      <c r="K698" s="8" t="str">
        <f>_xlfn.XLOOKUP(tblFinancials[[#This Row],[AccountKey]],tblAccounts[AccountKey],tblAccounts[FinancialStatement],"")</f>
        <v>Income Statement</v>
      </c>
      <c r="L698" s="8" t="str">
        <f>_xlfn.XLOOKUP(tblFinancials[[#This Row],[AccountKey]],tblAccounts[AccountKey],tblAccounts[AccountCategory],"")</f>
        <v>Cost of Sales</v>
      </c>
      <c r="M698" s="8" t="str">
        <f>_xlfn.XLOOKUP(tblFinancials[[#This Row],[AccountKey]],tblAccounts[AccountKey],tblAccounts[NormalBalance],"")</f>
        <v>Debit</v>
      </c>
      <c r="N698" s="8" t="str">
        <f>_xlfn.XLOOKUP(tblFinancials[[#This Row],[DepartmentKey]],tblDepartments[DepartmentKey],tblDepartments[DepartmentName],"")</f>
        <v>Finance</v>
      </c>
      <c r="O698" s="8" t="str">
        <f>_xlfn.XLOOKUP(tblFinancials[[#This Row],[BusinessUnitKey]],tblBusinessUnits[BusinessUnitKey],tblBusinessUnits[BusinessUnitName],"")</f>
        <v>Wholesale</v>
      </c>
      <c r="P698" s="8" t="str">
        <f>_xlfn.XLOOKUP(tblFinancials[[#This Row],[RegionKey]],tblRegions[RegionKey],tblRegions[RegionName],"")</f>
        <v>West</v>
      </c>
    </row>
    <row r="699" spans="1:16">
      <c r="A699">
        <v>20240801</v>
      </c>
      <c r="B699">
        <v>5</v>
      </c>
      <c r="C699">
        <v>1</v>
      </c>
      <c r="D699">
        <v>2</v>
      </c>
      <c r="E699">
        <v>14</v>
      </c>
      <c r="F699" t="s">
        <v>92</v>
      </c>
      <c r="G699">
        <v>-18825.96</v>
      </c>
      <c r="H699">
        <f>_xlfn.XLOOKUP(tblFinancials[[#This Row],[DateKey]],tblCalendar[DateKey],tblCalendar[FullDate],"")</f>
        <v>45505</v>
      </c>
      <c r="I699">
        <f>_xlfn.XLOOKUP(tblFinancials[[#This Row],[AccountKey]],tblAccounts[AccountKey],tblAccounts[AccountNumber],"")</f>
        <v>5000</v>
      </c>
      <c r="J699" t="str">
        <f>_xlfn.XLOOKUP(tblFinancials[[#This Row],[AccountKey]],tblAccounts[AccountKey],tblAccounts[AccountName],"")</f>
        <v>Cost of Goods Sold</v>
      </c>
      <c r="K699" s="8" t="str">
        <f>_xlfn.XLOOKUP(tblFinancials[[#This Row],[AccountKey]],tblAccounts[AccountKey],tblAccounts[FinancialStatement],"")</f>
        <v>Income Statement</v>
      </c>
      <c r="L699" s="8" t="str">
        <f>_xlfn.XLOOKUP(tblFinancials[[#This Row],[AccountKey]],tblAccounts[AccountKey],tblAccounts[AccountCategory],"")</f>
        <v>Cost of Sales</v>
      </c>
      <c r="M699" s="8" t="str">
        <f>_xlfn.XLOOKUP(tblFinancials[[#This Row],[AccountKey]],tblAccounts[AccountKey],tblAccounts[NormalBalance],"")</f>
        <v>Debit</v>
      </c>
      <c r="N699" s="8" t="str">
        <f>_xlfn.XLOOKUP(tblFinancials[[#This Row],[DepartmentKey]],tblDepartments[DepartmentKey],tblDepartments[DepartmentName],"")</f>
        <v>Marketing</v>
      </c>
      <c r="O699" s="8" t="str">
        <f>_xlfn.XLOOKUP(tblFinancials[[#This Row],[BusinessUnitKey]],tblBusinessUnits[BusinessUnitKey],tblBusinessUnits[BusinessUnitName],"")</f>
        <v xml:space="preserve">Manufacturing </v>
      </c>
      <c r="P699" s="8" t="str">
        <f>_xlfn.XLOOKUP(tblFinancials[[#This Row],[RegionKey]],tblRegions[RegionKey],tblRegions[RegionName],"")</f>
        <v>Midwest</v>
      </c>
    </row>
    <row r="700" spans="1:16">
      <c r="A700">
        <v>20240801</v>
      </c>
      <c r="B700">
        <v>7</v>
      </c>
      <c r="C700">
        <v>4</v>
      </c>
      <c r="D700">
        <v>3</v>
      </c>
      <c r="E700">
        <v>14</v>
      </c>
      <c r="F700" t="s">
        <v>92</v>
      </c>
      <c r="G700">
        <v>-18336.95</v>
      </c>
      <c r="H700">
        <f>_xlfn.XLOOKUP(tblFinancials[[#This Row],[DateKey]],tblCalendar[DateKey],tblCalendar[FullDate],"")</f>
        <v>45505</v>
      </c>
      <c r="I700">
        <f>_xlfn.XLOOKUP(tblFinancials[[#This Row],[AccountKey]],tblAccounts[AccountKey],tblAccounts[AccountNumber],"")</f>
        <v>5000</v>
      </c>
      <c r="J700" t="str">
        <f>_xlfn.XLOOKUP(tblFinancials[[#This Row],[AccountKey]],tblAccounts[AccountKey],tblAccounts[AccountName],"")</f>
        <v>Cost of Goods Sold</v>
      </c>
      <c r="K700" s="8" t="str">
        <f>_xlfn.XLOOKUP(tblFinancials[[#This Row],[AccountKey]],tblAccounts[AccountKey],tblAccounts[FinancialStatement],"")</f>
        <v>Income Statement</v>
      </c>
      <c r="L700" s="8" t="str">
        <f>_xlfn.XLOOKUP(tblFinancials[[#This Row],[AccountKey]],tblAccounts[AccountKey],tblAccounts[AccountCategory],"")</f>
        <v>Cost of Sales</v>
      </c>
      <c r="M700" s="8" t="str">
        <f>_xlfn.XLOOKUP(tblFinancials[[#This Row],[AccountKey]],tblAccounts[AccountKey],tblAccounts[NormalBalance],"")</f>
        <v>Debit</v>
      </c>
      <c r="N700" s="8" t="str">
        <f>_xlfn.XLOOKUP(tblFinancials[[#This Row],[DepartmentKey]],tblDepartments[DepartmentKey],tblDepartments[DepartmentName],"")</f>
        <v>Information Technology</v>
      </c>
      <c r="O700" s="8" t="str">
        <f>_xlfn.XLOOKUP(tblFinancials[[#This Row],[BusinessUnitKey]],tblBusinessUnits[BusinessUnitKey],tblBusinessUnits[BusinessUnitName],"")</f>
        <v>E-Commerce</v>
      </c>
      <c r="P700" s="8" t="str">
        <f>_xlfn.XLOOKUP(tblFinancials[[#This Row],[RegionKey]],tblRegions[RegionKey],tblRegions[RegionName],"")</f>
        <v>South</v>
      </c>
    </row>
    <row r="701" spans="1:16">
      <c r="A701">
        <v>20240801</v>
      </c>
      <c r="B701">
        <v>1</v>
      </c>
      <c r="C701">
        <v>2</v>
      </c>
      <c r="D701">
        <v>3</v>
      </c>
      <c r="E701">
        <v>14</v>
      </c>
      <c r="F701" t="s">
        <v>92</v>
      </c>
      <c r="G701">
        <v>-18493.8</v>
      </c>
      <c r="H701">
        <f>_xlfn.XLOOKUP(tblFinancials[[#This Row],[DateKey]],tblCalendar[DateKey],tblCalendar[FullDate],"")</f>
        <v>45505</v>
      </c>
      <c r="I701">
        <f>_xlfn.XLOOKUP(tblFinancials[[#This Row],[AccountKey]],tblAccounts[AccountKey],tblAccounts[AccountNumber],"")</f>
        <v>5000</v>
      </c>
      <c r="J701" t="str">
        <f>_xlfn.XLOOKUP(tblFinancials[[#This Row],[AccountKey]],tblAccounts[AccountKey],tblAccounts[AccountName],"")</f>
        <v>Cost of Goods Sold</v>
      </c>
      <c r="K701" s="8" t="str">
        <f>_xlfn.XLOOKUP(tblFinancials[[#This Row],[AccountKey]],tblAccounts[AccountKey],tblAccounts[FinancialStatement],"")</f>
        <v>Income Statement</v>
      </c>
      <c r="L701" s="8" t="str">
        <f>_xlfn.XLOOKUP(tblFinancials[[#This Row],[AccountKey]],tblAccounts[AccountKey],tblAccounts[AccountCategory],"")</f>
        <v>Cost of Sales</v>
      </c>
      <c r="M701" s="8" t="str">
        <f>_xlfn.XLOOKUP(tblFinancials[[#This Row],[AccountKey]],tblAccounts[AccountKey],tblAccounts[NormalBalance],"")</f>
        <v>Debit</v>
      </c>
      <c r="N701" s="8" t="str">
        <f>_xlfn.XLOOKUP(tblFinancials[[#This Row],[DepartmentKey]],tblDepartments[DepartmentKey],tblDepartments[DepartmentName],"")</f>
        <v>Executive</v>
      </c>
      <c r="O701" s="8" t="str">
        <f>_xlfn.XLOOKUP(tblFinancials[[#This Row],[BusinessUnitKey]],tblBusinessUnits[BusinessUnitKey],tblBusinessUnits[BusinessUnitName],"")</f>
        <v>Wholesale</v>
      </c>
      <c r="P701" s="8" t="str">
        <f>_xlfn.XLOOKUP(tblFinancials[[#This Row],[RegionKey]],tblRegions[RegionKey],tblRegions[RegionName],"")</f>
        <v>South</v>
      </c>
    </row>
    <row r="702" spans="1:16">
      <c r="A702">
        <v>20240801</v>
      </c>
      <c r="B702">
        <v>4</v>
      </c>
      <c r="C702">
        <v>3</v>
      </c>
      <c r="D702">
        <v>4</v>
      </c>
      <c r="E702">
        <v>14</v>
      </c>
      <c r="F702" t="s">
        <v>92</v>
      </c>
      <c r="G702">
        <v>-18366</v>
      </c>
      <c r="H702">
        <f>_xlfn.XLOOKUP(tblFinancials[[#This Row],[DateKey]],tblCalendar[DateKey],tblCalendar[FullDate],"")</f>
        <v>45505</v>
      </c>
      <c r="I702">
        <f>_xlfn.XLOOKUP(tblFinancials[[#This Row],[AccountKey]],tblAccounts[AccountKey],tblAccounts[AccountNumber],"")</f>
        <v>5000</v>
      </c>
      <c r="J702" t="str">
        <f>_xlfn.XLOOKUP(tblFinancials[[#This Row],[AccountKey]],tblAccounts[AccountKey],tblAccounts[AccountName],"")</f>
        <v>Cost of Goods Sold</v>
      </c>
      <c r="K702" s="8" t="str">
        <f>_xlfn.XLOOKUP(tblFinancials[[#This Row],[AccountKey]],tblAccounts[AccountKey],tblAccounts[FinancialStatement],"")</f>
        <v>Income Statement</v>
      </c>
      <c r="L702" s="8" t="str">
        <f>_xlfn.XLOOKUP(tblFinancials[[#This Row],[AccountKey]],tblAccounts[AccountKey],tblAccounts[AccountCategory],"")</f>
        <v>Cost of Sales</v>
      </c>
      <c r="M702" s="8" t="str">
        <f>_xlfn.XLOOKUP(tblFinancials[[#This Row],[AccountKey]],tblAccounts[AccountKey],tblAccounts[NormalBalance],"")</f>
        <v>Debit</v>
      </c>
      <c r="N702" s="8" t="str">
        <f>_xlfn.XLOOKUP(tblFinancials[[#This Row],[DepartmentKey]],tblDepartments[DepartmentKey],tblDepartments[DepartmentName],"")</f>
        <v>Sales</v>
      </c>
      <c r="O702" s="8" t="str">
        <f>_xlfn.XLOOKUP(tblFinancials[[#This Row],[BusinessUnitKey]],tblBusinessUnits[BusinessUnitKey],tblBusinessUnits[BusinessUnitName],"")</f>
        <v>Retail</v>
      </c>
      <c r="P702" s="8" t="str">
        <f>_xlfn.XLOOKUP(tblFinancials[[#This Row],[RegionKey]],tblRegions[RegionKey],tblRegions[RegionName],"")</f>
        <v>East</v>
      </c>
    </row>
    <row r="703" spans="1:16">
      <c r="A703">
        <v>20240801</v>
      </c>
      <c r="B703">
        <v>8</v>
      </c>
      <c r="C703">
        <v>3</v>
      </c>
      <c r="D703">
        <v>4</v>
      </c>
      <c r="E703">
        <v>14</v>
      </c>
      <c r="F703" t="s">
        <v>92</v>
      </c>
      <c r="G703">
        <v>-19637.05</v>
      </c>
      <c r="H703">
        <f>_xlfn.XLOOKUP(tblFinancials[[#This Row],[DateKey]],tblCalendar[DateKey],tblCalendar[FullDate],"")</f>
        <v>45505</v>
      </c>
      <c r="I703">
        <f>_xlfn.XLOOKUP(tblFinancials[[#This Row],[AccountKey]],tblAccounts[AccountKey],tblAccounts[AccountNumber],"")</f>
        <v>5000</v>
      </c>
      <c r="J703" t="str">
        <f>_xlfn.XLOOKUP(tblFinancials[[#This Row],[AccountKey]],tblAccounts[AccountKey],tblAccounts[AccountName],"")</f>
        <v>Cost of Goods Sold</v>
      </c>
      <c r="K703" s="8" t="str">
        <f>_xlfn.XLOOKUP(tblFinancials[[#This Row],[AccountKey]],tblAccounts[AccountKey],tblAccounts[FinancialStatement],"")</f>
        <v>Income Statement</v>
      </c>
      <c r="L703" s="8" t="str">
        <f>_xlfn.XLOOKUP(tblFinancials[[#This Row],[AccountKey]],tblAccounts[AccountKey],tblAccounts[AccountCategory],"")</f>
        <v>Cost of Sales</v>
      </c>
      <c r="M703" s="8" t="str">
        <f>_xlfn.XLOOKUP(tblFinancials[[#This Row],[AccountKey]],tblAccounts[AccountKey],tblAccounts[NormalBalance],"")</f>
        <v>Debit</v>
      </c>
      <c r="N703" s="8" t="str">
        <f>_xlfn.XLOOKUP(tblFinancials[[#This Row],[DepartmentKey]],tblDepartments[DepartmentKey],tblDepartments[DepartmentName],"")</f>
        <v>Customer Service</v>
      </c>
      <c r="O703" s="8" t="str">
        <f>_xlfn.XLOOKUP(tblFinancials[[#This Row],[BusinessUnitKey]],tblBusinessUnits[BusinessUnitKey],tblBusinessUnits[BusinessUnitName],"")</f>
        <v>Retail</v>
      </c>
      <c r="P703" s="8" t="str">
        <f>_xlfn.XLOOKUP(tblFinancials[[#This Row],[RegionKey]],tblRegions[RegionKey],tblRegions[RegionName],"")</f>
        <v>East</v>
      </c>
    </row>
    <row r="704" spans="1:16">
      <c r="A704">
        <v>20240801</v>
      </c>
      <c r="B704">
        <v>5</v>
      </c>
      <c r="C704">
        <v>1</v>
      </c>
      <c r="D704">
        <v>2</v>
      </c>
      <c r="E704">
        <v>14</v>
      </c>
      <c r="F704" t="s">
        <v>92</v>
      </c>
      <c r="G704">
        <v>-20171.71</v>
      </c>
      <c r="H704">
        <f>_xlfn.XLOOKUP(tblFinancials[[#This Row],[DateKey]],tblCalendar[DateKey],tblCalendar[FullDate],"")</f>
        <v>45505</v>
      </c>
      <c r="I704">
        <f>_xlfn.XLOOKUP(tblFinancials[[#This Row],[AccountKey]],tblAccounts[AccountKey],tblAccounts[AccountNumber],"")</f>
        <v>5000</v>
      </c>
      <c r="J704" t="str">
        <f>_xlfn.XLOOKUP(tblFinancials[[#This Row],[AccountKey]],tblAccounts[AccountKey],tblAccounts[AccountName],"")</f>
        <v>Cost of Goods Sold</v>
      </c>
      <c r="K704" s="8" t="str">
        <f>_xlfn.XLOOKUP(tblFinancials[[#This Row],[AccountKey]],tblAccounts[AccountKey],tblAccounts[FinancialStatement],"")</f>
        <v>Income Statement</v>
      </c>
      <c r="L704" s="8" t="str">
        <f>_xlfn.XLOOKUP(tblFinancials[[#This Row],[AccountKey]],tblAccounts[AccountKey],tblAccounts[AccountCategory],"")</f>
        <v>Cost of Sales</v>
      </c>
      <c r="M704" s="8" t="str">
        <f>_xlfn.XLOOKUP(tblFinancials[[#This Row],[AccountKey]],tblAccounts[AccountKey],tblAccounts[NormalBalance],"")</f>
        <v>Debit</v>
      </c>
      <c r="N704" s="8" t="str">
        <f>_xlfn.XLOOKUP(tblFinancials[[#This Row],[DepartmentKey]],tblDepartments[DepartmentKey],tblDepartments[DepartmentName],"")</f>
        <v>Marketing</v>
      </c>
      <c r="O704" s="8" t="str">
        <f>_xlfn.XLOOKUP(tblFinancials[[#This Row],[BusinessUnitKey]],tblBusinessUnits[BusinessUnitKey],tblBusinessUnits[BusinessUnitName],"")</f>
        <v xml:space="preserve">Manufacturing </v>
      </c>
      <c r="P704" s="8" t="str">
        <f>_xlfn.XLOOKUP(tblFinancials[[#This Row],[RegionKey]],tblRegions[RegionKey],tblRegions[RegionName],"")</f>
        <v>Midwest</v>
      </c>
    </row>
    <row r="705" spans="1:16">
      <c r="A705">
        <v>20240801</v>
      </c>
      <c r="B705">
        <v>8</v>
      </c>
      <c r="C705">
        <v>3</v>
      </c>
      <c r="D705">
        <v>3</v>
      </c>
      <c r="E705">
        <v>14</v>
      </c>
      <c r="F705" t="s">
        <v>92</v>
      </c>
      <c r="G705">
        <v>-19517.099999999999</v>
      </c>
      <c r="H705">
        <f>_xlfn.XLOOKUP(tblFinancials[[#This Row],[DateKey]],tblCalendar[DateKey],tblCalendar[FullDate],"")</f>
        <v>45505</v>
      </c>
      <c r="I705">
        <f>_xlfn.XLOOKUP(tblFinancials[[#This Row],[AccountKey]],tblAccounts[AccountKey],tblAccounts[AccountNumber],"")</f>
        <v>5000</v>
      </c>
      <c r="J705" t="str">
        <f>_xlfn.XLOOKUP(tblFinancials[[#This Row],[AccountKey]],tblAccounts[AccountKey],tblAccounts[AccountName],"")</f>
        <v>Cost of Goods Sold</v>
      </c>
      <c r="K705" s="8" t="str">
        <f>_xlfn.XLOOKUP(tblFinancials[[#This Row],[AccountKey]],tblAccounts[AccountKey],tblAccounts[FinancialStatement],"")</f>
        <v>Income Statement</v>
      </c>
      <c r="L705" s="8" t="str">
        <f>_xlfn.XLOOKUP(tblFinancials[[#This Row],[AccountKey]],tblAccounts[AccountKey],tblAccounts[AccountCategory],"")</f>
        <v>Cost of Sales</v>
      </c>
      <c r="M705" s="8" t="str">
        <f>_xlfn.XLOOKUP(tblFinancials[[#This Row],[AccountKey]],tblAccounts[AccountKey],tblAccounts[NormalBalance],"")</f>
        <v>Debit</v>
      </c>
      <c r="N705" s="8" t="str">
        <f>_xlfn.XLOOKUP(tblFinancials[[#This Row],[DepartmentKey]],tblDepartments[DepartmentKey],tblDepartments[DepartmentName],"")</f>
        <v>Customer Service</v>
      </c>
      <c r="O705" s="8" t="str">
        <f>_xlfn.XLOOKUP(tblFinancials[[#This Row],[BusinessUnitKey]],tblBusinessUnits[BusinessUnitKey],tblBusinessUnits[BusinessUnitName],"")</f>
        <v>Retail</v>
      </c>
      <c r="P705" s="8" t="str">
        <f>_xlfn.XLOOKUP(tblFinancials[[#This Row],[RegionKey]],tblRegions[RegionKey],tblRegions[RegionName],"")</f>
        <v>South</v>
      </c>
    </row>
    <row r="706" spans="1:16">
      <c r="A706">
        <v>20240801</v>
      </c>
      <c r="B706">
        <v>1</v>
      </c>
      <c r="C706">
        <v>3</v>
      </c>
      <c r="D706">
        <v>1</v>
      </c>
      <c r="E706">
        <v>14</v>
      </c>
      <c r="F706" t="s">
        <v>92</v>
      </c>
      <c r="G706">
        <v>-19142.599999999999</v>
      </c>
      <c r="H706">
        <f>_xlfn.XLOOKUP(tblFinancials[[#This Row],[DateKey]],tblCalendar[DateKey],tblCalendar[FullDate],"")</f>
        <v>45505</v>
      </c>
      <c r="I706">
        <f>_xlfn.XLOOKUP(tblFinancials[[#This Row],[AccountKey]],tblAccounts[AccountKey],tblAccounts[AccountNumber],"")</f>
        <v>5000</v>
      </c>
      <c r="J706" t="str">
        <f>_xlfn.XLOOKUP(tblFinancials[[#This Row],[AccountKey]],tblAccounts[AccountKey],tblAccounts[AccountName],"")</f>
        <v>Cost of Goods Sold</v>
      </c>
      <c r="K706" s="8" t="str">
        <f>_xlfn.XLOOKUP(tblFinancials[[#This Row],[AccountKey]],tblAccounts[AccountKey],tblAccounts[FinancialStatement],"")</f>
        <v>Income Statement</v>
      </c>
      <c r="L706" s="8" t="str">
        <f>_xlfn.XLOOKUP(tblFinancials[[#This Row],[AccountKey]],tblAccounts[AccountKey],tblAccounts[AccountCategory],"")</f>
        <v>Cost of Sales</v>
      </c>
      <c r="M706" s="8" t="str">
        <f>_xlfn.XLOOKUP(tblFinancials[[#This Row],[AccountKey]],tblAccounts[AccountKey],tblAccounts[NormalBalance],"")</f>
        <v>Debit</v>
      </c>
      <c r="N706" s="8" t="str">
        <f>_xlfn.XLOOKUP(tblFinancials[[#This Row],[DepartmentKey]],tblDepartments[DepartmentKey],tblDepartments[DepartmentName],"")</f>
        <v>Executive</v>
      </c>
      <c r="O706" s="8" t="str">
        <f>_xlfn.XLOOKUP(tblFinancials[[#This Row],[BusinessUnitKey]],tblBusinessUnits[BusinessUnitKey],tblBusinessUnits[BusinessUnitName],"")</f>
        <v>Retail</v>
      </c>
      <c r="P706" s="8" t="str">
        <f>_xlfn.XLOOKUP(tblFinancials[[#This Row],[RegionKey]],tblRegions[RegionKey],tblRegions[RegionName],"")</f>
        <v>West</v>
      </c>
    </row>
    <row r="707" spans="1:16">
      <c r="A707">
        <v>20240801</v>
      </c>
      <c r="B707">
        <v>5</v>
      </c>
      <c r="C707">
        <v>1</v>
      </c>
      <c r="D707">
        <v>2</v>
      </c>
      <c r="E707">
        <v>14</v>
      </c>
      <c r="F707" t="s">
        <v>92</v>
      </c>
      <c r="G707">
        <v>-20211.22</v>
      </c>
      <c r="H707">
        <f>_xlfn.XLOOKUP(tblFinancials[[#This Row],[DateKey]],tblCalendar[DateKey],tblCalendar[FullDate],"")</f>
        <v>45505</v>
      </c>
      <c r="I707">
        <f>_xlfn.XLOOKUP(tblFinancials[[#This Row],[AccountKey]],tblAccounts[AccountKey],tblAccounts[AccountNumber],"")</f>
        <v>5000</v>
      </c>
      <c r="J707" t="str">
        <f>_xlfn.XLOOKUP(tblFinancials[[#This Row],[AccountKey]],tblAccounts[AccountKey],tblAccounts[AccountName],"")</f>
        <v>Cost of Goods Sold</v>
      </c>
      <c r="K707" s="8" t="str">
        <f>_xlfn.XLOOKUP(tblFinancials[[#This Row],[AccountKey]],tblAccounts[AccountKey],tblAccounts[FinancialStatement],"")</f>
        <v>Income Statement</v>
      </c>
      <c r="L707" s="8" t="str">
        <f>_xlfn.XLOOKUP(tblFinancials[[#This Row],[AccountKey]],tblAccounts[AccountKey],tblAccounts[AccountCategory],"")</f>
        <v>Cost of Sales</v>
      </c>
      <c r="M707" s="8" t="str">
        <f>_xlfn.XLOOKUP(tblFinancials[[#This Row],[AccountKey]],tblAccounts[AccountKey],tblAccounts[NormalBalance],"")</f>
        <v>Debit</v>
      </c>
      <c r="N707" s="8" t="str">
        <f>_xlfn.XLOOKUP(tblFinancials[[#This Row],[DepartmentKey]],tblDepartments[DepartmentKey],tblDepartments[DepartmentName],"")</f>
        <v>Marketing</v>
      </c>
      <c r="O707" s="8" t="str">
        <f>_xlfn.XLOOKUP(tblFinancials[[#This Row],[BusinessUnitKey]],tblBusinessUnits[BusinessUnitKey],tblBusinessUnits[BusinessUnitName],"")</f>
        <v xml:space="preserve">Manufacturing </v>
      </c>
      <c r="P707" s="8" t="str">
        <f>_xlfn.XLOOKUP(tblFinancials[[#This Row],[RegionKey]],tblRegions[RegionKey],tblRegions[RegionName],"")</f>
        <v>Midwest</v>
      </c>
    </row>
    <row r="708" spans="1:16">
      <c r="A708">
        <v>20240801</v>
      </c>
      <c r="B708">
        <v>6</v>
      </c>
      <c r="C708">
        <v>2</v>
      </c>
      <c r="D708">
        <v>3</v>
      </c>
      <c r="E708">
        <v>14</v>
      </c>
      <c r="F708" t="s">
        <v>92</v>
      </c>
      <c r="G708">
        <v>-18110.78</v>
      </c>
      <c r="H708">
        <f>_xlfn.XLOOKUP(tblFinancials[[#This Row],[DateKey]],tblCalendar[DateKey],tblCalendar[FullDate],"")</f>
        <v>45505</v>
      </c>
      <c r="I708">
        <f>_xlfn.XLOOKUP(tblFinancials[[#This Row],[AccountKey]],tblAccounts[AccountKey],tblAccounts[AccountNumber],"")</f>
        <v>5000</v>
      </c>
      <c r="J708" t="str">
        <f>_xlfn.XLOOKUP(tblFinancials[[#This Row],[AccountKey]],tblAccounts[AccountKey],tblAccounts[AccountName],"")</f>
        <v>Cost of Goods Sold</v>
      </c>
      <c r="K708" s="8" t="str">
        <f>_xlfn.XLOOKUP(tblFinancials[[#This Row],[AccountKey]],tblAccounts[AccountKey],tblAccounts[FinancialStatement],"")</f>
        <v>Income Statement</v>
      </c>
      <c r="L708" s="8" t="str">
        <f>_xlfn.XLOOKUP(tblFinancials[[#This Row],[AccountKey]],tblAccounts[AccountKey],tblAccounts[AccountCategory],"")</f>
        <v>Cost of Sales</v>
      </c>
      <c r="M708" s="8" t="str">
        <f>_xlfn.XLOOKUP(tblFinancials[[#This Row],[AccountKey]],tblAccounts[AccountKey],tblAccounts[NormalBalance],"")</f>
        <v>Debit</v>
      </c>
      <c r="N708" s="8" t="str">
        <f>_xlfn.XLOOKUP(tblFinancials[[#This Row],[DepartmentKey]],tblDepartments[DepartmentKey],tblDepartments[DepartmentName],"")</f>
        <v>Operations</v>
      </c>
      <c r="O708" s="8" t="str">
        <f>_xlfn.XLOOKUP(tblFinancials[[#This Row],[BusinessUnitKey]],tblBusinessUnits[BusinessUnitKey],tblBusinessUnits[BusinessUnitName],"")</f>
        <v>Wholesale</v>
      </c>
      <c r="P708" s="8" t="str">
        <f>_xlfn.XLOOKUP(tblFinancials[[#This Row],[RegionKey]],tblRegions[RegionKey],tblRegions[RegionName],"")</f>
        <v>South</v>
      </c>
    </row>
    <row r="709" spans="1:16">
      <c r="A709">
        <v>20240801</v>
      </c>
      <c r="B709">
        <v>5</v>
      </c>
      <c r="C709">
        <v>1</v>
      </c>
      <c r="D709">
        <v>1</v>
      </c>
      <c r="E709">
        <v>14</v>
      </c>
      <c r="F709" t="s">
        <v>92</v>
      </c>
      <c r="G709">
        <v>-19746.95</v>
      </c>
      <c r="H709">
        <f>_xlfn.XLOOKUP(tblFinancials[[#This Row],[DateKey]],tblCalendar[DateKey],tblCalendar[FullDate],"")</f>
        <v>45505</v>
      </c>
      <c r="I709">
        <f>_xlfn.XLOOKUP(tblFinancials[[#This Row],[AccountKey]],tblAccounts[AccountKey],tblAccounts[AccountNumber],"")</f>
        <v>5000</v>
      </c>
      <c r="J709" t="str">
        <f>_xlfn.XLOOKUP(tblFinancials[[#This Row],[AccountKey]],tblAccounts[AccountKey],tblAccounts[AccountName],"")</f>
        <v>Cost of Goods Sold</v>
      </c>
      <c r="K709" s="8" t="str">
        <f>_xlfn.XLOOKUP(tblFinancials[[#This Row],[AccountKey]],tblAccounts[AccountKey],tblAccounts[FinancialStatement],"")</f>
        <v>Income Statement</v>
      </c>
      <c r="L709" s="8" t="str">
        <f>_xlfn.XLOOKUP(tblFinancials[[#This Row],[AccountKey]],tblAccounts[AccountKey],tblAccounts[AccountCategory],"")</f>
        <v>Cost of Sales</v>
      </c>
      <c r="M709" s="8" t="str">
        <f>_xlfn.XLOOKUP(tblFinancials[[#This Row],[AccountKey]],tblAccounts[AccountKey],tblAccounts[NormalBalance],"")</f>
        <v>Debit</v>
      </c>
      <c r="N709" s="8" t="str">
        <f>_xlfn.XLOOKUP(tblFinancials[[#This Row],[DepartmentKey]],tblDepartments[DepartmentKey],tblDepartments[DepartmentName],"")</f>
        <v>Marketing</v>
      </c>
      <c r="O709" s="8" t="str">
        <f>_xlfn.XLOOKUP(tblFinancials[[#This Row],[BusinessUnitKey]],tblBusinessUnits[BusinessUnitKey],tblBusinessUnits[BusinessUnitName],"")</f>
        <v xml:space="preserve">Manufacturing </v>
      </c>
      <c r="P709" s="8" t="str">
        <f>_xlfn.XLOOKUP(tblFinancials[[#This Row],[RegionKey]],tblRegions[RegionKey],tblRegions[RegionName],"")</f>
        <v>West</v>
      </c>
    </row>
    <row r="710" spans="1:16">
      <c r="A710">
        <v>20240801</v>
      </c>
      <c r="B710">
        <v>7</v>
      </c>
      <c r="C710">
        <v>4</v>
      </c>
      <c r="D710">
        <v>1</v>
      </c>
      <c r="E710">
        <v>18</v>
      </c>
      <c r="F710" t="s">
        <v>92</v>
      </c>
      <c r="G710">
        <v>-7029.85</v>
      </c>
      <c r="H710">
        <f>_xlfn.XLOOKUP(tblFinancials[[#This Row],[DateKey]],tblCalendar[DateKey],tblCalendar[FullDate],"")</f>
        <v>45505</v>
      </c>
      <c r="I710">
        <f>_xlfn.XLOOKUP(tblFinancials[[#This Row],[AccountKey]],tblAccounts[AccountKey],tblAccounts[AccountNumber],"")</f>
        <v>6200</v>
      </c>
      <c r="J710" t="str">
        <f>_xlfn.XLOOKUP(tblFinancials[[#This Row],[AccountKey]],tblAccounts[AccountKey],tblAccounts[AccountName],"")</f>
        <v>Marketing Expense</v>
      </c>
      <c r="K710" s="8" t="str">
        <f>_xlfn.XLOOKUP(tblFinancials[[#This Row],[AccountKey]],tblAccounts[AccountKey],tblAccounts[FinancialStatement],"")</f>
        <v>Income Statement</v>
      </c>
      <c r="L710" s="8" t="str">
        <f>_xlfn.XLOOKUP(tblFinancials[[#This Row],[AccountKey]],tblAccounts[AccountKey],tblAccounts[AccountCategory],"")</f>
        <v>Operating Expense</v>
      </c>
      <c r="M710" s="8" t="str">
        <f>_xlfn.XLOOKUP(tblFinancials[[#This Row],[AccountKey]],tblAccounts[AccountKey],tblAccounts[NormalBalance],"")</f>
        <v>Debit</v>
      </c>
      <c r="N710" s="8" t="str">
        <f>_xlfn.XLOOKUP(tblFinancials[[#This Row],[DepartmentKey]],tblDepartments[DepartmentKey],tblDepartments[DepartmentName],"")</f>
        <v>Information Technology</v>
      </c>
      <c r="O710" s="8" t="str">
        <f>_xlfn.XLOOKUP(tblFinancials[[#This Row],[BusinessUnitKey]],tblBusinessUnits[BusinessUnitKey],tblBusinessUnits[BusinessUnitName],"")</f>
        <v>E-Commerce</v>
      </c>
      <c r="P710" s="8" t="str">
        <f>_xlfn.XLOOKUP(tblFinancials[[#This Row],[RegionKey]],tblRegions[RegionKey],tblRegions[RegionName],"")</f>
        <v>West</v>
      </c>
    </row>
    <row r="711" spans="1:16">
      <c r="A711">
        <v>20240801</v>
      </c>
      <c r="B711">
        <v>8</v>
      </c>
      <c r="C711">
        <v>3</v>
      </c>
      <c r="D711">
        <v>2</v>
      </c>
      <c r="E711">
        <v>21</v>
      </c>
      <c r="F711" t="s">
        <v>92</v>
      </c>
      <c r="G711">
        <v>-6602.17</v>
      </c>
      <c r="H711">
        <f>_xlfn.XLOOKUP(tblFinancials[[#This Row],[DateKey]],tblCalendar[DateKey],tblCalendar[FullDate],"")</f>
        <v>45505</v>
      </c>
      <c r="I711">
        <f>_xlfn.XLOOKUP(tblFinancials[[#This Row],[AccountKey]],tblAccounts[AccountKey],tblAccounts[AccountNumber],"")</f>
        <v>6600</v>
      </c>
      <c r="J711" t="str">
        <f>_xlfn.XLOOKUP(tblFinancials[[#This Row],[AccountKey]],tblAccounts[AccountKey],tblAccounts[AccountName],"")</f>
        <v>Utilities Expense</v>
      </c>
      <c r="K711" s="8" t="str">
        <f>_xlfn.XLOOKUP(tblFinancials[[#This Row],[AccountKey]],tblAccounts[AccountKey],tblAccounts[FinancialStatement],"")</f>
        <v>Income Statement</v>
      </c>
      <c r="L711" s="8" t="str">
        <f>_xlfn.XLOOKUP(tblFinancials[[#This Row],[AccountKey]],tblAccounts[AccountKey],tblAccounts[AccountCategory],"")</f>
        <v>Operating Expense</v>
      </c>
      <c r="M711" s="8" t="str">
        <f>_xlfn.XLOOKUP(tblFinancials[[#This Row],[AccountKey]],tblAccounts[AccountKey],tblAccounts[NormalBalance],"")</f>
        <v>Debit</v>
      </c>
      <c r="N711" s="8" t="str">
        <f>_xlfn.XLOOKUP(tblFinancials[[#This Row],[DepartmentKey]],tblDepartments[DepartmentKey],tblDepartments[DepartmentName],"")</f>
        <v>Customer Service</v>
      </c>
      <c r="O711" s="8" t="str">
        <f>_xlfn.XLOOKUP(tblFinancials[[#This Row],[BusinessUnitKey]],tblBusinessUnits[BusinessUnitKey],tblBusinessUnits[BusinessUnitName],"")</f>
        <v>Retail</v>
      </c>
      <c r="P711" s="8" t="str">
        <f>_xlfn.XLOOKUP(tblFinancials[[#This Row],[RegionKey]],tblRegions[RegionKey],tblRegions[RegionName],"")</f>
        <v>Midwest</v>
      </c>
    </row>
    <row r="712" spans="1:16">
      <c r="A712">
        <v>20240801</v>
      </c>
      <c r="B712">
        <v>2</v>
      </c>
      <c r="C712">
        <v>1</v>
      </c>
      <c r="D712">
        <v>4</v>
      </c>
      <c r="E712">
        <v>21</v>
      </c>
      <c r="F712" t="s">
        <v>92</v>
      </c>
      <c r="G712">
        <v>-6773.62</v>
      </c>
      <c r="H712">
        <f>_xlfn.XLOOKUP(tblFinancials[[#This Row],[DateKey]],tblCalendar[DateKey],tblCalendar[FullDate],"")</f>
        <v>45505</v>
      </c>
      <c r="I712">
        <f>_xlfn.XLOOKUP(tblFinancials[[#This Row],[AccountKey]],tblAccounts[AccountKey],tblAccounts[AccountNumber],"")</f>
        <v>6600</v>
      </c>
      <c r="J712" t="str">
        <f>_xlfn.XLOOKUP(tblFinancials[[#This Row],[AccountKey]],tblAccounts[AccountKey],tblAccounts[AccountName],"")</f>
        <v>Utilities Expense</v>
      </c>
      <c r="K712" s="8" t="str">
        <f>_xlfn.XLOOKUP(tblFinancials[[#This Row],[AccountKey]],tblAccounts[AccountKey],tblAccounts[FinancialStatement],"")</f>
        <v>Income Statement</v>
      </c>
      <c r="L712" s="8" t="str">
        <f>_xlfn.XLOOKUP(tblFinancials[[#This Row],[AccountKey]],tblAccounts[AccountKey],tblAccounts[AccountCategory],"")</f>
        <v>Operating Expense</v>
      </c>
      <c r="M712" s="8" t="str">
        <f>_xlfn.XLOOKUP(tblFinancials[[#This Row],[AccountKey]],tblAccounts[AccountKey],tblAccounts[NormalBalance],"")</f>
        <v>Debit</v>
      </c>
      <c r="N712" s="8" t="str">
        <f>_xlfn.XLOOKUP(tblFinancials[[#This Row],[DepartmentKey]],tblDepartments[DepartmentKey],tblDepartments[DepartmentName],"")</f>
        <v>Finance</v>
      </c>
      <c r="O712" s="8" t="str">
        <f>_xlfn.XLOOKUP(tblFinancials[[#This Row],[BusinessUnitKey]],tblBusinessUnits[BusinessUnitKey],tblBusinessUnits[BusinessUnitName],"")</f>
        <v xml:space="preserve">Manufacturing </v>
      </c>
      <c r="P712" s="8" t="str">
        <f>_xlfn.XLOOKUP(tblFinancials[[#This Row],[RegionKey]],tblRegions[RegionKey],tblRegions[RegionName],"")</f>
        <v>East</v>
      </c>
    </row>
    <row r="713" spans="1:16">
      <c r="A713">
        <v>20240801</v>
      </c>
      <c r="B713">
        <v>8</v>
      </c>
      <c r="C713">
        <v>4</v>
      </c>
      <c r="D713">
        <v>3</v>
      </c>
      <c r="E713">
        <v>18</v>
      </c>
      <c r="F713" t="s">
        <v>92</v>
      </c>
      <c r="G713">
        <v>-8795.01</v>
      </c>
      <c r="H713">
        <f>_xlfn.XLOOKUP(tblFinancials[[#This Row],[DateKey]],tblCalendar[DateKey],tblCalendar[FullDate],"")</f>
        <v>45505</v>
      </c>
      <c r="I713">
        <f>_xlfn.XLOOKUP(tblFinancials[[#This Row],[AccountKey]],tblAccounts[AccountKey],tblAccounts[AccountNumber],"")</f>
        <v>6200</v>
      </c>
      <c r="J713" t="str">
        <f>_xlfn.XLOOKUP(tblFinancials[[#This Row],[AccountKey]],tblAccounts[AccountKey],tblAccounts[AccountName],"")</f>
        <v>Marketing Expense</v>
      </c>
      <c r="K713" s="8" t="str">
        <f>_xlfn.XLOOKUP(tblFinancials[[#This Row],[AccountKey]],tblAccounts[AccountKey],tblAccounts[FinancialStatement],"")</f>
        <v>Income Statement</v>
      </c>
      <c r="L713" s="8" t="str">
        <f>_xlfn.XLOOKUP(tblFinancials[[#This Row],[AccountKey]],tblAccounts[AccountKey],tblAccounts[AccountCategory],"")</f>
        <v>Operating Expense</v>
      </c>
      <c r="M713" s="8" t="str">
        <f>_xlfn.XLOOKUP(tblFinancials[[#This Row],[AccountKey]],tblAccounts[AccountKey],tblAccounts[NormalBalance],"")</f>
        <v>Debit</v>
      </c>
      <c r="N713" s="8" t="str">
        <f>_xlfn.XLOOKUP(tblFinancials[[#This Row],[DepartmentKey]],tblDepartments[DepartmentKey],tblDepartments[DepartmentName],"")</f>
        <v>Customer Service</v>
      </c>
      <c r="O713" s="8" t="str">
        <f>_xlfn.XLOOKUP(tblFinancials[[#This Row],[BusinessUnitKey]],tblBusinessUnits[BusinessUnitKey],tblBusinessUnits[BusinessUnitName],"")</f>
        <v>E-Commerce</v>
      </c>
      <c r="P713" s="8" t="str">
        <f>_xlfn.XLOOKUP(tblFinancials[[#This Row],[RegionKey]],tblRegions[RegionKey],tblRegions[RegionName],"")</f>
        <v>South</v>
      </c>
    </row>
    <row r="714" spans="1:16">
      <c r="A714">
        <v>20240801</v>
      </c>
      <c r="B714">
        <v>3</v>
      </c>
      <c r="C714">
        <v>2</v>
      </c>
      <c r="D714">
        <v>1</v>
      </c>
      <c r="E714">
        <v>17</v>
      </c>
      <c r="F714" t="s">
        <v>92</v>
      </c>
      <c r="G714">
        <v>-7383.5</v>
      </c>
      <c r="H714">
        <f>_xlfn.XLOOKUP(tblFinancials[[#This Row],[DateKey]],tblCalendar[DateKey],tblCalendar[FullDate],"")</f>
        <v>45505</v>
      </c>
      <c r="I714">
        <f>_xlfn.XLOOKUP(tblFinancials[[#This Row],[AccountKey]],tblAccounts[AccountKey],tblAccounts[AccountNumber],"")</f>
        <v>6120</v>
      </c>
      <c r="J714" t="str">
        <f>_xlfn.XLOOKUP(tblFinancials[[#This Row],[AccountKey]],tblAccounts[AccountKey],tblAccounts[AccountName],"")</f>
        <v>Employee Benefits</v>
      </c>
      <c r="K714" s="8" t="str">
        <f>_xlfn.XLOOKUP(tblFinancials[[#This Row],[AccountKey]],tblAccounts[AccountKey],tblAccounts[FinancialStatement],"")</f>
        <v>Income Statement</v>
      </c>
      <c r="L714" s="8" t="str">
        <f>_xlfn.XLOOKUP(tblFinancials[[#This Row],[AccountKey]],tblAccounts[AccountKey],tblAccounts[AccountCategory],"")</f>
        <v>Operating Expense</v>
      </c>
      <c r="M714" s="8" t="str">
        <f>_xlfn.XLOOKUP(tblFinancials[[#This Row],[AccountKey]],tblAccounts[AccountKey],tblAccounts[NormalBalance],"")</f>
        <v>Debit</v>
      </c>
      <c r="N714" s="8" t="str">
        <f>_xlfn.XLOOKUP(tblFinancials[[#This Row],[DepartmentKey]],tblDepartments[DepartmentKey],tblDepartments[DepartmentName],"")</f>
        <v>Human Resources</v>
      </c>
      <c r="O714" s="8" t="str">
        <f>_xlfn.XLOOKUP(tblFinancials[[#This Row],[BusinessUnitKey]],tblBusinessUnits[BusinessUnitKey],tblBusinessUnits[BusinessUnitName],"")</f>
        <v>Wholesale</v>
      </c>
      <c r="P714" s="8" t="str">
        <f>_xlfn.XLOOKUP(tblFinancials[[#This Row],[RegionKey]],tblRegions[RegionKey],tblRegions[RegionName],"")</f>
        <v>West</v>
      </c>
    </row>
    <row r="715" spans="1:16">
      <c r="A715">
        <v>20240801</v>
      </c>
      <c r="B715">
        <v>8</v>
      </c>
      <c r="C715">
        <v>1</v>
      </c>
      <c r="D715">
        <v>1</v>
      </c>
      <c r="E715">
        <v>24</v>
      </c>
      <c r="F715" t="s">
        <v>92</v>
      </c>
      <c r="G715">
        <v>-6783.82</v>
      </c>
      <c r="H715">
        <f>_xlfn.XLOOKUP(tblFinancials[[#This Row],[DateKey]],tblCalendar[DateKey],tblCalendar[FullDate],"")</f>
        <v>45505</v>
      </c>
      <c r="I715">
        <f>_xlfn.XLOOKUP(tblFinancials[[#This Row],[AccountKey]],tblAccounts[AccountKey],tblAccounts[AccountNumber],"")</f>
        <v>6900</v>
      </c>
      <c r="J715" t="str">
        <f>_xlfn.XLOOKUP(tblFinancials[[#This Row],[AccountKey]],tblAccounts[AccountKey],tblAccounts[AccountName],"")</f>
        <v>Professional Services</v>
      </c>
      <c r="K715" s="8" t="str">
        <f>_xlfn.XLOOKUP(tblFinancials[[#This Row],[AccountKey]],tblAccounts[AccountKey],tblAccounts[FinancialStatement],"")</f>
        <v>Income Statement</v>
      </c>
      <c r="L715" s="8" t="str">
        <f>_xlfn.XLOOKUP(tblFinancials[[#This Row],[AccountKey]],tblAccounts[AccountKey],tblAccounts[AccountCategory],"")</f>
        <v>Operating Expense</v>
      </c>
      <c r="M715" s="8" t="str">
        <f>_xlfn.XLOOKUP(tblFinancials[[#This Row],[AccountKey]],tblAccounts[AccountKey],tblAccounts[NormalBalance],"")</f>
        <v>Debit</v>
      </c>
      <c r="N715" s="8" t="str">
        <f>_xlfn.XLOOKUP(tblFinancials[[#This Row],[DepartmentKey]],tblDepartments[DepartmentKey],tblDepartments[DepartmentName],"")</f>
        <v>Customer Service</v>
      </c>
      <c r="O715" s="8" t="str">
        <f>_xlfn.XLOOKUP(tblFinancials[[#This Row],[BusinessUnitKey]],tblBusinessUnits[BusinessUnitKey],tblBusinessUnits[BusinessUnitName],"")</f>
        <v xml:space="preserve">Manufacturing </v>
      </c>
      <c r="P715" s="8" t="str">
        <f>_xlfn.XLOOKUP(tblFinancials[[#This Row],[RegionKey]],tblRegions[RegionKey],tblRegions[RegionName],"")</f>
        <v>West</v>
      </c>
    </row>
    <row r="716" spans="1:16">
      <c r="A716">
        <v>20240801</v>
      </c>
      <c r="B716">
        <v>8</v>
      </c>
      <c r="C716">
        <v>4</v>
      </c>
      <c r="D716">
        <v>4</v>
      </c>
      <c r="E716">
        <v>25</v>
      </c>
      <c r="F716" t="s">
        <v>92</v>
      </c>
      <c r="G716">
        <v>-8379.44</v>
      </c>
      <c r="H716">
        <f>_xlfn.XLOOKUP(tblFinancials[[#This Row],[DateKey]],tblCalendar[DateKey],tblCalendar[FullDate],"")</f>
        <v>45505</v>
      </c>
      <c r="I716">
        <f>_xlfn.XLOOKUP(tblFinancials[[#This Row],[AccountKey]],tblAccounts[AccountKey],tblAccounts[AccountNumber],"")</f>
        <v>8200</v>
      </c>
      <c r="J716" t="str">
        <f>_xlfn.XLOOKUP(tblFinancials[[#This Row],[AccountKey]],tblAccounts[AccountKey],tblAccounts[AccountName],"")</f>
        <v>Income Tax Expense</v>
      </c>
      <c r="K716" s="8" t="str">
        <f>_xlfn.XLOOKUP(tblFinancials[[#This Row],[AccountKey]],tblAccounts[AccountKey],tblAccounts[FinancialStatement],"")</f>
        <v>Income Statement</v>
      </c>
      <c r="L716" s="8" t="str">
        <f>_xlfn.XLOOKUP(tblFinancials[[#This Row],[AccountKey]],tblAccounts[AccountKey],tblAccounts[AccountCategory],"")</f>
        <v>Tax Expense</v>
      </c>
      <c r="M716" s="8" t="str">
        <f>_xlfn.XLOOKUP(tblFinancials[[#This Row],[AccountKey]],tblAccounts[AccountKey],tblAccounts[NormalBalance],"")</f>
        <v>Debit</v>
      </c>
      <c r="N716" s="8" t="str">
        <f>_xlfn.XLOOKUP(tblFinancials[[#This Row],[DepartmentKey]],tblDepartments[DepartmentKey],tblDepartments[DepartmentName],"")</f>
        <v>Customer Service</v>
      </c>
      <c r="O716" s="8" t="str">
        <f>_xlfn.XLOOKUP(tblFinancials[[#This Row],[BusinessUnitKey]],tblBusinessUnits[BusinessUnitKey],tblBusinessUnits[BusinessUnitName],"")</f>
        <v>E-Commerce</v>
      </c>
      <c r="P716" s="8" t="str">
        <f>_xlfn.XLOOKUP(tblFinancials[[#This Row],[RegionKey]],tblRegions[RegionKey],tblRegions[RegionName],"")</f>
        <v>East</v>
      </c>
    </row>
    <row r="717" spans="1:16">
      <c r="A717">
        <v>20240801</v>
      </c>
      <c r="B717">
        <v>1</v>
      </c>
      <c r="C717">
        <v>1</v>
      </c>
      <c r="D717">
        <v>4</v>
      </c>
      <c r="E717">
        <v>20</v>
      </c>
      <c r="F717" t="s">
        <v>92</v>
      </c>
      <c r="G717">
        <v>-6927.89</v>
      </c>
      <c r="H717">
        <f>_xlfn.XLOOKUP(tblFinancials[[#This Row],[DateKey]],tblCalendar[DateKey],tblCalendar[FullDate],"")</f>
        <v>45505</v>
      </c>
      <c r="I717">
        <f>_xlfn.XLOOKUP(tblFinancials[[#This Row],[AccountKey]],tblAccounts[AccountKey],tblAccounts[AccountNumber],"")</f>
        <v>6500</v>
      </c>
      <c r="J717" t="str">
        <f>_xlfn.XLOOKUP(tblFinancials[[#This Row],[AccountKey]],tblAccounts[AccountKey],tblAccounts[AccountName],"")</f>
        <v>Rent Expense</v>
      </c>
      <c r="K717" s="8" t="str">
        <f>_xlfn.XLOOKUP(tblFinancials[[#This Row],[AccountKey]],tblAccounts[AccountKey],tblAccounts[FinancialStatement],"")</f>
        <v>Income Statement</v>
      </c>
      <c r="L717" s="8" t="str">
        <f>_xlfn.XLOOKUP(tblFinancials[[#This Row],[AccountKey]],tblAccounts[AccountKey],tblAccounts[AccountCategory],"")</f>
        <v>Operating Expense</v>
      </c>
      <c r="M717" s="8" t="str">
        <f>_xlfn.XLOOKUP(tblFinancials[[#This Row],[AccountKey]],tblAccounts[AccountKey],tblAccounts[NormalBalance],"")</f>
        <v>Debit</v>
      </c>
      <c r="N717" s="8" t="str">
        <f>_xlfn.XLOOKUP(tblFinancials[[#This Row],[DepartmentKey]],tblDepartments[DepartmentKey],tblDepartments[DepartmentName],"")</f>
        <v>Executive</v>
      </c>
      <c r="O717" s="8" t="str">
        <f>_xlfn.XLOOKUP(tblFinancials[[#This Row],[BusinessUnitKey]],tblBusinessUnits[BusinessUnitKey],tblBusinessUnits[BusinessUnitName],"")</f>
        <v xml:space="preserve">Manufacturing </v>
      </c>
      <c r="P717" s="8" t="str">
        <f>_xlfn.XLOOKUP(tblFinancials[[#This Row],[RegionKey]],tblRegions[RegionKey],tblRegions[RegionName],"")</f>
        <v>East</v>
      </c>
    </row>
    <row r="718" spans="1:16">
      <c r="A718">
        <v>20240801</v>
      </c>
      <c r="B718">
        <v>5</v>
      </c>
      <c r="C718">
        <v>2</v>
      </c>
      <c r="D718">
        <v>1</v>
      </c>
      <c r="E718">
        <v>16</v>
      </c>
      <c r="F718" t="s">
        <v>92</v>
      </c>
      <c r="G718">
        <v>-7823.44</v>
      </c>
      <c r="H718">
        <f>_xlfn.XLOOKUP(tblFinancials[[#This Row],[DateKey]],tblCalendar[DateKey],tblCalendar[FullDate],"")</f>
        <v>45505</v>
      </c>
      <c r="I718">
        <f>_xlfn.XLOOKUP(tblFinancials[[#This Row],[AccountKey]],tblAccounts[AccountKey],tblAccounts[AccountNumber],"")</f>
        <v>6110</v>
      </c>
      <c r="J718" t="str">
        <f>_xlfn.XLOOKUP(tblFinancials[[#This Row],[AccountKey]],tblAccounts[AccountKey],tblAccounts[AccountName],"")</f>
        <v>Payroll Taxes</v>
      </c>
      <c r="K718" s="8" t="str">
        <f>_xlfn.XLOOKUP(tblFinancials[[#This Row],[AccountKey]],tblAccounts[AccountKey],tblAccounts[FinancialStatement],"")</f>
        <v>Income Statement</v>
      </c>
      <c r="L718" s="8" t="str">
        <f>_xlfn.XLOOKUP(tblFinancials[[#This Row],[AccountKey]],tblAccounts[AccountKey],tblAccounts[AccountCategory],"")</f>
        <v>Operating Expense</v>
      </c>
      <c r="M718" s="8" t="str">
        <f>_xlfn.XLOOKUP(tblFinancials[[#This Row],[AccountKey]],tblAccounts[AccountKey],tblAccounts[NormalBalance],"")</f>
        <v>Debit</v>
      </c>
      <c r="N718" s="8" t="str">
        <f>_xlfn.XLOOKUP(tblFinancials[[#This Row],[DepartmentKey]],tblDepartments[DepartmentKey],tblDepartments[DepartmentName],"")</f>
        <v>Marketing</v>
      </c>
      <c r="O718" s="8" t="str">
        <f>_xlfn.XLOOKUP(tblFinancials[[#This Row],[BusinessUnitKey]],tblBusinessUnits[BusinessUnitKey],tblBusinessUnits[BusinessUnitName],"")</f>
        <v>Wholesale</v>
      </c>
      <c r="P718" s="8" t="str">
        <f>_xlfn.XLOOKUP(tblFinancials[[#This Row],[RegionKey]],tblRegions[RegionKey],tblRegions[RegionName],"")</f>
        <v>West</v>
      </c>
    </row>
    <row r="719" spans="1:16">
      <c r="A719">
        <v>20240801</v>
      </c>
      <c r="B719">
        <v>7</v>
      </c>
      <c r="C719">
        <v>2</v>
      </c>
      <c r="D719">
        <v>1</v>
      </c>
      <c r="E719">
        <v>24</v>
      </c>
      <c r="F719" t="s">
        <v>92</v>
      </c>
      <c r="G719">
        <v>-7860.95</v>
      </c>
      <c r="H719">
        <f>_xlfn.XLOOKUP(tblFinancials[[#This Row],[DateKey]],tblCalendar[DateKey],tblCalendar[FullDate],"")</f>
        <v>45505</v>
      </c>
      <c r="I719">
        <f>_xlfn.XLOOKUP(tblFinancials[[#This Row],[AccountKey]],tblAccounts[AccountKey],tblAccounts[AccountNumber],"")</f>
        <v>6900</v>
      </c>
      <c r="J719" t="str">
        <f>_xlfn.XLOOKUP(tblFinancials[[#This Row],[AccountKey]],tblAccounts[AccountKey],tblAccounts[AccountName],"")</f>
        <v>Professional Services</v>
      </c>
      <c r="K719" s="8" t="str">
        <f>_xlfn.XLOOKUP(tblFinancials[[#This Row],[AccountKey]],tblAccounts[AccountKey],tblAccounts[FinancialStatement],"")</f>
        <v>Income Statement</v>
      </c>
      <c r="L719" s="8" t="str">
        <f>_xlfn.XLOOKUP(tblFinancials[[#This Row],[AccountKey]],tblAccounts[AccountKey],tblAccounts[AccountCategory],"")</f>
        <v>Operating Expense</v>
      </c>
      <c r="M719" s="8" t="str">
        <f>_xlfn.XLOOKUP(tblFinancials[[#This Row],[AccountKey]],tblAccounts[AccountKey],tblAccounts[NormalBalance],"")</f>
        <v>Debit</v>
      </c>
      <c r="N719" s="8" t="str">
        <f>_xlfn.XLOOKUP(tblFinancials[[#This Row],[DepartmentKey]],tblDepartments[DepartmentKey],tblDepartments[DepartmentName],"")</f>
        <v>Information Technology</v>
      </c>
      <c r="O719" s="8" t="str">
        <f>_xlfn.XLOOKUP(tblFinancials[[#This Row],[BusinessUnitKey]],tblBusinessUnits[BusinessUnitKey],tblBusinessUnits[BusinessUnitName],"")</f>
        <v>Wholesale</v>
      </c>
      <c r="P719" s="8" t="str">
        <f>_xlfn.XLOOKUP(tblFinancials[[#This Row],[RegionKey]],tblRegions[RegionKey],tblRegions[RegionName],"")</f>
        <v>West</v>
      </c>
    </row>
    <row r="720" spans="1:16">
      <c r="A720">
        <v>20240801</v>
      </c>
      <c r="B720">
        <v>8</v>
      </c>
      <c r="C720">
        <v>3</v>
      </c>
      <c r="D720">
        <v>2</v>
      </c>
      <c r="E720">
        <v>25</v>
      </c>
      <c r="F720" t="s">
        <v>92</v>
      </c>
      <c r="G720">
        <v>-8118.42</v>
      </c>
      <c r="H720">
        <f>_xlfn.XLOOKUP(tblFinancials[[#This Row],[DateKey]],tblCalendar[DateKey],tblCalendar[FullDate],"")</f>
        <v>45505</v>
      </c>
      <c r="I720">
        <f>_xlfn.XLOOKUP(tblFinancials[[#This Row],[AccountKey]],tblAccounts[AccountKey],tblAccounts[AccountNumber],"")</f>
        <v>8200</v>
      </c>
      <c r="J720" t="str">
        <f>_xlfn.XLOOKUP(tblFinancials[[#This Row],[AccountKey]],tblAccounts[AccountKey],tblAccounts[AccountName],"")</f>
        <v>Income Tax Expense</v>
      </c>
      <c r="K720" s="8" t="str">
        <f>_xlfn.XLOOKUP(tblFinancials[[#This Row],[AccountKey]],tblAccounts[AccountKey],tblAccounts[FinancialStatement],"")</f>
        <v>Income Statement</v>
      </c>
      <c r="L720" s="8" t="str">
        <f>_xlfn.XLOOKUP(tblFinancials[[#This Row],[AccountKey]],tblAccounts[AccountKey],tblAccounts[AccountCategory],"")</f>
        <v>Tax Expense</v>
      </c>
      <c r="M720" s="8" t="str">
        <f>_xlfn.XLOOKUP(tblFinancials[[#This Row],[AccountKey]],tblAccounts[AccountKey],tblAccounts[NormalBalance],"")</f>
        <v>Debit</v>
      </c>
      <c r="N720" s="8" t="str">
        <f>_xlfn.XLOOKUP(tblFinancials[[#This Row],[DepartmentKey]],tblDepartments[DepartmentKey],tblDepartments[DepartmentName],"")</f>
        <v>Customer Service</v>
      </c>
      <c r="O720" s="8" t="str">
        <f>_xlfn.XLOOKUP(tblFinancials[[#This Row],[BusinessUnitKey]],tblBusinessUnits[BusinessUnitKey],tblBusinessUnits[BusinessUnitName],"")</f>
        <v>Retail</v>
      </c>
      <c r="P720" s="8" t="str">
        <f>_xlfn.XLOOKUP(tblFinancials[[#This Row],[RegionKey]],tblRegions[RegionKey],tblRegions[RegionName],"")</f>
        <v>Midwest</v>
      </c>
    </row>
    <row r="721" spans="1:16">
      <c r="A721">
        <v>20240801</v>
      </c>
      <c r="B721">
        <v>6</v>
      </c>
      <c r="C721">
        <v>2</v>
      </c>
      <c r="D721">
        <v>2</v>
      </c>
      <c r="E721">
        <v>21</v>
      </c>
      <c r="F721" t="s">
        <v>92</v>
      </c>
      <c r="G721">
        <v>-10249.36</v>
      </c>
      <c r="H721">
        <f>_xlfn.XLOOKUP(tblFinancials[[#This Row],[DateKey]],tblCalendar[DateKey],tblCalendar[FullDate],"")</f>
        <v>45505</v>
      </c>
      <c r="I721">
        <f>_xlfn.XLOOKUP(tblFinancials[[#This Row],[AccountKey]],tblAccounts[AccountKey],tblAccounts[AccountNumber],"")</f>
        <v>6600</v>
      </c>
      <c r="J721" t="str">
        <f>_xlfn.XLOOKUP(tblFinancials[[#This Row],[AccountKey]],tblAccounts[AccountKey],tblAccounts[AccountName],"")</f>
        <v>Utilities Expense</v>
      </c>
      <c r="K721" s="8" t="str">
        <f>_xlfn.XLOOKUP(tblFinancials[[#This Row],[AccountKey]],tblAccounts[AccountKey],tblAccounts[FinancialStatement],"")</f>
        <v>Income Statement</v>
      </c>
      <c r="L721" s="8" t="str">
        <f>_xlfn.XLOOKUP(tblFinancials[[#This Row],[AccountKey]],tblAccounts[AccountKey],tblAccounts[AccountCategory],"")</f>
        <v>Operating Expense</v>
      </c>
      <c r="M721" s="8" t="str">
        <f>_xlfn.XLOOKUP(tblFinancials[[#This Row],[AccountKey]],tblAccounts[AccountKey],tblAccounts[NormalBalance],"")</f>
        <v>Debit</v>
      </c>
      <c r="N721" s="8" t="str">
        <f>_xlfn.XLOOKUP(tblFinancials[[#This Row],[DepartmentKey]],tblDepartments[DepartmentKey],tblDepartments[DepartmentName],"")</f>
        <v>Operations</v>
      </c>
      <c r="O721" s="8" t="str">
        <f>_xlfn.XLOOKUP(tblFinancials[[#This Row],[BusinessUnitKey]],tblBusinessUnits[BusinessUnitKey],tblBusinessUnits[BusinessUnitName],"")</f>
        <v>Wholesale</v>
      </c>
      <c r="P721" s="8" t="str">
        <f>_xlfn.XLOOKUP(tblFinancials[[#This Row],[RegionKey]],tblRegions[RegionKey],tblRegions[RegionName],"")</f>
        <v>Midwest</v>
      </c>
    </row>
    <row r="722" spans="1:16">
      <c r="A722">
        <v>20240901</v>
      </c>
      <c r="B722">
        <v>4</v>
      </c>
      <c r="C722">
        <v>4</v>
      </c>
      <c r="D722">
        <v>3</v>
      </c>
      <c r="E722">
        <v>13</v>
      </c>
      <c r="F722" t="s">
        <v>92</v>
      </c>
      <c r="G722">
        <v>29109.68</v>
      </c>
      <c r="H722">
        <f>_xlfn.XLOOKUP(tblFinancials[[#This Row],[DateKey]],tblCalendar[DateKey],tblCalendar[FullDate],"")</f>
        <v>45536</v>
      </c>
      <c r="I722">
        <f>_xlfn.XLOOKUP(tblFinancials[[#This Row],[AccountKey]],tblAccounts[AccountKey],tblAccounts[AccountNumber],"")</f>
        <v>4020</v>
      </c>
      <c r="J722" t="str">
        <f>_xlfn.XLOOKUP(tblFinancials[[#This Row],[AccountKey]],tblAccounts[AccountKey],tblAccounts[AccountName],"")</f>
        <v>Online Revenue</v>
      </c>
      <c r="K722" s="8" t="str">
        <f>_xlfn.XLOOKUP(tblFinancials[[#This Row],[AccountKey]],tblAccounts[AccountKey],tblAccounts[FinancialStatement],"")</f>
        <v>Income Statement</v>
      </c>
      <c r="L722" s="8" t="str">
        <f>_xlfn.XLOOKUP(tblFinancials[[#This Row],[AccountKey]],tblAccounts[AccountKey],tblAccounts[AccountCategory],"")</f>
        <v>Revenue</v>
      </c>
      <c r="M722" s="8" t="str">
        <f>_xlfn.XLOOKUP(tblFinancials[[#This Row],[AccountKey]],tblAccounts[AccountKey],tblAccounts[NormalBalance],"")</f>
        <v>Credit</v>
      </c>
      <c r="N722" s="8" t="str">
        <f>_xlfn.XLOOKUP(tblFinancials[[#This Row],[DepartmentKey]],tblDepartments[DepartmentKey],tblDepartments[DepartmentName],"")</f>
        <v>Sales</v>
      </c>
      <c r="O722" s="8" t="str">
        <f>_xlfn.XLOOKUP(tblFinancials[[#This Row],[BusinessUnitKey]],tblBusinessUnits[BusinessUnitKey],tblBusinessUnits[BusinessUnitName],"")</f>
        <v>E-Commerce</v>
      </c>
      <c r="P722" s="8" t="str">
        <f>_xlfn.XLOOKUP(tblFinancials[[#This Row],[RegionKey]],tblRegions[RegionKey],tblRegions[RegionName],"")</f>
        <v>South</v>
      </c>
    </row>
    <row r="723" spans="1:16">
      <c r="A723">
        <v>20240901</v>
      </c>
      <c r="B723">
        <v>5</v>
      </c>
      <c r="C723">
        <v>2</v>
      </c>
      <c r="D723">
        <v>3</v>
      </c>
      <c r="E723">
        <v>12</v>
      </c>
      <c r="F723" t="s">
        <v>92</v>
      </c>
      <c r="G723">
        <v>30699.27</v>
      </c>
      <c r="H723">
        <f>_xlfn.XLOOKUP(tblFinancials[[#This Row],[DateKey]],tblCalendar[DateKey],tblCalendar[FullDate],"")</f>
        <v>45536</v>
      </c>
      <c r="I723">
        <f>_xlfn.XLOOKUP(tblFinancials[[#This Row],[AccountKey]],tblAccounts[AccountKey],tblAccounts[AccountNumber],"")</f>
        <v>4010</v>
      </c>
      <c r="J723" t="str">
        <f>_xlfn.XLOOKUP(tblFinancials[[#This Row],[AccountKey]],tblAccounts[AccountKey],tblAccounts[AccountName],"")</f>
        <v>Service Revenue</v>
      </c>
      <c r="K723" s="8" t="str">
        <f>_xlfn.XLOOKUP(tblFinancials[[#This Row],[AccountKey]],tblAccounts[AccountKey],tblAccounts[FinancialStatement],"")</f>
        <v>Income Statement</v>
      </c>
      <c r="L723" s="8" t="str">
        <f>_xlfn.XLOOKUP(tblFinancials[[#This Row],[AccountKey]],tblAccounts[AccountKey],tblAccounts[AccountCategory],"")</f>
        <v>Revenue</v>
      </c>
      <c r="M723" s="8" t="str">
        <f>_xlfn.XLOOKUP(tblFinancials[[#This Row],[AccountKey]],tblAccounts[AccountKey],tblAccounts[NormalBalance],"")</f>
        <v>Credit</v>
      </c>
      <c r="N723" s="8" t="str">
        <f>_xlfn.XLOOKUP(tblFinancials[[#This Row],[DepartmentKey]],tblDepartments[DepartmentKey],tblDepartments[DepartmentName],"")</f>
        <v>Marketing</v>
      </c>
      <c r="O723" s="8" t="str">
        <f>_xlfn.XLOOKUP(tblFinancials[[#This Row],[BusinessUnitKey]],tblBusinessUnits[BusinessUnitKey],tblBusinessUnits[BusinessUnitName],"")</f>
        <v>Wholesale</v>
      </c>
      <c r="P723" s="8" t="str">
        <f>_xlfn.XLOOKUP(tblFinancials[[#This Row],[RegionKey]],tblRegions[RegionKey],tblRegions[RegionName],"")</f>
        <v>South</v>
      </c>
    </row>
    <row r="724" spans="1:16">
      <c r="A724">
        <v>20240901</v>
      </c>
      <c r="B724">
        <v>6</v>
      </c>
      <c r="C724">
        <v>3</v>
      </c>
      <c r="D724">
        <v>2</v>
      </c>
      <c r="E724">
        <v>11</v>
      </c>
      <c r="F724" t="s">
        <v>92</v>
      </c>
      <c r="G724">
        <v>29683.98</v>
      </c>
      <c r="H724">
        <f>_xlfn.XLOOKUP(tblFinancials[[#This Row],[DateKey]],tblCalendar[DateKey],tblCalendar[FullDate],"")</f>
        <v>45536</v>
      </c>
      <c r="I724">
        <f>_xlfn.XLOOKUP(tblFinancials[[#This Row],[AccountKey]],tblAccounts[AccountKey],tblAccounts[AccountNumber],"")</f>
        <v>4000</v>
      </c>
      <c r="J724" t="str">
        <f>_xlfn.XLOOKUP(tblFinancials[[#This Row],[AccountKey]],tblAccounts[AccountKey],tblAccounts[AccountName],"")</f>
        <v>Product Revenue</v>
      </c>
      <c r="K724" s="8" t="str">
        <f>_xlfn.XLOOKUP(tblFinancials[[#This Row],[AccountKey]],tblAccounts[AccountKey],tblAccounts[FinancialStatement],"")</f>
        <v>Income Statement</v>
      </c>
      <c r="L724" s="8" t="str">
        <f>_xlfn.XLOOKUP(tblFinancials[[#This Row],[AccountKey]],tblAccounts[AccountKey],tblAccounts[AccountCategory],"")</f>
        <v>Revenue</v>
      </c>
      <c r="M724" s="8" t="str">
        <f>_xlfn.XLOOKUP(tblFinancials[[#This Row],[AccountKey]],tblAccounts[AccountKey],tblAccounts[NormalBalance],"")</f>
        <v>Credit</v>
      </c>
      <c r="N724" s="8" t="str">
        <f>_xlfn.XLOOKUP(tblFinancials[[#This Row],[DepartmentKey]],tblDepartments[DepartmentKey],tblDepartments[DepartmentName],"")</f>
        <v>Operations</v>
      </c>
      <c r="O724" s="8" t="str">
        <f>_xlfn.XLOOKUP(tblFinancials[[#This Row],[BusinessUnitKey]],tblBusinessUnits[BusinessUnitKey],tblBusinessUnits[BusinessUnitName],"")</f>
        <v>Retail</v>
      </c>
      <c r="P724" s="8" t="str">
        <f>_xlfn.XLOOKUP(tblFinancials[[#This Row],[RegionKey]],tblRegions[RegionKey],tblRegions[RegionName],"")</f>
        <v>Midwest</v>
      </c>
    </row>
    <row r="725" spans="1:16">
      <c r="A725">
        <v>20240901</v>
      </c>
      <c r="B725">
        <v>4</v>
      </c>
      <c r="C725">
        <v>1</v>
      </c>
      <c r="D725">
        <v>2</v>
      </c>
      <c r="E725">
        <v>12</v>
      </c>
      <c r="F725" t="s">
        <v>92</v>
      </c>
      <c r="G725">
        <v>30253.91</v>
      </c>
      <c r="H725">
        <f>_xlfn.XLOOKUP(tblFinancials[[#This Row],[DateKey]],tblCalendar[DateKey],tblCalendar[FullDate],"")</f>
        <v>45536</v>
      </c>
      <c r="I725">
        <f>_xlfn.XLOOKUP(tblFinancials[[#This Row],[AccountKey]],tblAccounts[AccountKey],tblAccounts[AccountNumber],"")</f>
        <v>4010</v>
      </c>
      <c r="J725" t="str">
        <f>_xlfn.XLOOKUP(tblFinancials[[#This Row],[AccountKey]],tblAccounts[AccountKey],tblAccounts[AccountName],"")</f>
        <v>Service Revenue</v>
      </c>
      <c r="K725" s="8" t="str">
        <f>_xlfn.XLOOKUP(tblFinancials[[#This Row],[AccountKey]],tblAccounts[AccountKey],tblAccounts[FinancialStatement],"")</f>
        <v>Income Statement</v>
      </c>
      <c r="L725" s="8" t="str">
        <f>_xlfn.XLOOKUP(tblFinancials[[#This Row],[AccountKey]],tblAccounts[AccountKey],tblAccounts[AccountCategory],"")</f>
        <v>Revenue</v>
      </c>
      <c r="M725" s="8" t="str">
        <f>_xlfn.XLOOKUP(tblFinancials[[#This Row],[AccountKey]],tblAccounts[AccountKey],tblAccounts[NormalBalance],"")</f>
        <v>Credit</v>
      </c>
      <c r="N725" s="8" t="str">
        <f>_xlfn.XLOOKUP(tblFinancials[[#This Row],[DepartmentKey]],tblDepartments[DepartmentKey],tblDepartments[DepartmentName],"")</f>
        <v>Sales</v>
      </c>
      <c r="O725" s="8" t="str">
        <f>_xlfn.XLOOKUP(tblFinancials[[#This Row],[BusinessUnitKey]],tblBusinessUnits[BusinessUnitKey],tblBusinessUnits[BusinessUnitName],"")</f>
        <v xml:space="preserve">Manufacturing </v>
      </c>
      <c r="P725" s="8" t="str">
        <f>_xlfn.XLOOKUP(tblFinancials[[#This Row],[RegionKey]],tblRegions[RegionKey],tblRegions[RegionName],"")</f>
        <v>Midwest</v>
      </c>
    </row>
    <row r="726" spans="1:16">
      <c r="A726">
        <v>20240901</v>
      </c>
      <c r="B726">
        <v>7</v>
      </c>
      <c r="C726">
        <v>2</v>
      </c>
      <c r="D726">
        <v>4</v>
      </c>
      <c r="E726">
        <v>12</v>
      </c>
      <c r="F726" t="s">
        <v>92</v>
      </c>
      <c r="G726">
        <v>30244.1</v>
      </c>
      <c r="H726">
        <f>_xlfn.XLOOKUP(tblFinancials[[#This Row],[DateKey]],tblCalendar[DateKey],tblCalendar[FullDate],"")</f>
        <v>45536</v>
      </c>
      <c r="I726">
        <f>_xlfn.XLOOKUP(tblFinancials[[#This Row],[AccountKey]],tblAccounts[AccountKey],tblAccounts[AccountNumber],"")</f>
        <v>4010</v>
      </c>
      <c r="J726" t="str">
        <f>_xlfn.XLOOKUP(tblFinancials[[#This Row],[AccountKey]],tblAccounts[AccountKey],tblAccounts[AccountName],"")</f>
        <v>Service Revenue</v>
      </c>
      <c r="K726" s="8" t="str">
        <f>_xlfn.XLOOKUP(tblFinancials[[#This Row],[AccountKey]],tblAccounts[AccountKey],tblAccounts[FinancialStatement],"")</f>
        <v>Income Statement</v>
      </c>
      <c r="L726" s="8" t="str">
        <f>_xlfn.XLOOKUP(tblFinancials[[#This Row],[AccountKey]],tblAccounts[AccountKey],tblAccounts[AccountCategory],"")</f>
        <v>Revenue</v>
      </c>
      <c r="M726" s="8" t="str">
        <f>_xlfn.XLOOKUP(tblFinancials[[#This Row],[AccountKey]],tblAccounts[AccountKey],tblAccounts[NormalBalance],"")</f>
        <v>Credit</v>
      </c>
      <c r="N726" s="8" t="str">
        <f>_xlfn.XLOOKUP(tblFinancials[[#This Row],[DepartmentKey]],tblDepartments[DepartmentKey],tblDepartments[DepartmentName],"")</f>
        <v>Information Technology</v>
      </c>
      <c r="O726" s="8" t="str">
        <f>_xlfn.XLOOKUP(tblFinancials[[#This Row],[BusinessUnitKey]],tblBusinessUnits[BusinessUnitKey],tblBusinessUnits[BusinessUnitName],"")</f>
        <v>Wholesale</v>
      </c>
      <c r="P726" s="8" t="str">
        <f>_xlfn.XLOOKUP(tblFinancials[[#This Row],[RegionKey]],tblRegions[RegionKey],tblRegions[RegionName],"")</f>
        <v>East</v>
      </c>
    </row>
    <row r="727" spans="1:16">
      <c r="A727">
        <v>20240901</v>
      </c>
      <c r="B727">
        <v>4</v>
      </c>
      <c r="C727">
        <v>1</v>
      </c>
      <c r="D727">
        <v>2</v>
      </c>
      <c r="E727">
        <v>13</v>
      </c>
      <c r="F727" t="s">
        <v>92</v>
      </c>
      <c r="G727">
        <v>29269.61</v>
      </c>
      <c r="H727">
        <f>_xlfn.XLOOKUP(tblFinancials[[#This Row],[DateKey]],tblCalendar[DateKey],tblCalendar[FullDate],"")</f>
        <v>45536</v>
      </c>
      <c r="I727">
        <f>_xlfn.XLOOKUP(tblFinancials[[#This Row],[AccountKey]],tblAccounts[AccountKey],tblAccounts[AccountNumber],"")</f>
        <v>4020</v>
      </c>
      <c r="J727" t="str">
        <f>_xlfn.XLOOKUP(tblFinancials[[#This Row],[AccountKey]],tblAccounts[AccountKey],tblAccounts[AccountName],"")</f>
        <v>Online Revenue</v>
      </c>
      <c r="K727" s="8" t="str">
        <f>_xlfn.XLOOKUP(tblFinancials[[#This Row],[AccountKey]],tblAccounts[AccountKey],tblAccounts[FinancialStatement],"")</f>
        <v>Income Statement</v>
      </c>
      <c r="L727" s="8" t="str">
        <f>_xlfn.XLOOKUP(tblFinancials[[#This Row],[AccountKey]],tblAccounts[AccountKey],tblAccounts[AccountCategory],"")</f>
        <v>Revenue</v>
      </c>
      <c r="M727" s="8" t="str">
        <f>_xlfn.XLOOKUP(tblFinancials[[#This Row],[AccountKey]],tblAccounts[AccountKey],tblAccounts[NormalBalance],"")</f>
        <v>Credit</v>
      </c>
      <c r="N727" s="8" t="str">
        <f>_xlfn.XLOOKUP(tblFinancials[[#This Row],[DepartmentKey]],tblDepartments[DepartmentKey],tblDepartments[DepartmentName],"")</f>
        <v>Sales</v>
      </c>
      <c r="O727" s="8" t="str">
        <f>_xlfn.XLOOKUP(tblFinancials[[#This Row],[BusinessUnitKey]],tblBusinessUnits[BusinessUnitKey],tblBusinessUnits[BusinessUnitName],"")</f>
        <v xml:space="preserve">Manufacturing </v>
      </c>
      <c r="P727" s="8" t="str">
        <f>_xlfn.XLOOKUP(tblFinancials[[#This Row],[RegionKey]],tblRegions[RegionKey],tblRegions[RegionName],"")</f>
        <v>Midwest</v>
      </c>
    </row>
    <row r="728" spans="1:16">
      <c r="A728">
        <v>20240901</v>
      </c>
      <c r="B728">
        <v>2</v>
      </c>
      <c r="C728">
        <v>3</v>
      </c>
      <c r="D728">
        <v>2</v>
      </c>
      <c r="E728">
        <v>11</v>
      </c>
      <c r="F728" t="s">
        <v>92</v>
      </c>
      <c r="G728">
        <v>30511.7</v>
      </c>
      <c r="H728">
        <f>_xlfn.XLOOKUP(tblFinancials[[#This Row],[DateKey]],tblCalendar[DateKey],tblCalendar[FullDate],"")</f>
        <v>45536</v>
      </c>
      <c r="I728">
        <f>_xlfn.XLOOKUP(tblFinancials[[#This Row],[AccountKey]],tblAccounts[AccountKey],tblAccounts[AccountNumber],"")</f>
        <v>4000</v>
      </c>
      <c r="J728" t="str">
        <f>_xlfn.XLOOKUP(tblFinancials[[#This Row],[AccountKey]],tblAccounts[AccountKey],tblAccounts[AccountName],"")</f>
        <v>Product Revenue</v>
      </c>
      <c r="K728" s="8" t="str">
        <f>_xlfn.XLOOKUP(tblFinancials[[#This Row],[AccountKey]],tblAccounts[AccountKey],tblAccounts[FinancialStatement],"")</f>
        <v>Income Statement</v>
      </c>
      <c r="L728" s="8" t="str">
        <f>_xlfn.XLOOKUP(tblFinancials[[#This Row],[AccountKey]],tblAccounts[AccountKey],tblAccounts[AccountCategory],"")</f>
        <v>Revenue</v>
      </c>
      <c r="M728" s="8" t="str">
        <f>_xlfn.XLOOKUP(tblFinancials[[#This Row],[AccountKey]],tblAccounts[AccountKey],tblAccounts[NormalBalance],"")</f>
        <v>Credit</v>
      </c>
      <c r="N728" s="8" t="str">
        <f>_xlfn.XLOOKUP(tblFinancials[[#This Row],[DepartmentKey]],tblDepartments[DepartmentKey],tblDepartments[DepartmentName],"")</f>
        <v>Finance</v>
      </c>
      <c r="O728" s="8" t="str">
        <f>_xlfn.XLOOKUP(tblFinancials[[#This Row],[BusinessUnitKey]],tblBusinessUnits[BusinessUnitKey],tblBusinessUnits[BusinessUnitName],"")</f>
        <v>Retail</v>
      </c>
      <c r="P728" s="8" t="str">
        <f>_xlfn.XLOOKUP(tblFinancials[[#This Row],[RegionKey]],tblRegions[RegionKey],tblRegions[RegionName],"")</f>
        <v>Midwest</v>
      </c>
    </row>
    <row r="729" spans="1:16">
      <c r="A729">
        <v>20240901</v>
      </c>
      <c r="B729">
        <v>6</v>
      </c>
      <c r="C729">
        <v>1</v>
      </c>
      <c r="D729">
        <v>1</v>
      </c>
      <c r="E729">
        <v>12</v>
      </c>
      <c r="F729" t="s">
        <v>92</v>
      </c>
      <c r="G729">
        <v>29042.66</v>
      </c>
      <c r="H729">
        <f>_xlfn.XLOOKUP(tblFinancials[[#This Row],[DateKey]],tblCalendar[DateKey],tblCalendar[FullDate],"")</f>
        <v>45536</v>
      </c>
      <c r="I729">
        <f>_xlfn.XLOOKUP(tblFinancials[[#This Row],[AccountKey]],tblAccounts[AccountKey],tblAccounts[AccountNumber],"")</f>
        <v>4010</v>
      </c>
      <c r="J729" t="str">
        <f>_xlfn.XLOOKUP(tblFinancials[[#This Row],[AccountKey]],tblAccounts[AccountKey],tblAccounts[AccountName],"")</f>
        <v>Service Revenue</v>
      </c>
      <c r="K729" s="8" t="str">
        <f>_xlfn.XLOOKUP(tblFinancials[[#This Row],[AccountKey]],tblAccounts[AccountKey],tblAccounts[FinancialStatement],"")</f>
        <v>Income Statement</v>
      </c>
      <c r="L729" s="8" t="str">
        <f>_xlfn.XLOOKUP(tblFinancials[[#This Row],[AccountKey]],tblAccounts[AccountKey],tblAccounts[AccountCategory],"")</f>
        <v>Revenue</v>
      </c>
      <c r="M729" s="8" t="str">
        <f>_xlfn.XLOOKUP(tblFinancials[[#This Row],[AccountKey]],tblAccounts[AccountKey],tblAccounts[NormalBalance],"")</f>
        <v>Credit</v>
      </c>
      <c r="N729" s="8" t="str">
        <f>_xlfn.XLOOKUP(tblFinancials[[#This Row],[DepartmentKey]],tblDepartments[DepartmentKey],tblDepartments[DepartmentName],"")</f>
        <v>Operations</v>
      </c>
      <c r="O729" s="8" t="str">
        <f>_xlfn.XLOOKUP(tblFinancials[[#This Row],[BusinessUnitKey]],tblBusinessUnits[BusinessUnitKey],tblBusinessUnits[BusinessUnitName],"")</f>
        <v xml:space="preserve">Manufacturing </v>
      </c>
      <c r="P729" s="8" t="str">
        <f>_xlfn.XLOOKUP(tblFinancials[[#This Row],[RegionKey]],tblRegions[RegionKey],tblRegions[RegionName],"")</f>
        <v>West</v>
      </c>
    </row>
    <row r="730" spans="1:16">
      <c r="A730">
        <v>20240901</v>
      </c>
      <c r="B730">
        <v>3</v>
      </c>
      <c r="C730">
        <v>1</v>
      </c>
      <c r="D730">
        <v>1</v>
      </c>
      <c r="E730">
        <v>13</v>
      </c>
      <c r="F730" t="s">
        <v>92</v>
      </c>
      <c r="G730">
        <v>30005.11</v>
      </c>
      <c r="H730">
        <f>_xlfn.XLOOKUP(tblFinancials[[#This Row],[DateKey]],tblCalendar[DateKey],tblCalendar[FullDate],"")</f>
        <v>45536</v>
      </c>
      <c r="I730">
        <f>_xlfn.XLOOKUP(tblFinancials[[#This Row],[AccountKey]],tblAccounts[AccountKey],tblAccounts[AccountNumber],"")</f>
        <v>4020</v>
      </c>
      <c r="J730" t="str">
        <f>_xlfn.XLOOKUP(tblFinancials[[#This Row],[AccountKey]],tblAccounts[AccountKey],tblAccounts[AccountName],"")</f>
        <v>Online Revenue</v>
      </c>
      <c r="K730" s="8" t="str">
        <f>_xlfn.XLOOKUP(tblFinancials[[#This Row],[AccountKey]],tblAccounts[AccountKey],tblAccounts[FinancialStatement],"")</f>
        <v>Income Statement</v>
      </c>
      <c r="L730" s="8" t="str">
        <f>_xlfn.XLOOKUP(tblFinancials[[#This Row],[AccountKey]],tblAccounts[AccountKey],tblAccounts[AccountCategory],"")</f>
        <v>Revenue</v>
      </c>
      <c r="M730" s="8" t="str">
        <f>_xlfn.XLOOKUP(tblFinancials[[#This Row],[AccountKey]],tblAccounts[AccountKey],tblAccounts[NormalBalance],"")</f>
        <v>Credit</v>
      </c>
      <c r="N730" s="8" t="str">
        <f>_xlfn.XLOOKUP(tblFinancials[[#This Row],[DepartmentKey]],tblDepartments[DepartmentKey],tblDepartments[DepartmentName],"")</f>
        <v>Human Resources</v>
      </c>
      <c r="O730" s="8" t="str">
        <f>_xlfn.XLOOKUP(tblFinancials[[#This Row],[BusinessUnitKey]],tblBusinessUnits[BusinessUnitKey],tblBusinessUnits[BusinessUnitName],"")</f>
        <v xml:space="preserve">Manufacturing </v>
      </c>
      <c r="P730" s="8" t="str">
        <f>_xlfn.XLOOKUP(tblFinancials[[#This Row],[RegionKey]],tblRegions[RegionKey],tblRegions[RegionName],"")</f>
        <v>West</v>
      </c>
    </row>
    <row r="731" spans="1:16">
      <c r="A731">
        <v>20240901</v>
      </c>
      <c r="B731">
        <v>3</v>
      </c>
      <c r="C731">
        <v>2</v>
      </c>
      <c r="D731">
        <v>4</v>
      </c>
      <c r="E731">
        <v>11</v>
      </c>
      <c r="F731" t="s">
        <v>92</v>
      </c>
      <c r="G731">
        <v>30843.65</v>
      </c>
      <c r="H731">
        <f>_xlfn.XLOOKUP(tblFinancials[[#This Row],[DateKey]],tblCalendar[DateKey],tblCalendar[FullDate],"")</f>
        <v>45536</v>
      </c>
      <c r="I731">
        <f>_xlfn.XLOOKUP(tblFinancials[[#This Row],[AccountKey]],tblAccounts[AccountKey],tblAccounts[AccountNumber],"")</f>
        <v>4000</v>
      </c>
      <c r="J731" t="str">
        <f>_xlfn.XLOOKUP(tblFinancials[[#This Row],[AccountKey]],tblAccounts[AccountKey],tblAccounts[AccountName],"")</f>
        <v>Product Revenue</v>
      </c>
      <c r="K731" s="8" t="str">
        <f>_xlfn.XLOOKUP(tblFinancials[[#This Row],[AccountKey]],tblAccounts[AccountKey],tblAccounts[FinancialStatement],"")</f>
        <v>Income Statement</v>
      </c>
      <c r="L731" s="8" t="str">
        <f>_xlfn.XLOOKUP(tblFinancials[[#This Row],[AccountKey]],tblAccounts[AccountKey],tblAccounts[AccountCategory],"")</f>
        <v>Revenue</v>
      </c>
      <c r="M731" s="8" t="str">
        <f>_xlfn.XLOOKUP(tblFinancials[[#This Row],[AccountKey]],tblAccounts[AccountKey],tblAccounts[NormalBalance],"")</f>
        <v>Credit</v>
      </c>
      <c r="N731" s="8" t="str">
        <f>_xlfn.XLOOKUP(tblFinancials[[#This Row],[DepartmentKey]],tblDepartments[DepartmentKey],tblDepartments[DepartmentName],"")</f>
        <v>Human Resources</v>
      </c>
      <c r="O731" s="8" t="str">
        <f>_xlfn.XLOOKUP(tblFinancials[[#This Row],[BusinessUnitKey]],tblBusinessUnits[BusinessUnitKey],tblBusinessUnits[BusinessUnitName],"")</f>
        <v>Wholesale</v>
      </c>
      <c r="P731" s="8" t="str">
        <f>_xlfn.XLOOKUP(tblFinancials[[#This Row],[RegionKey]],tblRegions[RegionKey],tblRegions[RegionName],"")</f>
        <v>East</v>
      </c>
    </row>
    <row r="732" spans="1:16">
      <c r="A732">
        <v>20240901</v>
      </c>
      <c r="B732">
        <v>3</v>
      </c>
      <c r="C732">
        <v>4</v>
      </c>
      <c r="D732">
        <v>1</v>
      </c>
      <c r="E732">
        <v>12</v>
      </c>
      <c r="F732" t="s">
        <v>92</v>
      </c>
      <c r="G732">
        <v>29952.89</v>
      </c>
      <c r="H732">
        <f>_xlfn.XLOOKUP(tblFinancials[[#This Row],[DateKey]],tblCalendar[DateKey],tblCalendar[FullDate],"")</f>
        <v>45536</v>
      </c>
      <c r="I732">
        <f>_xlfn.XLOOKUP(tblFinancials[[#This Row],[AccountKey]],tblAccounts[AccountKey],tblAccounts[AccountNumber],"")</f>
        <v>4010</v>
      </c>
      <c r="J732" t="str">
        <f>_xlfn.XLOOKUP(tblFinancials[[#This Row],[AccountKey]],tblAccounts[AccountKey],tblAccounts[AccountName],"")</f>
        <v>Service Revenue</v>
      </c>
      <c r="K732" s="8" t="str">
        <f>_xlfn.XLOOKUP(tblFinancials[[#This Row],[AccountKey]],tblAccounts[AccountKey],tblAccounts[FinancialStatement],"")</f>
        <v>Income Statement</v>
      </c>
      <c r="L732" s="8" t="str">
        <f>_xlfn.XLOOKUP(tblFinancials[[#This Row],[AccountKey]],tblAccounts[AccountKey],tblAccounts[AccountCategory],"")</f>
        <v>Revenue</v>
      </c>
      <c r="M732" s="8" t="str">
        <f>_xlfn.XLOOKUP(tblFinancials[[#This Row],[AccountKey]],tblAccounts[AccountKey],tblAccounts[NormalBalance],"")</f>
        <v>Credit</v>
      </c>
      <c r="N732" s="8" t="str">
        <f>_xlfn.XLOOKUP(tblFinancials[[#This Row],[DepartmentKey]],tblDepartments[DepartmentKey],tblDepartments[DepartmentName],"")</f>
        <v>Human Resources</v>
      </c>
      <c r="O732" s="8" t="str">
        <f>_xlfn.XLOOKUP(tblFinancials[[#This Row],[BusinessUnitKey]],tblBusinessUnits[BusinessUnitKey],tblBusinessUnits[BusinessUnitName],"")</f>
        <v>E-Commerce</v>
      </c>
      <c r="P732" s="8" t="str">
        <f>_xlfn.XLOOKUP(tblFinancials[[#This Row],[RegionKey]],tblRegions[RegionKey],tblRegions[RegionName],"")</f>
        <v>West</v>
      </c>
    </row>
    <row r="733" spans="1:16">
      <c r="A733">
        <v>20240901</v>
      </c>
      <c r="B733">
        <v>3</v>
      </c>
      <c r="C733">
        <v>3</v>
      </c>
      <c r="D733">
        <v>4</v>
      </c>
      <c r="E733">
        <v>11</v>
      </c>
      <c r="F733" t="s">
        <v>92</v>
      </c>
      <c r="G733">
        <v>32647.96</v>
      </c>
      <c r="H733">
        <f>_xlfn.XLOOKUP(tblFinancials[[#This Row],[DateKey]],tblCalendar[DateKey],tblCalendar[FullDate],"")</f>
        <v>45536</v>
      </c>
      <c r="I733">
        <f>_xlfn.XLOOKUP(tblFinancials[[#This Row],[AccountKey]],tblAccounts[AccountKey],tblAccounts[AccountNumber],"")</f>
        <v>4000</v>
      </c>
      <c r="J733" t="str">
        <f>_xlfn.XLOOKUP(tblFinancials[[#This Row],[AccountKey]],tblAccounts[AccountKey],tblAccounts[AccountName],"")</f>
        <v>Product Revenue</v>
      </c>
      <c r="K733" s="8" t="str">
        <f>_xlfn.XLOOKUP(tblFinancials[[#This Row],[AccountKey]],tblAccounts[AccountKey],tblAccounts[FinancialStatement],"")</f>
        <v>Income Statement</v>
      </c>
      <c r="L733" s="8" t="str">
        <f>_xlfn.XLOOKUP(tblFinancials[[#This Row],[AccountKey]],tblAccounts[AccountKey],tblAccounts[AccountCategory],"")</f>
        <v>Revenue</v>
      </c>
      <c r="M733" s="8" t="str">
        <f>_xlfn.XLOOKUP(tblFinancials[[#This Row],[AccountKey]],tblAccounts[AccountKey],tblAccounts[NormalBalance],"")</f>
        <v>Credit</v>
      </c>
      <c r="N733" s="8" t="str">
        <f>_xlfn.XLOOKUP(tblFinancials[[#This Row],[DepartmentKey]],tblDepartments[DepartmentKey],tblDepartments[DepartmentName],"")</f>
        <v>Human Resources</v>
      </c>
      <c r="O733" s="8" t="str">
        <f>_xlfn.XLOOKUP(tblFinancials[[#This Row],[BusinessUnitKey]],tblBusinessUnits[BusinessUnitKey],tblBusinessUnits[BusinessUnitName],"")</f>
        <v>Retail</v>
      </c>
      <c r="P733" s="8" t="str">
        <f>_xlfn.XLOOKUP(tblFinancials[[#This Row],[RegionKey]],tblRegions[RegionKey],tblRegions[RegionName],"")</f>
        <v>East</v>
      </c>
    </row>
    <row r="734" spans="1:16">
      <c r="A734">
        <v>20240901</v>
      </c>
      <c r="B734">
        <v>1</v>
      </c>
      <c r="C734">
        <v>3</v>
      </c>
      <c r="D734">
        <v>4</v>
      </c>
      <c r="E734">
        <v>14</v>
      </c>
      <c r="F734" t="s">
        <v>92</v>
      </c>
      <c r="G734">
        <v>-17334.439999999999</v>
      </c>
      <c r="H734">
        <f>_xlfn.XLOOKUP(tblFinancials[[#This Row],[DateKey]],tblCalendar[DateKey],tblCalendar[FullDate],"")</f>
        <v>45536</v>
      </c>
      <c r="I734">
        <f>_xlfn.XLOOKUP(tblFinancials[[#This Row],[AccountKey]],tblAccounts[AccountKey],tblAccounts[AccountNumber],"")</f>
        <v>5000</v>
      </c>
      <c r="J734" t="str">
        <f>_xlfn.XLOOKUP(tblFinancials[[#This Row],[AccountKey]],tblAccounts[AccountKey],tblAccounts[AccountName],"")</f>
        <v>Cost of Goods Sold</v>
      </c>
      <c r="K734" s="8" t="str">
        <f>_xlfn.XLOOKUP(tblFinancials[[#This Row],[AccountKey]],tblAccounts[AccountKey],tblAccounts[FinancialStatement],"")</f>
        <v>Income Statement</v>
      </c>
      <c r="L734" s="8" t="str">
        <f>_xlfn.XLOOKUP(tblFinancials[[#This Row],[AccountKey]],tblAccounts[AccountKey],tblAccounts[AccountCategory],"")</f>
        <v>Cost of Sales</v>
      </c>
      <c r="M734" s="8" t="str">
        <f>_xlfn.XLOOKUP(tblFinancials[[#This Row],[AccountKey]],tblAccounts[AccountKey],tblAccounts[NormalBalance],"")</f>
        <v>Debit</v>
      </c>
      <c r="N734" s="8" t="str">
        <f>_xlfn.XLOOKUP(tblFinancials[[#This Row],[DepartmentKey]],tblDepartments[DepartmentKey],tblDepartments[DepartmentName],"")</f>
        <v>Executive</v>
      </c>
      <c r="O734" s="8" t="str">
        <f>_xlfn.XLOOKUP(tblFinancials[[#This Row],[BusinessUnitKey]],tblBusinessUnits[BusinessUnitKey],tblBusinessUnits[BusinessUnitName],"")</f>
        <v>Retail</v>
      </c>
      <c r="P734" s="8" t="str">
        <f>_xlfn.XLOOKUP(tblFinancials[[#This Row],[RegionKey]],tblRegions[RegionKey],tblRegions[RegionName],"")</f>
        <v>East</v>
      </c>
    </row>
    <row r="735" spans="1:16">
      <c r="A735">
        <v>20240901</v>
      </c>
      <c r="B735">
        <v>2</v>
      </c>
      <c r="C735">
        <v>1</v>
      </c>
      <c r="D735">
        <v>2</v>
      </c>
      <c r="E735">
        <v>14</v>
      </c>
      <c r="F735" t="s">
        <v>92</v>
      </c>
      <c r="G735">
        <v>-18290.439999999999</v>
      </c>
      <c r="H735">
        <f>_xlfn.XLOOKUP(tblFinancials[[#This Row],[DateKey]],tblCalendar[DateKey],tblCalendar[FullDate],"")</f>
        <v>45536</v>
      </c>
      <c r="I735">
        <f>_xlfn.XLOOKUP(tblFinancials[[#This Row],[AccountKey]],tblAccounts[AccountKey],tblAccounts[AccountNumber],"")</f>
        <v>5000</v>
      </c>
      <c r="J735" t="str">
        <f>_xlfn.XLOOKUP(tblFinancials[[#This Row],[AccountKey]],tblAccounts[AccountKey],tblAccounts[AccountName],"")</f>
        <v>Cost of Goods Sold</v>
      </c>
      <c r="K735" s="8" t="str">
        <f>_xlfn.XLOOKUP(tblFinancials[[#This Row],[AccountKey]],tblAccounts[AccountKey],tblAccounts[FinancialStatement],"")</f>
        <v>Income Statement</v>
      </c>
      <c r="L735" s="8" t="str">
        <f>_xlfn.XLOOKUP(tblFinancials[[#This Row],[AccountKey]],tblAccounts[AccountKey],tblAccounts[AccountCategory],"")</f>
        <v>Cost of Sales</v>
      </c>
      <c r="M735" s="8" t="str">
        <f>_xlfn.XLOOKUP(tblFinancials[[#This Row],[AccountKey]],tblAccounts[AccountKey],tblAccounts[NormalBalance],"")</f>
        <v>Debit</v>
      </c>
      <c r="N735" s="8" t="str">
        <f>_xlfn.XLOOKUP(tblFinancials[[#This Row],[DepartmentKey]],tblDepartments[DepartmentKey],tblDepartments[DepartmentName],"")</f>
        <v>Finance</v>
      </c>
      <c r="O735" s="8" t="str">
        <f>_xlfn.XLOOKUP(tblFinancials[[#This Row],[BusinessUnitKey]],tblBusinessUnits[BusinessUnitKey],tblBusinessUnits[BusinessUnitName],"")</f>
        <v xml:space="preserve">Manufacturing </v>
      </c>
      <c r="P735" s="8" t="str">
        <f>_xlfn.XLOOKUP(tblFinancials[[#This Row],[RegionKey]],tblRegions[RegionKey],tblRegions[RegionName],"")</f>
        <v>Midwest</v>
      </c>
    </row>
    <row r="736" spans="1:16">
      <c r="A736">
        <v>20240901</v>
      </c>
      <c r="B736">
        <v>5</v>
      </c>
      <c r="C736">
        <v>1</v>
      </c>
      <c r="D736">
        <v>3</v>
      </c>
      <c r="E736">
        <v>14</v>
      </c>
      <c r="F736" t="s">
        <v>92</v>
      </c>
      <c r="G736">
        <v>-18231.060000000001</v>
      </c>
      <c r="H736">
        <f>_xlfn.XLOOKUP(tblFinancials[[#This Row],[DateKey]],tblCalendar[DateKey],tblCalendar[FullDate],"")</f>
        <v>45536</v>
      </c>
      <c r="I736">
        <f>_xlfn.XLOOKUP(tblFinancials[[#This Row],[AccountKey]],tblAccounts[AccountKey],tblAccounts[AccountNumber],"")</f>
        <v>5000</v>
      </c>
      <c r="J736" t="str">
        <f>_xlfn.XLOOKUP(tblFinancials[[#This Row],[AccountKey]],tblAccounts[AccountKey],tblAccounts[AccountName],"")</f>
        <v>Cost of Goods Sold</v>
      </c>
      <c r="K736" s="8" t="str">
        <f>_xlfn.XLOOKUP(tblFinancials[[#This Row],[AccountKey]],tblAccounts[AccountKey],tblAccounts[FinancialStatement],"")</f>
        <v>Income Statement</v>
      </c>
      <c r="L736" s="8" t="str">
        <f>_xlfn.XLOOKUP(tblFinancials[[#This Row],[AccountKey]],tblAccounts[AccountKey],tblAccounts[AccountCategory],"")</f>
        <v>Cost of Sales</v>
      </c>
      <c r="M736" s="8" t="str">
        <f>_xlfn.XLOOKUP(tblFinancials[[#This Row],[AccountKey]],tblAccounts[AccountKey],tblAccounts[NormalBalance],"")</f>
        <v>Debit</v>
      </c>
      <c r="N736" s="8" t="str">
        <f>_xlfn.XLOOKUP(tblFinancials[[#This Row],[DepartmentKey]],tblDepartments[DepartmentKey],tblDepartments[DepartmentName],"")</f>
        <v>Marketing</v>
      </c>
      <c r="O736" s="8" t="str">
        <f>_xlfn.XLOOKUP(tblFinancials[[#This Row],[BusinessUnitKey]],tblBusinessUnits[BusinessUnitKey],tblBusinessUnits[BusinessUnitName],"")</f>
        <v xml:space="preserve">Manufacturing </v>
      </c>
      <c r="P736" s="8" t="str">
        <f>_xlfn.XLOOKUP(tblFinancials[[#This Row],[RegionKey]],tblRegions[RegionKey],tblRegions[RegionName],"")</f>
        <v>South</v>
      </c>
    </row>
    <row r="737" spans="1:16">
      <c r="A737">
        <v>20240901</v>
      </c>
      <c r="B737">
        <v>7</v>
      </c>
      <c r="C737">
        <v>2</v>
      </c>
      <c r="D737">
        <v>3</v>
      </c>
      <c r="E737">
        <v>14</v>
      </c>
      <c r="F737" t="s">
        <v>92</v>
      </c>
      <c r="G737">
        <v>-17571.02</v>
      </c>
      <c r="H737">
        <f>_xlfn.XLOOKUP(tblFinancials[[#This Row],[DateKey]],tblCalendar[DateKey],tblCalendar[FullDate],"")</f>
        <v>45536</v>
      </c>
      <c r="I737">
        <f>_xlfn.XLOOKUP(tblFinancials[[#This Row],[AccountKey]],tblAccounts[AccountKey],tblAccounts[AccountNumber],"")</f>
        <v>5000</v>
      </c>
      <c r="J737" t="str">
        <f>_xlfn.XLOOKUP(tblFinancials[[#This Row],[AccountKey]],tblAccounts[AccountKey],tblAccounts[AccountName],"")</f>
        <v>Cost of Goods Sold</v>
      </c>
      <c r="K737" s="8" t="str">
        <f>_xlfn.XLOOKUP(tblFinancials[[#This Row],[AccountKey]],tblAccounts[AccountKey],tblAccounts[FinancialStatement],"")</f>
        <v>Income Statement</v>
      </c>
      <c r="L737" s="8" t="str">
        <f>_xlfn.XLOOKUP(tblFinancials[[#This Row],[AccountKey]],tblAccounts[AccountKey],tblAccounts[AccountCategory],"")</f>
        <v>Cost of Sales</v>
      </c>
      <c r="M737" s="8" t="str">
        <f>_xlfn.XLOOKUP(tblFinancials[[#This Row],[AccountKey]],tblAccounts[AccountKey],tblAccounts[NormalBalance],"")</f>
        <v>Debit</v>
      </c>
      <c r="N737" s="8" t="str">
        <f>_xlfn.XLOOKUP(tblFinancials[[#This Row],[DepartmentKey]],tblDepartments[DepartmentKey],tblDepartments[DepartmentName],"")</f>
        <v>Information Technology</v>
      </c>
      <c r="O737" s="8" t="str">
        <f>_xlfn.XLOOKUP(tblFinancials[[#This Row],[BusinessUnitKey]],tblBusinessUnits[BusinessUnitKey],tblBusinessUnits[BusinessUnitName],"")</f>
        <v>Wholesale</v>
      </c>
      <c r="P737" s="8" t="str">
        <f>_xlfn.XLOOKUP(tblFinancials[[#This Row],[RegionKey]],tblRegions[RegionKey],tblRegions[RegionName],"")</f>
        <v>South</v>
      </c>
    </row>
    <row r="738" spans="1:16">
      <c r="A738">
        <v>20240901</v>
      </c>
      <c r="B738">
        <v>6</v>
      </c>
      <c r="C738">
        <v>2</v>
      </c>
      <c r="D738">
        <v>1</v>
      </c>
      <c r="E738">
        <v>14</v>
      </c>
      <c r="F738" t="s">
        <v>92</v>
      </c>
      <c r="G738">
        <v>-18787.599999999999</v>
      </c>
      <c r="H738">
        <f>_xlfn.XLOOKUP(tblFinancials[[#This Row],[DateKey]],tblCalendar[DateKey],tblCalendar[FullDate],"")</f>
        <v>45536</v>
      </c>
      <c r="I738">
        <f>_xlfn.XLOOKUP(tblFinancials[[#This Row],[AccountKey]],tblAccounts[AccountKey],tblAccounts[AccountNumber],"")</f>
        <v>5000</v>
      </c>
      <c r="J738" t="str">
        <f>_xlfn.XLOOKUP(tblFinancials[[#This Row],[AccountKey]],tblAccounts[AccountKey],tblAccounts[AccountName],"")</f>
        <v>Cost of Goods Sold</v>
      </c>
      <c r="K738" s="8" t="str">
        <f>_xlfn.XLOOKUP(tblFinancials[[#This Row],[AccountKey]],tblAccounts[AccountKey],tblAccounts[FinancialStatement],"")</f>
        <v>Income Statement</v>
      </c>
      <c r="L738" s="8" t="str">
        <f>_xlfn.XLOOKUP(tblFinancials[[#This Row],[AccountKey]],tblAccounts[AccountKey],tblAccounts[AccountCategory],"")</f>
        <v>Cost of Sales</v>
      </c>
      <c r="M738" s="8" t="str">
        <f>_xlfn.XLOOKUP(tblFinancials[[#This Row],[AccountKey]],tblAccounts[AccountKey],tblAccounts[NormalBalance],"")</f>
        <v>Debit</v>
      </c>
      <c r="N738" s="8" t="str">
        <f>_xlfn.XLOOKUP(tblFinancials[[#This Row],[DepartmentKey]],tblDepartments[DepartmentKey],tblDepartments[DepartmentName],"")</f>
        <v>Operations</v>
      </c>
      <c r="O738" s="8" t="str">
        <f>_xlfn.XLOOKUP(tblFinancials[[#This Row],[BusinessUnitKey]],tblBusinessUnits[BusinessUnitKey],tblBusinessUnits[BusinessUnitName],"")</f>
        <v>Wholesale</v>
      </c>
      <c r="P738" s="8" t="str">
        <f>_xlfn.XLOOKUP(tblFinancials[[#This Row],[RegionKey]],tblRegions[RegionKey],tblRegions[RegionName],"")</f>
        <v>West</v>
      </c>
    </row>
    <row r="739" spans="1:16">
      <c r="A739">
        <v>20240901</v>
      </c>
      <c r="B739">
        <v>1</v>
      </c>
      <c r="C739">
        <v>3</v>
      </c>
      <c r="D739">
        <v>2</v>
      </c>
      <c r="E739">
        <v>14</v>
      </c>
      <c r="F739" t="s">
        <v>92</v>
      </c>
      <c r="G739">
        <v>-18328.64</v>
      </c>
      <c r="H739">
        <f>_xlfn.XLOOKUP(tblFinancials[[#This Row],[DateKey]],tblCalendar[DateKey],tblCalendar[FullDate],"")</f>
        <v>45536</v>
      </c>
      <c r="I739">
        <f>_xlfn.XLOOKUP(tblFinancials[[#This Row],[AccountKey]],tblAccounts[AccountKey],tblAccounts[AccountNumber],"")</f>
        <v>5000</v>
      </c>
      <c r="J739" t="str">
        <f>_xlfn.XLOOKUP(tblFinancials[[#This Row],[AccountKey]],tblAccounts[AccountKey],tblAccounts[AccountName],"")</f>
        <v>Cost of Goods Sold</v>
      </c>
      <c r="K739" s="8" t="str">
        <f>_xlfn.XLOOKUP(tblFinancials[[#This Row],[AccountKey]],tblAccounts[AccountKey],tblAccounts[FinancialStatement],"")</f>
        <v>Income Statement</v>
      </c>
      <c r="L739" s="8" t="str">
        <f>_xlfn.XLOOKUP(tblFinancials[[#This Row],[AccountKey]],tblAccounts[AccountKey],tblAccounts[AccountCategory],"")</f>
        <v>Cost of Sales</v>
      </c>
      <c r="M739" s="8" t="str">
        <f>_xlfn.XLOOKUP(tblFinancials[[#This Row],[AccountKey]],tblAccounts[AccountKey],tblAccounts[NormalBalance],"")</f>
        <v>Debit</v>
      </c>
      <c r="N739" s="8" t="str">
        <f>_xlfn.XLOOKUP(tblFinancials[[#This Row],[DepartmentKey]],tblDepartments[DepartmentKey],tblDepartments[DepartmentName],"")</f>
        <v>Executive</v>
      </c>
      <c r="O739" s="8" t="str">
        <f>_xlfn.XLOOKUP(tblFinancials[[#This Row],[BusinessUnitKey]],tblBusinessUnits[BusinessUnitKey],tblBusinessUnits[BusinessUnitName],"")</f>
        <v>Retail</v>
      </c>
      <c r="P739" s="8" t="str">
        <f>_xlfn.XLOOKUP(tblFinancials[[#This Row],[RegionKey]],tblRegions[RegionKey],tblRegions[RegionName],"")</f>
        <v>Midwest</v>
      </c>
    </row>
    <row r="740" spans="1:16">
      <c r="A740">
        <v>20240901</v>
      </c>
      <c r="B740">
        <v>6</v>
      </c>
      <c r="C740">
        <v>4</v>
      </c>
      <c r="D740">
        <v>2</v>
      </c>
      <c r="E740">
        <v>14</v>
      </c>
      <c r="F740" t="s">
        <v>92</v>
      </c>
      <c r="G740">
        <v>-18348.060000000001</v>
      </c>
      <c r="H740">
        <f>_xlfn.XLOOKUP(tblFinancials[[#This Row],[DateKey]],tblCalendar[DateKey],tblCalendar[FullDate],"")</f>
        <v>45536</v>
      </c>
      <c r="I740">
        <f>_xlfn.XLOOKUP(tblFinancials[[#This Row],[AccountKey]],tblAccounts[AccountKey],tblAccounts[AccountNumber],"")</f>
        <v>5000</v>
      </c>
      <c r="J740" t="str">
        <f>_xlfn.XLOOKUP(tblFinancials[[#This Row],[AccountKey]],tblAccounts[AccountKey],tblAccounts[AccountName],"")</f>
        <v>Cost of Goods Sold</v>
      </c>
      <c r="K740" s="8" t="str">
        <f>_xlfn.XLOOKUP(tblFinancials[[#This Row],[AccountKey]],tblAccounts[AccountKey],tblAccounts[FinancialStatement],"")</f>
        <v>Income Statement</v>
      </c>
      <c r="L740" s="8" t="str">
        <f>_xlfn.XLOOKUP(tblFinancials[[#This Row],[AccountKey]],tblAccounts[AccountKey],tblAccounts[AccountCategory],"")</f>
        <v>Cost of Sales</v>
      </c>
      <c r="M740" s="8" t="str">
        <f>_xlfn.XLOOKUP(tblFinancials[[#This Row],[AccountKey]],tblAccounts[AccountKey],tblAccounts[NormalBalance],"")</f>
        <v>Debit</v>
      </c>
      <c r="N740" s="8" t="str">
        <f>_xlfn.XLOOKUP(tblFinancials[[#This Row],[DepartmentKey]],tblDepartments[DepartmentKey],tblDepartments[DepartmentName],"")</f>
        <v>Operations</v>
      </c>
      <c r="O740" s="8" t="str">
        <f>_xlfn.XLOOKUP(tblFinancials[[#This Row],[BusinessUnitKey]],tblBusinessUnits[BusinessUnitKey],tblBusinessUnits[BusinessUnitName],"")</f>
        <v>E-Commerce</v>
      </c>
      <c r="P740" s="8" t="str">
        <f>_xlfn.XLOOKUP(tblFinancials[[#This Row],[RegionKey]],tblRegions[RegionKey],tblRegions[RegionName],"")</f>
        <v>Midwest</v>
      </c>
    </row>
    <row r="741" spans="1:16">
      <c r="A741">
        <v>20240901</v>
      </c>
      <c r="B741">
        <v>8</v>
      </c>
      <c r="C741">
        <v>1</v>
      </c>
      <c r="D741">
        <v>2</v>
      </c>
      <c r="E741">
        <v>14</v>
      </c>
      <c r="F741" t="s">
        <v>92</v>
      </c>
      <c r="G741">
        <v>-16888.240000000002</v>
      </c>
      <c r="H741">
        <f>_xlfn.XLOOKUP(tblFinancials[[#This Row],[DateKey]],tblCalendar[DateKey],tblCalendar[FullDate],"")</f>
        <v>45536</v>
      </c>
      <c r="I741">
        <f>_xlfn.XLOOKUP(tblFinancials[[#This Row],[AccountKey]],tblAccounts[AccountKey],tblAccounts[AccountNumber],"")</f>
        <v>5000</v>
      </c>
      <c r="J741" t="str">
        <f>_xlfn.XLOOKUP(tblFinancials[[#This Row],[AccountKey]],tblAccounts[AccountKey],tblAccounts[AccountName],"")</f>
        <v>Cost of Goods Sold</v>
      </c>
      <c r="K741" s="8" t="str">
        <f>_xlfn.XLOOKUP(tblFinancials[[#This Row],[AccountKey]],tblAccounts[AccountKey],tblAccounts[FinancialStatement],"")</f>
        <v>Income Statement</v>
      </c>
      <c r="L741" s="8" t="str">
        <f>_xlfn.XLOOKUP(tblFinancials[[#This Row],[AccountKey]],tblAccounts[AccountKey],tblAccounts[AccountCategory],"")</f>
        <v>Cost of Sales</v>
      </c>
      <c r="M741" s="8" t="str">
        <f>_xlfn.XLOOKUP(tblFinancials[[#This Row],[AccountKey]],tblAccounts[AccountKey],tblAccounts[NormalBalance],"")</f>
        <v>Debit</v>
      </c>
      <c r="N741" s="8" t="str">
        <f>_xlfn.XLOOKUP(tblFinancials[[#This Row],[DepartmentKey]],tblDepartments[DepartmentKey],tblDepartments[DepartmentName],"")</f>
        <v>Customer Service</v>
      </c>
      <c r="O741" s="8" t="str">
        <f>_xlfn.XLOOKUP(tblFinancials[[#This Row],[BusinessUnitKey]],tblBusinessUnits[BusinessUnitKey],tblBusinessUnits[BusinessUnitName],"")</f>
        <v xml:space="preserve">Manufacturing </v>
      </c>
      <c r="P741" s="8" t="str">
        <f>_xlfn.XLOOKUP(tblFinancials[[#This Row],[RegionKey]],tblRegions[RegionKey],tblRegions[RegionName],"")</f>
        <v>Midwest</v>
      </c>
    </row>
    <row r="742" spans="1:16">
      <c r="A742">
        <v>20240901</v>
      </c>
      <c r="B742">
        <v>7</v>
      </c>
      <c r="C742">
        <v>2</v>
      </c>
      <c r="D742">
        <v>4</v>
      </c>
      <c r="E742">
        <v>14</v>
      </c>
      <c r="F742" t="s">
        <v>92</v>
      </c>
      <c r="G742">
        <v>-17066.93</v>
      </c>
      <c r="H742">
        <f>_xlfn.XLOOKUP(tblFinancials[[#This Row],[DateKey]],tblCalendar[DateKey],tblCalendar[FullDate],"")</f>
        <v>45536</v>
      </c>
      <c r="I742">
        <f>_xlfn.XLOOKUP(tblFinancials[[#This Row],[AccountKey]],tblAccounts[AccountKey],tblAccounts[AccountNumber],"")</f>
        <v>5000</v>
      </c>
      <c r="J742" t="str">
        <f>_xlfn.XLOOKUP(tblFinancials[[#This Row],[AccountKey]],tblAccounts[AccountKey],tblAccounts[AccountName],"")</f>
        <v>Cost of Goods Sold</v>
      </c>
      <c r="K742" s="8" t="str">
        <f>_xlfn.XLOOKUP(tblFinancials[[#This Row],[AccountKey]],tblAccounts[AccountKey],tblAccounts[FinancialStatement],"")</f>
        <v>Income Statement</v>
      </c>
      <c r="L742" s="8" t="str">
        <f>_xlfn.XLOOKUP(tblFinancials[[#This Row],[AccountKey]],tblAccounts[AccountKey],tblAccounts[AccountCategory],"")</f>
        <v>Cost of Sales</v>
      </c>
      <c r="M742" s="8" t="str">
        <f>_xlfn.XLOOKUP(tblFinancials[[#This Row],[AccountKey]],tblAccounts[AccountKey],tblAccounts[NormalBalance],"")</f>
        <v>Debit</v>
      </c>
      <c r="N742" s="8" t="str">
        <f>_xlfn.XLOOKUP(tblFinancials[[#This Row],[DepartmentKey]],tblDepartments[DepartmentKey],tblDepartments[DepartmentName],"")</f>
        <v>Information Technology</v>
      </c>
      <c r="O742" s="8" t="str">
        <f>_xlfn.XLOOKUP(tblFinancials[[#This Row],[BusinessUnitKey]],tblBusinessUnits[BusinessUnitKey],tblBusinessUnits[BusinessUnitName],"")</f>
        <v>Wholesale</v>
      </c>
      <c r="P742" s="8" t="str">
        <f>_xlfn.XLOOKUP(tblFinancials[[#This Row],[RegionKey]],tblRegions[RegionKey],tblRegions[RegionName],"")</f>
        <v>East</v>
      </c>
    </row>
    <row r="743" spans="1:16">
      <c r="A743">
        <v>20240901</v>
      </c>
      <c r="B743">
        <v>7</v>
      </c>
      <c r="C743">
        <v>3</v>
      </c>
      <c r="D743">
        <v>3</v>
      </c>
      <c r="E743">
        <v>14</v>
      </c>
      <c r="F743" t="s">
        <v>92</v>
      </c>
      <c r="G743">
        <v>-16776.96</v>
      </c>
      <c r="H743">
        <f>_xlfn.XLOOKUP(tblFinancials[[#This Row],[DateKey]],tblCalendar[DateKey],tblCalendar[FullDate],"")</f>
        <v>45536</v>
      </c>
      <c r="I743">
        <f>_xlfn.XLOOKUP(tblFinancials[[#This Row],[AccountKey]],tblAccounts[AccountKey],tblAccounts[AccountNumber],"")</f>
        <v>5000</v>
      </c>
      <c r="J743" t="str">
        <f>_xlfn.XLOOKUP(tblFinancials[[#This Row],[AccountKey]],tblAccounts[AccountKey],tblAccounts[AccountName],"")</f>
        <v>Cost of Goods Sold</v>
      </c>
      <c r="K743" s="8" t="str">
        <f>_xlfn.XLOOKUP(tblFinancials[[#This Row],[AccountKey]],tblAccounts[AccountKey],tblAccounts[FinancialStatement],"")</f>
        <v>Income Statement</v>
      </c>
      <c r="L743" s="8" t="str">
        <f>_xlfn.XLOOKUP(tblFinancials[[#This Row],[AccountKey]],tblAccounts[AccountKey],tblAccounts[AccountCategory],"")</f>
        <v>Cost of Sales</v>
      </c>
      <c r="M743" s="8" t="str">
        <f>_xlfn.XLOOKUP(tblFinancials[[#This Row],[AccountKey]],tblAccounts[AccountKey],tblAccounts[NormalBalance],"")</f>
        <v>Debit</v>
      </c>
      <c r="N743" s="8" t="str">
        <f>_xlfn.XLOOKUP(tblFinancials[[#This Row],[DepartmentKey]],tblDepartments[DepartmentKey],tblDepartments[DepartmentName],"")</f>
        <v>Information Technology</v>
      </c>
      <c r="O743" s="8" t="str">
        <f>_xlfn.XLOOKUP(tblFinancials[[#This Row],[BusinessUnitKey]],tblBusinessUnits[BusinessUnitKey],tblBusinessUnits[BusinessUnitName],"")</f>
        <v>Retail</v>
      </c>
      <c r="P743" s="8" t="str">
        <f>_xlfn.XLOOKUP(tblFinancials[[#This Row],[RegionKey]],tblRegions[RegionKey],tblRegions[RegionName],"")</f>
        <v>South</v>
      </c>
    </row>
    <row r="744" spans="1:16">
      <c r="A744">
        <v>20240901</v>
      </c>
      <c r="B744">
        <v>6</v>
      </c>
      <c r="C744">
        <v>1</v>
      </c>
      <c r="D744">
        <v>3</v>
      </c>
      <c r="E744">
        <v>14</v>
      </c>
      <c r="F744" t="s">
        <v>92</v>
      </c>
      <c r="G744">
        <v>-18354.14</v>
      </c>
      <c r="H744">
        <f>_xlfn.XLOOKUP(tblFinancials[[#This Row],[DateKey]],tblCalendar[DateKey],tblCalendar[FullDate],"")</f>
        <v>45536</v>
      </c>
      <c r="I744">
        <f>_xlfn.XLOOKUP(tblFinancials[[#This Row],[AccountKey]],tblAccounts[AccountKey],tblAccounts[AccountNumber],"")</f>
        <v>5000</v>
      </c>
      <c r="J744" t="str">
        <f>_xlfn.XLOOKUP(tblFinancials[[#This Row],[AccountKey]],tblAccounts[AccountKey],tblAccounts[AccountName],"")</f>
        <v>Cost of Goods Sold</v>
      </c>
      <c r="K744" s="8" t="str">
        <f>_xlfn.XLOOKUP(tblFinancials[[#This Row],[AccountKey]],tblAccounts[AccountKey],tblAccounts[FinancialStatement],"")</f>
        <v>Income Statement</v>
      </c>
      <c r="L744" s="8" t="str">
        <f>_xlfn.XLOOKUP(tblFinancials[[#This Row],[AccountKey]],tblAccounts[AccountKey],tblAccounts[AccountCategory],"")</f>
        <v>Cost of Sales</v>
      </c>
      <c r="M744" s="8" t="str">
        <f>_xlfn.XLOOKUP(tblFinancials[[#This Row],[AccountKey]],tblAccounts[AccountKey],tblAccounts[NormalBalance],"")</f>
        <v>Debit</v>
      </c>
      <c r="N744" s="8" t="str">
        <f>_xlfn.XLOOKUP(tblFinancials[[#This Row],[DepartmentKey]],tblDepartments[DepartmentKey],tblDepartments[DepartmentName],"")</f>
        <v>Operations</v>
      </c>
      <c r="O744" s="8" t="str">
        <f>_xlfn.XLOOKUP(tblFinancials[[#This Row],[BusinessUnitKey]],tblBusinessUnits[BusinessUnitKey],tblBusinessUnits[BusinessUnitName],"")</f>
        <v xml:space="preserve">Manufacturing </v>
      </c>
      <c r="P744" s="8" t="str">
        <f>_xlfn.XLOOKUP(tblFinancials[[#This Row],[RegionKey]],tblRegions[RegionKey],tblRegions[RegionName],"")</f>
        <v>South</v>
      </c>
    </row>
    <row r="745" spans="1:16">
      <c r="A745">
        <v>20240901</v>
      </c>
      <c r="B745">
        <v>7</v>
      </c>
      <c r="C745">
        <v>2</v>
      </c>
      <c r="D745">
        <v>4</v>
      </c>
      <c r="E745">
        <v>14</v>
      </c>
      <c r="F745" t="s">
        <v>92</v>
      </c>
      <c r="G745">
        <v>-15947.22</v>
      </c>
      <c r="H745">
        <f>_xlfn.XLOOKUP(tblFinancials[[#This Row],[DateKey]],tblCalendar[DateKey],tblCalendar[FullDate],"")</f>
        <v>45536</v>
      </c>
      <c r="I745">
        <f>_xlfn.XLOOKUP(tblFinancials[[#This Row],[AccountKey]],tblAccounts[AccountKey],tblAccounts[AccountNumber],"")</f>
        <v>5000</v>
      </c>
      <c r="J745" t="str">
        <f>_xlfn.XLOOKUP(tblFinancials[[#This Row],[AccountKey]],tblAccounts[AccountKey],tblAccounts[AccountName],"")</f>
        <v>Cost of Goods Sold</v>
      </c>
      <c r="K745" s="8" t="str">
        <f>_xlfn.XLOOKUP(tblFinancials[[#This Row],[AccountKey]],tblAccounts[AccountKey],tblAccounts[FinancialStatement],"")</f>
        <v>Income Statement</v>
      </c>
      <c r="L745" s="8" t="str">
        <f>_xlfn.XLOOKUP(tblFinancials[[#This Row],[AccountKey]],tblAccounts[AccountKey],tblAccounts[AccountCategory],"")</f>
        <v>Cost of Sales</v>
      </c>
      <c r="M745" s="8" t="str">
        <f>_xlfn.XLOOKUP(tblFinancials[[#This Row],[AccountKey]],tblAccounts[AccountKey],tblAccounts[NormalBalance],"")</f>
        <v>Debit</v>
      </c>
      <c r="N745" s="8" t="str">
        <f>_xlfn.XLOOKUP(tblFinancials[[#This Row],[DepartmentKey]],tblDepartments[DepartmentKey],tblDepartments[DepartmentName],"")</f>
        <v>Information Technology</v>
      </c>
      <c r="O745" s="8" t="str">
        <f>_xlfn.XLOOKUP(tblFinancials[[#This Row],[BusinessUnitKey]],tblBusinessUnits[BusinessUnitKey],tblBusinessUnits[BusinessUnitName],"")</f>
        <v>Wholesale</v>
      </c>
      <c r="P745" s="8" t="str">
        <f>_xlfn.XLOOKUP(tblFinancials[[#This Row],[RegionKey]],tblRegions[RegionKey],tblRegions[RegionName],"")</f>
        <v>East</v>
      </c>
    </row>
    <row r="746" spans="1:16">
      <c r="A746">
        <v>20240901</v>
      </c>
      <c r="B746">
        <v>1</v>
      </c>
      <c r="C746">
        <v>1</v>
      </c>
      <c r="D746">
        <v>2</v>
      </c>
      <c r="E746">
        <v>16</v>
      </c>
      <c r="F746" t="s">
        <v>92</v>
      </c>
      <c r="G746">
        <v>-8270.68</v>
      </c>
      <c r="H746">
        <f>_xlfn.XLOOKUP(tblFinancials[[#This Row],[DateKey]],tblCalendar[DateKey],tblCalendar[FullDate],"")</f>
        <v>45536</v>
      </c>
      <c r="I746">
        <f>_xlfn.XLOOKUP(tblFinancials[[#This Row],[AccountKey]],tblAccounts[AccountKey],tblAccounts[AccountNumber],"")</f>
        <v>6110</v>
      </c>
      <c r="J746" t="str">
        <f>_xlfn.XLOOKUP(tblFinancials[[#This Row],[AccountKey]],tblAccounts[AccountKey],tblAccounts[AccountName],"")</f>
        <v>Payroll Taxes</v>
      </c>
      <c r="K746" s="8" t="str">
        <f>_xlfn.XLOOKUP(tblFinancials[[#This Row],[AccountKey]],tblAccounts[AccountKey],tblAccounts[FinancialStatement],"")</f>
        <v>Income Statement</v>
      </c>
      <c r="L746" s="8" t="str">
        <f>_xlfn.XLOOKUP(tblFinancials[[#This Row],[AccountKey]],tblAccounts[AccountKey],tblAccounts[AccountCategory],"")</f>
        <v>Operating Expense</v>
      </c>
      <c r="M746" s="8" t="str">
        <f>_xlfn.XLOOKUP(tblFinancials[[#This Row],[AccountKey]],tblAccounts[AccountKey],tblAccounts[NormalBalance],"")</f>
        <v>Debit</v>
      </c>
      <c r="N746" s="8" t="str">
        <f>_xlfn.XLOOKUP(tblFinancials[[#This Row],[DepartmentKey]],tblDepartments[DepartmentKey],tblDepartments[DepartmentName],"")</f>
        <v>Executive</v>
      </c>
      <c r="O746" s="8" t="str">
        <f>_xlfn.XLOOKUP(tblFinancials[[#This Row],[BusinessUnitKey]],tblBusinessUnits[BusinessUnitKey],tblBusinessUnits[BusinessUnitName],"")</f>
        <v xml:space="preserve">Manufacturing </v>
      </c>
      <c r="P746" s="8" t="str">
        <f>_xlfn.XLOOKUP(tblFinancials[[#This Row],[RegionKey]],tblRegions[RegionKey],tblRegions[RegionName],"")</f>
        <v>Midwest</v>
      </c>
    </row>
    <row r="747" spans="1:16">
      <c r="A747">
        <v>20240901</v>
      </c>
      <c r="B747">
        <v>8</v>
      </c>
      <c r="C747">
        <v>2</v>
      </c>
      <c r="D747">
        <v>2</v>
      </c>
      <c r="E747">
        <v>19</v>
      </c>
      <c r="F747" t="s">
        <v>92</v>
      </c>
      <c r="G747">
        <v>-7426.87</v>
      </c>
      <c r="H747">
        <f>_xlfn.XLOOKUP(tblFinancials[[#This Row],[DateKey]],tblCalendar[DateKey],tblCalendar[FullDate],"")</f>
        <v>45536</v>
      </c>
      <c r="I747">
        <f>_xlfn.XLOOKUP(tblFinancials[[#This Row],[AccountKey]],tblAccounts[AccountKey],tblAccounts[AccountNumber],"")</f>
        <v>6300</v>
      </c>
      <c r="J747" t="str">
        <f>_xlfn.XLOOKUP(tblFinancials[[#This Row],[AccountKey]],tblAccounts[AccountKey],tblAccounts[AccountName],"")</f>
        <v>Software Expense</v>
      </c>
      <c r="K747" s="8" t="str">
        <f>_xlfn.XLOOKUP(tblFinancials[[#This Row],[AccountKey]],tblAccounts[AccountKey],tblAccounts[FinancialStatement],"")</f>
        <v>Income Statement</v>
      </c>
      <c r="L747" s="8" t="str">
        <f>_xlfn.XLOOKUP(tblFinancials[[#This Row],[AccountKey]],tblAccounts[AccountKey],tblAccounts[AccountCategory],"")</f>
        <v>Operating Expense</v>
      </c>
      <c r="M747" s="8" t="str">
        <f>_xlfn.XLOOKUP(tblFinancials[[#This Row],[AccountKey]],tblAccounts[AccountKey],tblAccounts[NormalBalance],"")</f>
        <v>Debit</v>
      </c>
      <c r="N747" s="8" t="str">
        <f>_xlfn.XLOOKUP(tblFinancials[[#This Row],[DepartmentKey]],tblDepartments[DepartmentKey],tblDepartments[DepartmentName],"")</f>
        <v>Customer Service</v>
      </c>
      <c r="O747" s="8" t="str">
        <f>_xlfn.XLOOKUP(tblFinancials[[#This Row],[BusinessUnitKey]],tblBusinessUnits[BusinessUnitKey],tblBusinessUnits[BusinessUnitName],"")</f>
        <v>Wholesale</v>
      </c>
      <c r="P747" s="8" t="str">
        <f>_xlfn.XLOOKUP(tblFinancials[[#This Row],[RegionKey]],tblRegions[RegionKey],tblRegions[RegionName],"")</f>
        <v>Midwest</v>
      </c>
    </row>
    <row r="748" spans="1:16">
      <c r="A748">
        <v>20240901</v>
      </c>
      <c r="B748">
        <v>6</v>
      </c>
      <c r="C748">
        <v>3</v>
      </c>
      <c r="D748">
        <v>2</v>
      </c>
      <c r="E748">
        <v>22</v>
      </c>
      <c r="F748" t="s">
        <v>92</v>
      </c>
      <c r="G748">
        <v>-6979.95</v>
      </c>
      <c r="H748">
        <f>_xlfn.XLOOKUP(tblFinancials[[#This Row],[DateKey]],tblCalendar[DateKey],tblCalendar[FullDate],"")</f>
        <v>45536</v>
      </c>
      <c r="I748">
        <f>_xlfn.XLOOKUP(tblFinancials[[#This Row],[AccountKey]],tblAccounts[AccountKey],tblAccounts[AccountNumber],"")</f>
        <v>6700</v>
      </c>
      <c r="J748" t="str">
        <f>_xlfn.XLOOKUP(tblFinancials[[#This Row],[AccountKey]],tblAccounts[AccountKey],tblAccounts[AccountName],"")</f>
        <v>Insurance Expense</v>
      </c>
      <c r="K748" s="8" t="str">
        <f>_xlfn.XLOOKUP(tblFinancials[[#This Row],[AccountKey]],tblAccounts[AccountKey],tblAccounts[FinancialStatement],"")</f>
        <v>Income Statement</v>
      </c>
      <c r="L748" s="8" t="str">
        <f>_xlfn.XLOOKUP(tblFinancials[[#This Row],[AccountKey]],tblAccounts[AccountKey],tblAccounts[AccountCategory],"")</f>
        <v>Operating Expense</v>
      </c>
      <c r="M748" s="8" t="str">
        <f>_xlfn.XLOOKUP(tblFinancials[[#This Row],[AccountKey]],tblAccounts[AccountKey],tblAccounts[NormalBalance],"")</f>
        <v>Debit</v>
      </c>
      <c r="N748" s="8" t="str">
        <f>_xlfn.XLOOKUP(tblFinancials[[#This Row],[DepartmentKey]],tblDepartments[DepartmentKey],tblDepartments[DepartmentName],"")</f>
        <v>Operations</v>
      </c>
      <c r="O748" s="8" t="str">
        <f>_xlfn.XLOOKUP(tblFinancials[[#This Row],[BusinessUnitKey]],tblBusinessUnits[BusinessUnitKey],tblBusinessUnits[BusinessUnitName],"")</f>
        <v>Retail</v>
      </c>
      <c r="P748" s="8" t="str">
        <f>_xlfn.XLOOKUP(tblFinancials[[#This Row],[RegionKey]],tblRegions[RegionKey],tblRegions[RegionName],"")</f>
        <v>Midwest</v>
      </c>
    </row>
    <row r="749" spans="1:16">
      <c r="A749">
        <v>20240901</v>
      </c>
      <c r="B749">
        <v>7</v>
      </c>
      <c r="C749">
        <v>2</v>
      </c>
      <c r="D749">
        <v>1</v>
      </c>
      <c r="E749">
        <v>21</v>
      </c>
      <c r="F749" t="s">
        <v>92</v>
      </c>
      <c r="G749">
        <v>-6747.28</v>
      </c>
      <c r="H749">
        <f>_xlfn.XLOOKUP(tblFinancials[[#This Row],[DateKey]],tblCalendar[DateKey],tblCalendar[FullDate],"")</f>
        <v>45536</v>
      </c>
      <c r="I749">
        <f>_xlfn.XLOOKUP(tblFinancials[[#This Row],[AccountKey]],tblAccounts[AccountKey],tblAccounts[AccountNumber],"")</f>
        <v>6600</v>
      </c>
      <c r="J749" t="str">
        <f>_xlfn.XLOOKUP(tblFinancials[[#This Row],[AccountKey]],tblAccounts[AccountKey],tblAccounts[AccountName],"")</f>
        <v>Utilities Expense</v>
      </c>
      <c r="K749" s="8" t="str">
        <f>_xlfn.XLOOKUP(tblFinancials[[#This Row],[AccountKey]],tblAccounts[AccountKey],tblAccounts[FinancialStatement],"")</f>
        <v>Income Statement</v>
      </c>
      <c r="L749" s="8" t="str">
        <f>_xlfn.XLOOKUP(tblFinancials[[#This Row],[AccountKey]],tblAccounts[AccountKey],tblAccounts[AccountCategory],"")</f>
        <v>Operating Expense</v>
      </c>
      <c r="M749" s="8" t="str">
        <f>_xlfn.XLOOKUP(tblFinancials[[#This Row],[AccountKey]],tblAccounts[AccountKey],tblAccounts[NormalBalance],"")</f>
        <v>Debit</v>
      </c>
      <c r="N749" s="8" t="str">
        <f>_xlfn.XLOOKUP(tblFinancials[[#This Row],[DepartmentKey]],tblDepartments[DepartmentKey],tblDepartments[DepartmentName],"")</f>
        <v>Information Technology</v>
      </c>
      <c r="O749" s="8" t="str">
        <f>_xlfn.XLOOKUP(tblFinancials[[#This Row],[BusinessUnitKey]],tblBusinessUnits[BusinessUnitKey],tblBusinessUnits[BusinessUnitName],"")</f>
        <v>Wholesale</v>
      </c>
      <c r="P749" s="8" t="str">
        <f>_xlfn.XLOOKUP(tblFinancials[[#This Row],[RegionKey]],tblRegions[RegionKey],tblRegions[RegionName],"")</f>
        <v>West</v>
      </c>
    </row>
    <row r="750" spans="1:16">
      <c r="A750">
        <v>20240901</v>
      </c>
      <c r="B750">
        <v>2</v>
      </c>
      <c r="C750">
        <v>1</v>
      </c>
      <c r="D750">
        <v>1</v>
      </c>
      <c r="E750">
        <v>15</v>
      </c>
      <c r="F750" t="s">
        <v>92</v>
      </c>
      <c r="G750">
        <v>-7362.01</v>
      </c>
      <c r="H750">
        <f>_xlfn.XLOOKUP(tblFinancials[[#This Row],[DateKey]],tblCalendar[DateKey],tblCalendar[FullDate],"")</f>
        <v>45536</v>
      </c>
      <c r="I750">
        <f>_xlfn.XLOOKUP(tblFinancials[[#This Row],[AccountKey]],tblAccounts[AccountKey],tblAccounts[AccountNumber],"")</f>
        <v>6100</v>
      </c>
      <c r="J750" t="str">
        <f>_xlfn.XLOOKUP(tblFinancials[[#This Row],[AccountKey]],tblAccounts[AccountKey],tblAccounts[AccountName],"")</f>
        <v>Salaries Expense</v>
      </c>
      <c r="K750" s="8" t="str">
        <f>_xlfn.XLOOKUP(tblFinancials[[#This Row],[AccountKey]],tblAccounts[AccountKey],tblAccounts[FinancialStatement],"")</f>
        <v>Income Statement</v>
      </c>
      <c r="L750" s="8" t="str">
        <f>_xlfn.XLOOKUP(tblFinancials[[#This Row],[AccountKey]],tblAccounts[AccountKey],tblAccounts[AccountCategory],"")</f>
        <v>Operating Expense</v>
      </c>
      <c r="M750" s="8" t="str">
        <f>_xlfn.XLOOKUP(tblFinancials[[#This Row],[AccountKey]],tblAccounts[AccountKey],tblAccounts[NormalBalance],"")</f>
        <v>Debit</v>
      </c>
      <c r="N750" s="8" t="str">
        <f>_xlfn.XLOOKUP(tblFinancials[[#This Row],[DepartmentKey]],tblDepartments[DepartmentKey],tblDepartments[DepartmentName],"")</f>
        <v>Finance</v>
      </c>
      <c r="O750" s="8" t="str">
        <f>_xlfn.XLOOKUP(tblFinancials[[#This Row],[BusinessUnitKey]],tblBusinessUnits[BusinessUnitKey],tblBusinessUnits[BusinessUnitName],"")</f>
        <v xml:space="preserve">Manufacturing </v>
      </c>
      <c r="P750" s="8" t="str">
        <f>_xlfn.XLOOKUP(tblFinancials[[#This Row],[RegionKey]],tblRegions[RegionKey],tblRegions[RegionName],"")</f>
        <v>West</v>
      </c>
    </row>
    <row r="751" spans="1:16">
      <c r="A751">
        <v>20240901</v>
      </c>
      <c r="B751">
        <v>4</v>
      </c>
      <c r="C751">
        <v>2</v>
      </c>
      <c r="D751">
        <v>4</v>
      </c>
      <c r="E751">
        <v>22</v>
      </c>
      <c r="F751" t="s">
        <v>92</v>
      </c>
      <c r="G751">
        <v>-6918.2</v>
      </c>
      <c r="H751">
        <f>_xlfn.XLOOKUP(tblFinancials[[#This Row],[DateKey]],tblCalendar[DateKey],tblCalendar[FullDate],"")</f>
        <v>45536</v>
      </c>
      <c r="I751">
        <f>_xlfn.XLOOKUP(tblFinancials[[#This Row],[AccountKey]],tblAccounts[AccountKey],tblAccounts[AccountNumber],"")</f>
        <v>6700</v>
      </c>
      <c r="J751" t="str">
        <f>_xlfn.XLOOKUP(tblFinancials[[#This Row],[AccountKey]],tblAccounts[AccountKey],tblAccounts[AccountName],"")</f>
        <v>Insurance Expense</v>
      </c>
      <c r="K751" s="8" t="str">
        <f>_xlfn.XLOOKUP(tblFinancials[[#This Row],[AccountKey]],tblAccounts[AccountKey],tblAccounts[FinancialStatement],"")</f>
        <v>Income Statement</v>
      </c>
      <c r="L751" s="8" t="str">
        <f>_xlfn.XLOOKUP(tblFinancials[[#This Row],[AccountKey]],tblAccounts[AccountKey],tblAccounts[AccountCategory],"")</f>
        <v>Operating Expense</v>
      </c>
      <c r="M751" s="8" t="str">
        <f>_xlfn.XLOOKUP(tblFinancials[[#This Row],[AccountKey]],tblAccounts[AccountKey],tblAccounts[NormalBalance],"")</f>
        <v>Debit</v>
      </c>
      <c r="N751" s="8" t="str">
        <f>_xlfn.XLOOKUP(tblFinancials[[#This Row],[DepartmentKey]],tblDepartments[DepartmentKey],tblDepartments[DepartmentName],"")</f>
        <v>Sales</v>
      </c>
      <c r="O751" s="8" t="str">
        <f>_xlfn.XLOOKUP(tblFinancials[[#This Row],[BusinessUnitKey]],tblBusinessUnits[BusinessUnitKey],tblBusinessUnits[BusinessUnitName],"")</f>
        <v>Wholesale</v>
      </c>
      <c r="P751" s="8" t="str">
        <f>_xlfn.XLOOKUP(tblFinancials[[#This Row],[RegionKey]],tblRegions[RegionKey],tblRegions[RegionName],"")</f>
        <v>East</v>
      </c>
    </row>
    <row r="752" spans="1:16">
      <c r="A752">
        <v>20240901</v>
      </c>
      <c r="B752">
        <v>6</v>
      </c>
      <c r="C752">
        <v>1</v>
      </c>
      <c r="D752">
        <v>4</v>
      </c>
      <c r="E752">
        <v>24</v>
      </c>
      <c r="F752" t="s">
        <v>92</v>
      </c>
      <c r="G752">
        <v>-7967.86</v>
      </c>
      <c r="H752">
        <f>_xlfn.XLOOKUP(tblFinancials[[#This Row],[DateKey]],tblCalendar[DateKey],tblCalendar[FullDate],"")</f>
        <v>45536</v>
      </c>
      <c r="I752">
        <f>_xlfn.XLOOKUP(tblFinancials[[#This Row],[AccountKey]],tblAccounts[AccountKey],tblAccounts[AccountNumber],"")</f>
        <v>6900</v>
      </c>
      <c r="J752" t="str">
        <f>_xlfn.XLOOKUP(tblFinancials[[#This Row],[AccountKey]],tblAccounts[AccountKey],tblAccounts[AccountName],"")</f>
        <v>Professional Services</v>
      </c>
      <c r="K752" s="8" t="str">
        <f>_xlfn.XLOOKUP(tblFinancials[[#This Row],[AccountKey]],tblAccounts[AccountKey],tblAccounts[FinancialStatement],"")</f>
        <v>Income Statement</v>
      </c>
      <c r="L752" s="8" t="str">
        <f>_xlfn.XLOOKUP(tblFinancials[[#This Row],[AccountKey]],tblAccounts[AccountKey],tblAccounts[AccountCategory],"")</f>
        <v>Operating Expense</v>
      </c>
      <c r="M752" s="8" t="str">
        <f>_xlfn.XLOOKUP(tblFinancials[[#This Row],[AccountKey]],tblAccounts[AccountKey],tblAccounts[NormalBalance],"")</f>
        <v>Debit</v>
      </c>
      <c r="N752" s="8" t="str">
        <f>_xlfn.XLOOKUP(tblFinancials[[#This Row],[DepartmentKey]],tblDepartments[DepartmentKey],tblDepartments[DepartmentName],"")</f>
        <v>Operations</v>
      </c>
      <c r="O752" s="8" t="str">
        <f>_xlfn.XLOOKUP(tblFinancials[[#This Row],[BusinessUnitKey]],tblBusinessUnits[BusinessUnitKey],tblBusinessUnits[BusinessUnitName],"")</f>
        <v xml:space="preserve">Manufacturing </v>
      </c>
      <c r="P752" s="8" t="str">
        <f>_xlfn.XLOOKUP(tblFinancials[[#This Row],[RegionKey]],tblRegions[RegionKey],tblRegions[RegionName],"")</f>
        <v>East</v>
      </c>
    </row>
    <row r="753" spans="1:16">
      <c r="A753">
        <v>20240901</v>
      </c>
      <c r="B753">
        <v>6</v>
      </c>
      <c r="C753">
        <v>3</v>
      </c>
      <c r="D753">
        <v>3</v>
      </c>
      <c r="E753">
        <v>19</v>
      </c>
      <c r="F753" t="s">
        <v>92</v>
      </c>
      <c r="G753">
        <v>-7133.67</v>
      </c>
      <c r="H753">
        <f>_xlfn.XLOOKUP(tblFinancials[[#This Row],[DateKey]],tblCalendar[DateKey],tblCalendar[FullDate],"")</f>
        <v>45536</v>
      </c>
      <c r="I753">
        <f>_xlfn.XLOOKUP(tblFinancials[[#This Row],[AccountKey]],tblAccounts[AccountKey],tblAccounts[AccountNumber],"")</f>
        <v>6300</v>
      </c>
      <c r="J753" t="str">
        <f>_xlfn.XLOOKUP(tblFinancials[[#This Row],[AccountKey]],tblAccounts[AccountKey],tblAccounts[AccountName],"")</f>
        <v>Software Expense</v>
      </c>
      <c r="K753" s="8" t="str">
        <f>_xlfn.XLOOKUP(tblFinancials[[#This Row],[AccountKey]],tblAccounts[AccountKey],tblAccounts[FinancialStatement],"")</f>
        <v>Income Statement</v>
      </c>
      <c r="L753" s="8" t="str">
        <f>_xlfn.XLOOKUP(tblFinancials[[#This Row],[AccountKey]],tblAccounts[AccountKey],tblAccounts[AccountCategory],"")</f>
        <v>Operating Expense</v>
      </c>
      <c r="M753" s="8" t="str">
        <f>_xlfn.XLOOKUP(tblFinancials[[#This Row],[AccountKey]],tblAccounts[AccountKey],tblAccounts[NormalBalance],"")</f>
        <v>Debit</v>
      </c>
      <c r="N753" s="8" t="str">
        <f>_xlfn.XLOOKUP(tblFinancials[[#This Row],[DepartmentKey]],tblDepartments[DepartmentKey],tblDepartments[DepartmentName],"")</f>
        <v>Operations</v>
      </c>
      <c r="O753" s="8" t="str">
        <f>_xlfn.XLOOKUP(tblFinancials[[#This Row],[BusinessUnitKey]],tblBusinessUnits[BusinessUnitKey],tblBusinessUnits[BusinessUnitName],"")</f>
        <v>Retail</v>
      </c>
      <c r="P753" s="8" t="str">
        <f>_xlfn.XLOOKUP(tblFinancials[[#This Row],[RegionKey]],tblRegions[RegionKey],tblRegions[RegionName],"")</f>
        <v>South</v>
      </c>
    </row>
    <row r="754" spans="1:16">
      <c r="A754">
        <v>20240901</v>
      </c>
      <c r="B754">
        <v>8</v>
      </c>
      <c r="C754">
        <v>1</v>
      </c>
      <c r="D754">
        <v>2</v>
      </c>
      <c r="E754">
        <v>23</v>
      </c>
      <c r="F754" t="s">
        <v>92</v>
      </c>
      <c r="G754">
        <v>-6143.06</v>
      </c>
      <c r="H754">
        <f>_xlfn.XLOOKUP(tblFinancials[[#This Row],[DateKey]],tblCalendar[DateKey],tblCalendar[FullDate],"")</f>
        <v>45536</v>
      </c>
      <c r="I754">
        <f>_xlfn.XLOOKUP(tblFinancials[[#This Row],[AccountKey]],tblAccounts[AccountKey],tblAccounts[AccountNumber],"")</f>
        <v>6800</v>
      </c>
      <c r="J754" t="str">
        <f>_xlfn.XLOOKUP(tblFinancials[[#This Row],[AccountKey]],tblAccounts[AccountKey],tblAccounts[AccountName],"")</f>
        <v>Travel Expense</v>
      </c>
      <c r="K754" s="8" t="str">
        <f>_xlfn.XLOOKUP(tblFinancials[[#This Row],[AccountKey]],tblAccounts[AccountKey],tblAccounts[FinancialStatement],"")</f>
        <v>Income Statement</v>
      </c>
      <c r="L754" s="8" t="str">
        <f>_xlfn.XLOOKUP(tblFinancials[[#This Row],[AccountKey]],tblAccounts[AccountKey],tblAccounts[AccountCategory],"")</f>
        <v>Operating Expense</v>
      </c>
      <c r="M754" s="8" t="str">
        <f>_xlfn.XLOOKUP(tblFinancials[[#This Row],[AccountKey]],tblAccounts[AccountKey],tblAccounts[NormalBalance],"")</f>
        <v>Debit</v>
      </c>
      <c r="N754" s="8" t="str">
        <f>_xlfn.XLOOKUP(tblFinancials[[#This Row],[DepartmentKey]],tblDepartments[DepartmentKey],tblDepartments[DepartmentName],"")</f>
        <v>Customer Service</v>
      </c>
      <c r="O754" s="8" t="str">
        <f>_xlfn.XLOOKUP(tblFinancials[[#This Row],[BusinessUnitKey]],tblBusinessUnits[BusinessUnitKey],tblBusinessUnits[BusinessUnitName],"")</f>
        <v xml:space="preserve">Manufacturing </v>
      </c>
      <c r="P754" s="8" t="str">
        <f>_xlfn.XLOOKUP(tblFinancials[[#This Row],[RegionKey]],tblRegions[RegionKey],tblRegions[RegionName],"")</f>
        <v>Midwest</v>
      </c>
    </row>
    <row r="755" spans="1:16">
      <c r="A755">
        <v>20240901</v>
      </c>
      <c r="B755">
        <v>5</v>
      </c>
      <c r="C755">
        <v>2</v>
      </c>
      <c r="D755">
        <v>3</v>
      </c>
      <c r="E755">
        <v>22</v>
      </c>
      <c r="F755" t="s">
        <v>92</v>
      </c>
      <c r="G755">
        <v>-8197.98</v>
      </c>
      <c r="H755">
        <f>_xlfn.XLOOKUP(tblFinancials[[#This Row],[DateKey]],tblCalendar[DateKey],tblCalendar[FullDate],"")</f>
        <v>45536</v>
      </c>
      <c r="I755">
        <f>_xlfn.XLOOKUP(tblFinancials[[#This Row],[AccountKey]],tblAccounts[AccountKey],tblAccounts[AccountNumber],"")</f>
        <v>6700</v>
      </c>
      <c r="J755" t="str">
        <f>_xlfn.XLOOKUP(tblFinancials[[#This Row],[AccountKey]],tblAccounts[AccountKey],tblAccounts[AccountName],"")</f>
        <v>Insurance Expense</v>
      </c>
      <c r="K755" s="8" t="str">
        <f>_xlfn.XLOOKUP(tblFinancials[[#This Row],[AccountKey]],tblAccounts[AccountKey],tblAccounts[FinancialStatement],"")</f>
        <v>Income Statement</v>
      </c>
      <c r="L755" s="8" t="str">
        <f>_xlfn.XLOOKUP(tblFinancials[[#This Row],[AccountKey]],tblAccounts[AccountKey],tblAccounts[AccountCategory],"")</f>
        <v>Operating Expense</v>
      </c>
      <c r="M755" s="8" t="str">
        <f>_xlfn.XLOOKUP(tblFinancials[[#This Row],[AccountKey]],tblAccounts[AccountKey],tblAccounts[NormalBalance],"")</f>
        <v>Debit</v>
      </c>
      <c r="N755" s="8" t="str">
        <f>_xlfn.XLOOKUP(tblFinancials[[#This Row],[DepartmentKey]],tblDepartments[DepartmentKey],tblDepartments[DepartmentName],"")</f>
        <v>Marketing</v>
      </c>
      <c r="O755" s="8" t="str">
        <f>_xlfn.XLOOKUP(tblFinancials[[#This Row],[BusinessUnitKey]],tblBusinessUnits[BusinessUnitKey],tblBusinessUnits[BusinessUnitName],"")</f>
        <v>Wholesale</v>
      </c>
      <c r="P755" s="8" t="str">
        <f>_xlfn.XLOOKUP(tblFinancials[[#This Row],[RegionKey]],tblRegions[RegionKey],tblRegions[RegionName],"")</f>
        <v>South</v>
      </c>
    </row>
    <row r="756" spans="1:16">
      <c r="A756">
        <v>20240901</v>
      </c>
      <c r="B756">
        <v>3</v>
      </c>
      <c r="C756">
        <v>2</v>
      </c>
      <c r="D756">
        <v>1</v>
      </c>
      <c r="E756">
        <v>21</v>
      </c>
      <c r="F756" t="s">
        <v>92</v>
      </c>
      <c r="G756">
        <v>-6959.49</v>
      </c>
      <c r="H756">
        <f>_xlfn.XLOOKUP(tblFinancials[[#This Row],[DateKey]],tblCalendar[DateKey],tblCalendar[FullDate],"")</f>
        <v>45536</v>
      </c>
      <c r="I756">
        <f>_xlfn.XLOOKUP(tblFinancials[[#This Row],[AccountKey]],tblAccounts[AccountKey],tblAccounts[AccountNumber],"")</f>
        <v>6600</v>
      </c>
      <c r="J756" t="str">
        <f>_xlfn.XLOOKUP(tblFinancials[[#This Row],[AccountKey]],tblAccounts[AccountKey],tblAccounts[AccountName],"")</f>
        <v>Utilities Expense</v>
      </c>
      <c r="K756" s="8" t="str">
        <f>_xlfn.XLOOKUP(tblFinancials[[#This Row],[AccountKey]],tblAccounts[AccountKey],tblAccounts[FinancialStatement],"")</f>
        <v>Income Statement</v>
      </c>
      <c r="L756" s="8" t="str">
        <f>_xlfn.XLOOKUP(tblFinancials[[#This Row],[AccountKey]],tblAccounts[AccountKey],tblAccounts[AccountCategory],"")</f>
        <v>Operating Expense</v>
      </c>
      <c r="M756" s="8" t="str">
        <f>_xlfn.XLOOKUP(tblFinancials[[#This Row],[AccountKey]],tblAccounts[AccountKey],tblAccounts[NormalBalance],"")</f>
        <v>Debit</v>
      </c>
      <c r="N756" s="8" t="str">
        <f>_xlfn.XLOOKUP(tblFinancials[[#This Row],[DepartmentKey]],tblDepartments[DepartmentKey],tblDepartments[DepartmentName],"")</f>
        <v>Human Resources</v>
      </c>
      <c r="O756" s="8" t="str">
        <f>_xlfn.XLOOKUP(tblFinancials[[#This Row],[BusinessUnitKey]],tblBusinessUnits[BusinessUnitKey],tblBusinessUnits[BusinessUnitName],"")</f>
        <v>Wholesale</v>
      </c>
      <c r="P756" s="8" t="str">
        <f>_xlfn.XLOOKUP(tblFinancials[[#This Row],[RegionKey]],tblRegions[RegionKey],tblRegions[RegionName],"")</f>
        <v>West</v>
      </c>
    </row>
    <row r="757" spans="1:16">
      <c r="A757">
        <v>20240901</v>
      </c>
      <c r="B757">
        <v>6</v>
      </c>
      <c r="C757">
        <v>4</v>
      </c>
      <c r="D757">
        <v>3</v>
      </c>
      <c r="E757">
        <v>15</v>
      </c>
      <c r="F757" t="s">
        <v>92</v>
      </c>
      <c r="G757">
        <v>-5025.1099999999997</v>
      </c>
      <c r="H757">
        <f>_xlfn.XLOOKUP(tblFinancials[[#This Row],[DateKey]],tblCalendar[DateKey],tblCalendar[FullDate],"")</f>
        <v>45536</v>
      </c>
      <c r="I757">
        <f>_xlfn.XLOOKUP(tblFinancials[[#This Row],[AccountKey]],tblAccounts[AccountKey],tblAccounts[AccountNumber],"")</f>
        <v>6100</v>
      </c>
      <c r="J757" t="str">
        <f>_xlfn.XLOOKUP(tblFinancials[[#This Row],[AccountKey]],tblAccounts[AccountKey],tblAccounts[AccountName],"")</f>
        <v>Salaries Expense</v>
      </c>
      <c r="K757" s="8" t="str">
        <f>_xlfn.XLOOKUP(tblFinancials[[#This Row],[AccountKey]],tblAccounts[AccountKey],tblAccounts[FinancialStatement],"")</f>
        <v>Income Statement</v>
      </c>
      <c r="L757" s="8" t="str">
        <f>_xlfn.XLOOKUP(tblFinancials[[#This Row],[AccountKey]],tblAccounts[AccountKey],tblAccounts[AccountCategory],"")</f>
        <v>Operating Expense</v>
      </c>
      <c r="M757" s="8" t="str">
        <f>_xlfn.XLOOKUP(tblFinancials[[#This Row],[AccountKey]],tblAccounts[AccountKey],tblAccounts[NormalBalance],"")</f>
        <v>Debit</v>
      </c>
      <c r="N757" s="8" t="str">
        <f>_xlfn.XLOOKUP(tblFinancials[[#This Row],[DepartmentKey]],tblDepartments[DepartmentKey],tblDepartments[DepartmentName],"")</f>
        <v>Operations</v>
      </c>
      <c r="O757" s="8" t="str">
        <f>_xlfn.XLOOKUP(tblFinancials[[#This Row],[BusinessUnitKey]],tblBusinessUnits[BusinessUnitKey],tblBusinessUnits[BusinessUnitName],"")</f>
        <v>E-Commerce</v>
      </c>
      <c r="P757" s="8" t="str">
        <f>_xlfn.XLOOKUP(tblFinancials[[#This Row],[RegionKey]],tblRegions[RegionKey],tblRegions[RegionName],"")</f>
        <v>South</v>
      </c>
    </row>
    <row r="758" spans="1:16">
      <c r="A758">
        <v>20241001</v>
      </c>
      <c r="B758">
        <v>5</v>
      </c>
      <c r="C758">
        <v>1</v>
      </c>
      <c r="D758">
        <v>3</v>
      </c>
      <c r="E758">
        <v>13</v>
      </c>
      <c r="F758" t="s">
        <v>92</v>
      </c>
      <c r="G758">
        <v>30641.11</v>
      </c>
      <c r="H758">
        <f>_xlfn.XLOOKUP(tblFinancials[[#This Row],[DateKey]],tblCalendar[DateKey],tblCalendar[FullDate],"")</f>
        <v>45566</v>
      </c>
      <c r="I758">
        <f>_xlfn.XLOOKUP(tblFinancials[[#This Row],[AccountKey]],tblAccounts[AccountKey],tblAccounts[AccountNumber],"")</f>
        <v>4020</v>
      </c>
      <c r="J758" t="str">
        <f>_xlfn.XLOOKUP(tblFinancials[[#This Row],[AccountKey]],tblAccounts[AccountKey],tblAccounts[AccountName],"")</f>
        <v>Online Revenue</v>
      </c>
      <c r="K758" s="8" t="str">
        <f>_xlfn.XLOOKUP(tblFinancials[[#This Row],[AccountKey]],tblAccounts[AccountKey],tblAccounts[FinancialStatement],"")</f>
        <v>Income Statement</v>
      </c>
      <c r="L758" s="8" t="str">
        <f>_xlfn.XLOOKUP(tblFinancials[[#This Row],[AccountKey]],tblAccounts[AccountKey],tblAccounts[AccountCategory],"")</f>
        <v>Revenue</v>
      </c>
      <c r="M758" s="8" t="str">
        <f>_xlfn.XLOOKUP(tblFinancials[[#This Row],[AccountKey]],tblAccounts[AccountKey],tblAccounts[NormalBalance],"")</f>
        <v>Credit</v>
      </c>
      <c r="N758" s="8" t="str">
        <f>_xlfn.XLOOKUP(tblFinancials[[#This Row],[DepartmentKey]],tblDepartments[DepartmentKey],tblDepartments[DepartmentName],"")</f>
        <v>Marketing</v>
      </c>
      <c r="O758" s="8" t="str">
        <f>_xlfn.XLOOKUP(tblFinancials[[#This Row],[BusinessUnitKey]],tblBusinessUnits[BusinessUnitKey],tblBusinessUnits[BusinessUnitName],"")</f>
        <v xml:space="preserve">Manufacturing </v>
      </c>
      <c r="P758" s="8" t="str">
        <f>_xlfn.XLOOKUP(tblFinancials[[#This Row],[RegionKey]],tblRegions[RegionKey],tblRegions[RegionName],"")</f>
        <v>South</v>
      </c>
    </row>
    <row r="759" spans="1:16">
      <c r="A759">
        <v>20241001</v>
      </c>
      <c r="B759">
        <v>7</v>
      </c>
      <c r="C759">
        <v>2</v>
      </c>
      <c r="D759">
        <v>3</v>
      </c>
      <c r="E759">
        <v>12</v>
      </c>
      <c r="F759" t="s">
        <v>92</v>
      </c>
      <c r="G759">
        <v>30875.55</v>
      </c>
      <c r="H759">
        <f>_xlfn.XLOOKUP(tblFinancials[[#This Row],[DateKey]],tblCalendar[DateKey],tblCalendar[FullDate],"")</f>
        <v>45566</v>
      </c>
      <c r="I759">
        <f>_xlfn.XLOOKUP(tblFinancials[[#This Row],[AccountKey]],tblAccounts[AccountKey],tblAccounts[AccountNumber],"")</f>
        <v>4010</v>
      </c>
      <c r="J759" t="str">
        <f>_xlfn.XLOOKUP(tblFinancials[[#This Row],[AccountKey]],tblAccounts[AccountKey],tblAccounts[AccountName],"")</f>
        <v>Service Revenue</v>
      </c>
      <c r="K759" s="8" t="str">
        <f>_xlfn.XLOOKUP(tblFinancials[[#This Row],[AccountKey]],tblAccounts[AccountKey],tblAccounts[FinancialStatement],"")</f>
        <v>Income Statement</v>
      </c>
      <c r="L759" s="8" t="str">
        <f>_xlfn.XLOOKUP(tblFinancials[[#This Row],[AccountKey]],tblAccounts[AccountKey],tblAccounts[AccountCategory],"")</f>
        <v>Revenue</v>
      </c>
      <c r="M759" s="8" t="str">
        <f>_xlfn.XLOOKUP(tblFinancials[[#This Row],[AccountKey]],tblAccounts[AccountKey],tblAccounts[NormalBalance],"")</f>
        <v>Credit</v>
      </c>
      <c r="N759" s="8" t="str">
        <f>_xlfn.XLOOKUP(tblFinancials[[#This Row],[DepartmentKey]],tblDepartments[DepartmentKey],tblDepartments[DepartmentName],"")</f>
        <v>Information Technology</v>
      </c>
      <c r="O759" s="8" t="str">
        <f>_xlfn.XLOOKUP(tblFinancials[[#This Row],[BusinessUnitKey]],tblBusinessUnits[BusinessUnitKey],tblBusinessUnits[BusinessUnitName],"")</f>
        <v>Wholesale</v>
      </c>
      <c r="P759" s="8" t="str">
        <f>_xlfn.XLOOKUP(tblFinancials[[#This Row],[RegionKey]],tblRegions[RegionKey],tblRegions[RegionName],"")</f>
        <v>South</v>
      </c>
    </row>
    <row r="760" spans="1:16">
      <c r="A760">
        <v>20241001</v>
      </c>
      <c r="B760">
        <v>2</v>
      </c>
      <c r="C760">
        <v>4</v>
      </c>
      <c r="D760">
        <v>1</v>
      </c>
      <c r="E760">
        <v>11</v>
      </c>
      <c r="F760" t="s">
        <v>92</v>
      </c>
      <c r="G760">
        <v>30334.83</v>
      </c>
      <c r="H760">
        <f>_xlfn.XLOOKUP(tblFinancials[[#This Row],[DateKey]],tblCalendar[DateKey],tblCalendar[FullDate],"")</f>
        <v>45566</v>
      </c>
      <c r="I760">
        <f>_xlfn.XLOOKUP(tblFinancials[[#This Row],[AccountKey]],tblAccounts[AccountKey],tblAccounts[AccountNumber],"")</f>
        <v>4000</v>
      </c>
      <c r="J760" t="str">
        <f>_xlfn.XLOOKUP(tblFinancials[[#This Row],[AccountKey]],tblAccounts[AccountKey],tblAccounts[AccountName],"")</f>
        <v>Product Revenue</v>
      </c>
      <c r="K760" s="8" t="str">
        <f>_xlfn.XLOOKUP(tblFinancials[[#This Row],[AccountKey]],tblAccounts[AccountKey],tblAccounts[FinancialStatement],"")</f>
        <v>Income Statement</v>
      </c>
      <c r="L760" s="8" t="str">
        <f>_xlfn.XLOOKUP(tblFinancials[[#This Row],[AccountKey]],tblAccounts[AccountKey],tblAccounts[AccountCategory],"")</f>
        <v>Revenue</v>
      </c>
      <c r="M760" s="8" t="str">
        <f>_xlfn.XLOOKUP(tblFinancials[[#This Row],[AccountKey]],tblAccounts[AccountKey],tblAccounts[NormalBalance],"")</f>
        <v>Credit</v>
      </c>
      <c r="N760" s="8" t="str">
        <f>_xlfn.XLOOKUP(tblFinancials[[#This Row],[DepartmentKey]],tblDepartments[DepartmentKey],tblDepartments[DepartmentName],"")</f>
        <v>Finance</v>
      </c>
      <c r="O760" s="8" t="str">
        <f>_xlfn.XLOOKUP(tblFinancials[[#This Row],[BusinessUnitKey]],tblBusinessUnits[BusinessUnitKey],tblBusinessUnits[BusinessUnitName],"")</f>
        <v>E-Commerce</v>
      </c>
      <c r="P760" s="8" t="str">
        <f>_xlfn.XLOOKUP(tblFinancials[[#This Row],[RegionKey]],tblRegions[RegionKey],tblRegions[RegionName],"")</f>
        <v>West</v>
      </c>
    </row>
    <row r="761" spans="1:16">
      <c r="A761">
        <v>20241001</v>
      </c>
      <c r="B761">
        <v>8</v>
      </c>
      <c r="C761">
        <v>1</v>
      </c>
      <c r="D761">
        <v>4</v>
      </c>
      <c r="E761">
        <v>11</v>
      </c>
      <c r="F761" t="s">
        <v>92</v>
      </c>
      <c r="G761">
        <v>31502.87</v>
      </c>
      <c r="H761">
        <f>_xlfn.XLOOKUP(tblFinancials[[#This Row],[DateKey]],tblCalendar[DateKey],tblCalendar[FullDate],"")</f>
        <v>45566</v>
      </c>
      <c r="I761">
        <f>_xlfn.XLOOKUP(tblFinancials[[#This Row],[AccountKey]],tblAccounts[AccountKey],tblAccounts[AccountNumber],"")</f>
        <v>4000</v>
      </c>
      <c r="J761" t="str">
        <f>_xlfn.XLOOKUP(tblFinancials[[#This Row],[AccountKey]],tblAccounts[AccountKey],tblAccounts[AccountName],"")</f>
        <v>Product Revenue</v>
      </c>
      <c r="K761" s="8" t="str">
        <f>_xlfn.XLOOKUP(tblFinancials[[#This Row],[AccountKey]],tblAccounts[AccountKey],tblAccounts[FinancialStatement],"")</f>
        <v>Income Statement</v>
      </c>
      <c r="L761" s="8" t="str">
        <f>_xlfn.XLOOKUP(tblFinancials[[#This Row],[AccountKey]],tblAccounts[AccountKey],tblAccounts[AccountCategory],"")</f>
        <v>Revenue</v>
      </c>
      <c r="M761" s="8" t="str">
        <f>_xlfn.XLOOKUP(tblFinancials[[#This Row],[AccountKey]],tblAccounts[AccountKey],tblAccounts[NormalBalance],"")</f>
        <v>Credit</v>
      </c>
      <c r="N761" s="8" t="str">
        <f>_xlfn.XLOOKUP(tblFinancials[[#This Row],[DepartmentKey]],tblDepartments[DepartmentKey],tblDepartments[DepartmentName],"")</f>
        <v>Customer Service</v>
      </c>
      <c r="O761" s="8" t="str">
        <f>_xlfn.XLOOKUP(tblFinancials[[#This Row],[BusinessUnitKey]],tblBusinessUnits[BusinessUnitKey],tblBusinessUnits[BusinessUnitName],"")</f>
        <v xml:space="preserve">Manufacturing </v>
      </c>
      <c r="P761" s="8" t="str">
        <f>_xlfn.XLOOKUP(tblFinancials[[#This Row],[RegionKey]],tblRegions[RegionKey],tblRegions[RegionName],"")</f>
        <v>East</v>
      </c>
    </row>
    <row r="762" spans="1:16">
      <c r="A762">
        <v>20241001</v>
      </c>
      <c r="B762">
        <v>3</v>
      </c>
      <c r="C762">
        <v>3</v>
      </c>
      <c r="D762">
        <v>2</v>
      </c>
      <c r="E762">
        <v>12</v>
      </c>
      <c r="F762" t="s">
        <v>92</v>
      </c>
      <c r="G762">
        <v>30378.82</v>
      </c>
      <c r="H762">
        <f>_xlfn.XLOOKUP(tblFinancials[[#This Row],[DateKey]],tblCalendar[DateKey],tblCalendar[FullDate],"")</f>
        <v>45566</v>
      </c>
      <c r="I762">
        <f>_xlfn.XLOOKUP(tblFinancials[[#This Row],[AccountKey]],tblAccounts[AccountKey],tblAccounts[AccountNumber],"")</f>
        <v>4010</v>
      </c>
      <c r="J762" t="str">
        <f>_xlfn.XLOOKUP(tblFinancials[[#This Row],[AccountKey]],tblAccounts[AccountKey],tblAccounts[AccountName],"")</f>
        <v>Service Revenue</v>
      </c>
      <c r="K762" s="8" t="str">
        <f>_xlfn.XLOOKUP(tblFinancials[[#This Row],[AccountKey]],tblAccounts[AccountKey],tblAccounts[FinancialStatement],"")</f>
        <v>Income Statement</v>
      </c>
      <c r="L762" s="8" t="str">
        <f>_xlfn.XLOOKUP(tblFinancials[[#This Row],[AccountKey]],tblAccounts[AccountKey],tblAccounts[AccountCategory],"")</f>
        <v>Revenue</v>
      </c>
      <c r="M762" s="8" t="str">
        <f>_xlfn.XLOOKUP(tblFinancials[[#This Row],[AccountKey]],tblAccounts[AccountKey],tblAccounts[NormalBalance],"")</f>
        <v>Credit</v>
      </c>
      <c r="N762" s="8" t="str">
        <f>_xlfn.XLOOKUP(tblFinancials[[#This Row],[DepartmentKey]],tblDepartments[DepartmentKey],tblDepartments[DepartmentName],"")</f>
        <v>Human Resources</v>
      </c>
      <c r="O762" s="8" t="str">
        <f>_xlfn.XLOOKUP(tblFinancials[[#This Row],[BusinessUnitKey]],tblBusinessUnits[BusinessUnitKey],tblBusinessUnits[BusinessUnitName],"")</f>
        <v>Retail</v>
      </c>
      <c r="P762" s="8" t="str">
        <f>_xlfn.XLOOKUP(tblFinancials[[#This Row],[RegionKey]],tblRegions[RegionKey],tblRegions[RegionName],"")</f>
        <v>Midwest</v>
      </c>
    </row>
    <row r="763" spans="1:16">
      <c r="A763">
        <v>20241001</v>
      </c>
      <c r="B763">
        <v>3</v>
      </c>
      <c r="C763">
        <v>4</v>
      </c>
      <c r="D763">
        <v>4</v>
      </c>
      <c r="E763">
        <v>11</v>
      </c>
      <c r="F763" t="s">
        <v>92</v>
      </c>
      <c r="G763">
        <v>31370.32</v>
      </c>
      <c r="H763">
        <f>_xlfn.XLOOKUP(tblFinancials[[#This Row],[DateKey]],tblCalendar[DateKey],tblCalendar[FullDate],"")</f>
        <v>45566</v>
      </c>
      <c r="I763">
        <f>_xlfn.XLOOKUP(tblFinancials[[#This Row],[AccountKey]],tblAccounts[AccountKey],tblAccounts[AccountNumber],"")</f>
        <v>4000</v>
      </c>
      <c r="J763" t="str">
        <f>_xlfn.XLOOKUP(tblFinancials[[#This Row],[AccountKey]],tblAccounts[AccountKey],tblAccounts[AccountName],"")</f>
        <v>Product Revenue</v>
      </c>
      <c r="K763" s="8" t="str">
        <f>_xlfn.XLOOKUP(tblFinancials[[#This Row],[AccountKey]],tblAccounts[AccountKey],tblAccounts[FinancialStatement],"")</f>
        <v>Income Statement</v>
      </c>
      <c r="L763" s="8" t="str">
        <f>_xlfn.XLOOKUP(tblFinancials[[#This Row],[AccountKey]],tblAccounts[AccountKey],tblAccounts[AccountCategory],"")</f>
        <v>Revenue</v>
      </c>
      <c r="M763" s="8" t="str">
        <f>_xlfn.XLOOKUP(tblFinancials[[#This Row],[AccountKey]],tblAccounts[AccountKey],tblAccounts[NormalBalance],"")</f>
        <v>Credit</v>
      </c>
      <c r="N763" s="8" t="str">
        <f>_xlfn.XLOOKUP(tblFinancials[[#This Row],[DepartmentKey]],tblDepartments[DepartmentKey],tblDepartments[DepartmentName],"")</f>
        <v>Human Resources</v>
      </c>
      <c r="O763" s="8" t="str">
        <f>_xlfn.XLOOKUP(tblFinancials[[#This Row],[BusinessUnitKey]],tblBusinessUnits[BusinessUnitKey],tblBusinessUnits[BusinessUnitName],"")</f>
        <v>E-Commerce</v>
      </c>
      <c r="P763" s="8" t="str">
        <f>_xlfn.XLOOKUP(tblFinancials[[#This Row],[RegionKey]],tblRegions[RegionKey],tblRegions[RegionName],"")</f>
        <v>East</v>
      </c>
    </row>
    <row r="764" spans="1:16">
      <c r="A764">
        <v>20241001</v>
      </c>
      <c r="B764">
        <v>8</v>
      </c>
      <c r="C764">
        <v>2</v>
      </c>
      <c r="D764">
        <v>4</v>
      </c>
      <c r="E764">
        <v>11</v>
      </c>
      <c r="F764" t="s">
        <v>92</v>
      </c>
      <c r="G764">
        <v>30617.5</v>
      </c>
      <c r="H764">
        <f>_xlfn.XLOOKUP(tblFinancials[[#This Row],[DateKey]],tblCalendar[DateKey],tblCalendar[FullDate],"")</f>
        <v>45566</v>
      </c>
      <c r="I764">
        <f>_xlfn.XLOOKUP(tblFinancials[[#This Row],[AccountKey]],tblAccounts[AccountKey],tblAccounts[AccountNumber],"")</f>
        <v>4000</v>
      </c>
      <c r="J764" t="str">
        <f>_xlfn.XLOOKUP(tblFinancials[[#This Row],[AccountKey]],tblAccounts[AccountKey],tblAccounts[AccountName],"")</f>
        <v>Product Revenue</v>
      </c>
      <c r="K764" s="8" t="str">
        <f>_xlfn.XLOOKUP(tblFinancials[[#This Row],[AccountKey]],tblAccounts[AccountKey],tblAccounts[FinancialStatement],"")</f>
        <v>Income Statement</v>
      </c>
      <c r="L764" s="8" t="str">
        <f>_xlfn.XLOOKUP(tblFinancials[[#This Row],[AccountKey]],tblAccounts[AccountKey],tblAccounts[AccountCategory],"")</f>
        <v>Revenue</v>
      </c>
      <c r="M764" s="8" t="str">
        <f>_xlfn.XLOOKUP(tblFinancials[[#This Row],[AccountKey]],tblAccounts[AccountKey],tblAccounts[NormalBalance],"")</f>
        <v>Credit</v>
      </c>
      <c r="N764" s="8" t="str">
        <f>_xlfn.XLOOKUP(tblFinancials[[#This Row],[DepartmentKey]],tblDepartments[DepartmentKey],tblDepartments[DepartmentName],"")</f>
        <v>Customer Service</v>
      </c>
      <c r="O764" s="8" t="str">
        <f>_xlfn.XLOOKUP(tblFinancials[[#This Row],[BusinessUnitKey]],tblBusinessUnits[BusinessUnitKey],tblBusinessUnits[BusinessUnitName],"")</f>
        <v>Wholesale</v>
      </c>
      <c r="P764" s="8" t="str">
        <f>_xlfn.XLOOKUP(tblFinancials[[#This Row],[RegionKey]],tblRegions[RegionKey],tblRegions[RegionName],"")</f>
        <v>East</v>
      </c>
    </row>
    <row r="765" spans="1:16">
      <c r="A765">
        <v>20241001</v>
      </c>
      <c r="B765">
        <v>4</v>
      </c>
      <c r="C765">
        <v>2</v>
      </c>
      <c r="D765">
        <v>2</v>
      </c>
      <c r="E765">
        <v>12</v>
      </c>
      <c r="F765" t="s">
        <v>92</v>
      </c>
      <c r="G765">
        <v>30342.7</v>
      </c>
      <c r="H765">
        <f>_xlfn.XLOOKUP(tblFinancials[[#This Row],[DateKey]],tblCalendar[DateKey],tblCalendar[FullDate],"")</f>
        <v>45566</v>
      </c>
      <c r="I765">
        <f>_xlfn.XLOOKUP(tblFinancials[[#This Row],[AccountKey]],tblAccounts[AccountKey],tblAccounts[AccountNumber],"")</f>
        <v>4010</v>
      </c>
      <c r="J765" t="str">
        <f>_xlfn.XLOOKUP(tblFinancials[[#This Row],[AccountKey]],tblAccounts[AccountKey],tblAccounts[AccountName],"")</f>
        <v>Service Revenue</v>
      </c>
      <c r="K765" s="8" t="str">
        <f>_xlfn.XLOOKUP(tblFinancials[[#This Row],[AccountKey]],tblAccounts[AccountKey],tblAccounts[FinancialStatement],"")</f>
        <v>Income Statement</v>
      </c>
      <c r="L765" s="8" t="str">
        <f>_xlfn.XLOOKUP(tblFinancials[[#This Row],[AccountKey]],tblAccounts[AccountKey],tblAccounts[AccountCategory],"")</f>
        <v>Revenue</v>
      </c>
      <c r="M765" s="8" t="str">
        <f>_xlfn.XLOOKUP(tblFinancials[[#This Row],[AccountKey]],tblAccounts[AccountKey],tblAccounts[NormalBalance],"")</f>
        <v>Credit</v>
      </c>
      <c r="N765" s="8" t="str">
        <f>_xlfn.XLOOKUP(tblFinancials[[#This Row],[DepartmentKey]],tblDepartments[DepartmentKey],tblDepartments[DepartmentName],"")</f>
        <v>Sales</v>
      </c>
      <c r="O765" s="8" t="str">
        <f>_xlfn.XLOOKUP(tblFinancials[[#This Row],[BusinessUnitKey]],tblBusinessUnits[BusinessUnitKey],tblBusinessUnits[BusinessUnitName],"")</f>
        <v>Wholesale</v>
      </c>
      <c r="P765" s="8" t="str">
        <f>_xlfn.XLOOKUP(tblFinancials[[#This Row],[RegionKey]],tblRegions[RegionKey],tblRegions[RegionName],"")</f>
        <v>Midwest</v>
      </c>
    </row>
    <row r="766" spans="1:16">
      <c r="A766">
        <v>20241001</v>
      </c>
      <c r="B766">
        <v>6</v>
      </c>
      <c r="C766">
        <v>2</v>
      </c>
      <c r="D766">
        <v>4</v>
      </c>
      <c r="E766">
        <v>13</v>
      </c>
      <c r="F766" t="s">
        <v>92</v>
      </c>
      <c r="G766">
        <v>31235.1</v>
      </c>
      <c r="H766">
        <f>_xlfn.XLOOKUP(tblFinancials[[#This Row],[DateKey]],tblCalendar[DateKey],tblCalendar[FullDate],"")</f>
        <v>45566</v>
      </c>
      <c r="I766">
        <f>_xlfn.XLOOKUP(tblFinancials[[#This Row],[AccountKey]],tblAccounts[AccountKey],tblAccounts[AccountNumber],"")</f>
        <v>4020</v>
      </c>
      <c r="J766" t="str">
        <f>_xlfn.XLOOKUP(tblFinancials[[#This Row],[AccountKey]],tblAccounts[AccountKey],tblAccounts[AccountName],"")</f>
        <v>Online Revenue</v>
      </c>
      <c r="K766" s="8" t="str">
        <f>_xlfn.XLOOKUP(tblFinancials[[#This Row],[AccountKey]],tblAccounts[AccountKey],tblAccounts[FinancialStatement],"")</f>
        <v>Income Statement</v>
      </c>
      <c r="L766" s="8" t="str">
        <f>_xlfn.XLOOKUP(tblFinancials[[#This Row],[AccountKey]],tblAccounts[AccountKey],tblAccounts[AccountCategory],"")</f>
        <v>Revenue</v>
      </c>
      <c r="M766" s="8" t="str">
        <f>_xlfn.XLOOKUP(tblFinancials[[#This Row],[AccountKey]],tblAccounts[AccountKey],tblAccounts[NormalBalance],"")</f>
        <v>Credit</v>
      </c>
      <c r="N766" s="8" t="str">
        <f>_xlfn.XLOOKUP(tblFinancials[[#This Row],[DepartmentKey]],tblDepartments[DepartmentKey],tblDepartments[DepartmentName],"")</f>
        <v>Operations</v>
      </c>
      <c r="O766" s="8" t="str">
        <f>_xlfn.XLOOKUP(tblFinancials[[#This Row],[BusinessUnitKey]],tblBusinessUnits[BusinessUnitKey],tblBusinessUnits[BusinessUnitName],"")</f>
        <v>Wholesale</v>
      </c>
      <c r="P766" s="8" t="str">
        <f>_xlfn.XLOOKUP(tblFinancials[[#This Row],[RegionKey]],tblRegions[RegionKey],tblRegions[RegionName],"")</f>
        <v>East</v>
      </c>
    </row>
    <row r="767" spans="1:16">
      <c r="A767">
        <v>20241001</v>
      </c>
      <c r="B767">
        <v>3</v>
      </c>
      <c r="C767">
        <v>3</v>
      </c>
      <c r="D767">
        <v>4</v>
      </c>
      <c r="E767">
        <v>11</v>
      </c>
      <c r="F767" t="s">
        <v>92</v>
      </c>
      <c r="G767">
        <v>32255.8</v>
      </c>
      <c r="H767">
        <f>_xlfn.XLOOKUP(tblFinancials[[#This Row],[DateKey]],tblCalendar[DateKey],tblCalendar[FullDate],"")</f>
        <v>45566</v>
      </c>
      <c r="I767">
        <f>_xlfn.XLOOKUP(tblFinancials[[#This Row],[AccountKey]],tblAccounts[AccountKey],tblAccounts[AccountNumber],"")</f>
        <v>4000</v>
      </c>
      <c r="J767" t="str">
        <f>_xlfn.XLOOKUP(tblFinancials[[#This Row],[AccountKey]],tblAccounts[AccountKey],tblAccounts[AccountName],"")</f>
        <v>Product Revenue</v>
      </c>
      <c r="K767" s="8" t="str">
        <f>_xlfn.XLOOKUP(tblFinancials[[#This Row],[AccountKey]],tblAccounts[AccountKey],tblAccounts[FinancialStatement],"")</f>
        <v>Income Statement</v>
      </c>
      <c r="L767" s="8" t="str">
        <f>_xlfn.XLOOKUP(tblFinancials[[#This Row],[AccountKey]],tblAccounts[AccountKey],tblAccounts[AccountCategory],"")</f>
        <v>Revenue</v>
      </c>
      <c r="M767" s="8" t="str">
        <f>_xlfn.XLOOKUP(tblFinancials[[#This Row],[AccountKey]],tblAccounts[AccountKey],tblAccounts[NormalBalance],"")</f>
        <v>Credit</v>
      </c>
      <c r="N767" s="8" t="str">
        <f>_xlfn.XLOOKUP(tblFinancials[[#This Row],[DepartmentKey]],tblDepartments[DepartmentKey],tblDepartments[DepartmentName],"")</f>
        <v>Human Resources</v>
      </c>
      <c r="O767" s="8" t="str">
        <f>_xlfn.XLOOKUP(tblFinancials[[#This Row],[BusinessUnitKey]],tblBusinessUnits[BusinessUnitKey],tblBusinessUnits[BusinessUnitName],"")</f>
        <v>Retail</v>
      </c>
      <c r="P767" s="8" t="str">
        <f>_xlfn.XLOOKUP(tblFinancials[[#This Row],[RegionKey]],tblRegions[RegionKey],tblRegions[RegionName],"")</f>
        <v>East</v>
      </c>
    </row>
    <row r="768" spans="1:16">
      <c r="A768">
        <v>20241001</v>
      </c>
      <c r="B768">
        <v>3</v>
      </c>
      <c r="C768">
        <v>4</v>
      </c>
      <c r="D768">
        <v>2</v>
      </c>
      <c r="E768">
        <v>11</v>
      </c>
      <c r="F768" t="s">
        <v>92</v>
      </c>
      <c r="G768">
        <v>30281.5</v>
      </c>
      <c r="H768">
        <f>_xlfn.XLOOKUP(tblFinancials[[#This Row],[DateKey]],tblCalendar[DateKey],tblCalendar[FullDate],"")</f>
        <v>45566</v>
      </c>
      <c r="I768">
        <f>_xlfn.XLOOKUP(tblFinancials[[#This Row],[AccountKey]],tblAccounts[AccountKey],tblAccounts[AccountNumber],"")</f>
        <v>4000</v>
      </c>
      <c r="J768" t="str">
        <f>_xlfn.XLOOKUP(tblFinancials[[#This Row],[AccountKey]],tblAccounts[AccountKey],tblAccounts[AccountName],"")</f>
        <v>Product Revenue</v>
      </c>
      <c r="K768" s="8" t="str">
        <f>_xlfn.XLOOKUP(tblFinancials[[#This Row],[AccountKey]],tblAccounts[AccountKey],tblAccounts[FinancialStatement],"")</f>
        <v>Income Statement</v>
      </c>
      <c r="L768" s="8" t="str">
        <f>_xlfn.XLOOKUP(tblFinancials[[#This Row],[AccountKey]],tblAccounts[AccountKey],tblAccounts[AccountCategory],"")</f>
        <v>Revenue</v>
      </c>
      <c r="M768" s="8" t="str">
        <f>_xlfn.XLOOKUP(tblFinancials[[#This Row],[AccountKey]],tblAccounts[AccountKey],tblAccounts[NormalBalance],"")</f>
        <v>Credit</v>
      </c>
      <c r="N768" s="8" t="str">
        <f>_xlfn.XLOOKUP(tblFinancials[[#This Row],[DepartmentKey]],tblDepartments[DepartmentKey],tblDepartments[DepartmentName],"")</f>
        <v>Human Resources</v>
      </c>
      <c r="O768" s="8" t="str">
        <f>_xlfn.XLOOKUP(tblFinancials[[#This Row],[BusinessUnitKey]],tblBusinessUnits[BusinessUnitKey],tblBusinessUnits[BusinessUnitName],"")</f>
        <v>E-Commerce</v>
      </c>
      <c r="P768" s="8" t="str">
        <f>_xlfn.XLOOKUP(tblFinancials[[#This Row],[RegionKey]],tblRegions[RegionKey],tblRegions[RegionName],"")</f>
        <v>Midwest</v>
      </c>
    </row>
    <row r="769" spans="1:16">
      <c r="A769">
        <v>20241001</v>
      </c>
      <c r="B769">
        <v>5</v>
      </c>
      <c r="C769">
        <v>2</v>
      </c>
      <c r="D769">
        <v>3</v>
      </c>
      <c r="E769">
        <v>11</v>
      </c>
      <c r="F769" t="s">
        <v>92</v>
      </c>
      <c r="G769">
        <v>35197.79</v>
      </c>
      <c r="H769">
        <f>_xlfn.XLOOKUP(tblFinancials[[#This Row],[DateKey]],tblCalendar[DateKey],tblCalendar[FullDate],"")</f>
        <v>45566</v>
      </c>
      <c r="I769">
        <f>_xlfn.XLOOKUP(tblFinancials[[#This Row],[AccountKey]],tblAccounts[AccountKey],tblAccounts[AccountNumber],"")</f>
        <v>4000</v>
      </c>
      <c r="J769" t="str">
        <f>_xlfn.XLOOKUP(tblFinancials[[#This Row],[AccountKey]],tblAccounts[AccountKey],tblAccounts[AccountName],"")</f>
        <v>Product Revenue</v>
      </c>
      <c r="K769" s="8" t="str">
        <f>_xlfn.XLOOKUP(tblFinancials[[#This Row],[AccountKey]],tblAccounts[AccountKey],tblAccounts[FinancialStatement],"")</f>
        <v>Income Statement</v>
      </c>
      <c r="L769" s="8" t="str">
        <f>_xlfn.XLOOKUP(tblFinancials[[#This Row],[AccountKey]],tblAccounts[AccountKey],tblAccounts[AccountCategory],"")</f>
        <v>Revenue</v>
      </c>
      <c r="M769" s="8" t="str">
        <f>_xlfn.XLOOKUP(tblFinancials[[#This Row],[AccountKey]],tblAccounts[AccountKey],tblAccounts[NormalBalance],"")</f>
        <v>Credit</v>
      </c>
      <c r="N769" s="8" t="str">
        <f>_xlfn.XLOOKUP(tblFinancials[[#This Row],[DepartmentKey]],tblDepartments[DepartmentKey],tblDepartments[DepartmentName],"")</f>
        <v>Marketing</v>
      </c>
      <c r="O769" s="8" t="str">
        <f>_xlfn.XLOOKUP(tblFinancials[[#This Row],[BusinessUnitKey]],tblBusinessUnits[BusinessUnitKey],tblBusinessUnits[BusinessUnitName],"")</f>
        <v>Wholesale</v>
      </c>
      <c r="P769" s="8" t="str">
        <f>_xlfn.XLOOKUP(tblFinancials[[#This Row],[RegionKey]],tblRegions[RegionKey],tblRegions[RegionName],"")</f>
        <v>South</v>
      </c>
    </row>
    <row r="770" spans="1:16">
      <c r="A770">
        <v>20241001</v>
      </c>
      <c r="B770">
        <v>1</v>
      </c>
      <c r="C770">
        <v>1</v>
      </c>
      <c r="D770">
        <v>2</v>
      </c>
      <c r="E770">
        <v>14</v>
      </c>
      <c r="F770" t="s">
        <v>92</v>
      </c>
      <c r="G770">
        <v>-18189.84</v>
      </c>
      <c r="H770">
        <f>_xlfn.XLOOKUP(tblFinancials[[#This Row],[DateKey]],tblCalendar[DateKey],tblCalendar[FullDate],"")</f>
        <v>45566</v>
      </c>
      <c r="I770">
        <f>_xlfn.XLOOKUP(tblFinancials[[#This Row],[AccountKey]],tblAccounts[AccountKey],tblAccounts[AccountNumber],"")</f>
        <v>5000</v>
      </c>
      <c r="J770" t="str">
        <f>_xlfn.XLOOKUP(tblFinancials[[#This Row],[AccountKey]],tblAccounts[AccountKey],tblAccounts[AccountName],"")</f>
        <v>Cost of Goods Sold</v>
      </c>
      <c r="K770" s="8" t="str">
        <f>_xlfn.XLOOKUP(tblFinancials[[#This Row],[AccountKey]],tblAccounts[AccountKey],tblAccounts[FinancialStatement],"")</f>
        <v>Income Statement</v>
      </c>
      <c r="L770" s="8" t="str">
        <f>_xlfn.XLOOKUP(tblFinancials[[#This Row],[AccountKey]],tblAccounts[AccountKey],tblAccounts[AccountCategory],"")</f>
        <v>Cost of Sales</v>
      </c>
      <c r="M770" s="8" t="str">
        <f>_xlfn.XLOOKUP(tblFinancials[[#This Row],[AccountKey]],tblAccounts[AccountKey],tblAccounts[NormalBalance],"")</f>
        <v>Debit</v>
      </c>
      <c r="N770" s="8" t="str">
        <f>_xlfn.XLOOKUP(tblFinancials[[#This Row],[DepartmentKey]],tblDepartments[DepartmentKey],tblDepartments[DepartmentName],"")</f>
        <v>Executive</v>
      </c>
      <c r="O770" s="8" t="str">
        <f>_xlfn.XLOOKUP(tblFinancials[[#This Row],[BusinessUnitKey]],tblBusinessUnits[BusinessUnitKey],tblBusinessUnits[BusinessUnitName],"")</f>
        <v xml:space="preserve">Manufacturing </v>
      </c>
      <c r="P770" s="8" t="str">
        <f>_xlfn.XLOOKUP(tblFinancials[[#This Row],[RegionKey]],tblRegions[RegionKey],tblRegions[RegionName],"")</f>
        <v>Midwest</v>
      </c>
    </row>
    <row r="771" spans="1:16">
      <c r="A771">
        <v>20241001</v>
      </c>
      <c r="B771">
        <v>1</v>
      </c>
      <c r="C771">
        <v>2</v>
      </c>
      <c r="D771">
        <v>2</v>
      </c>
      <c r="E771">
        <v>14</v>
      </c>
      <c r="F771" t="s">
        <v>92</v>
      </c>
      <c r="G771">
        <v>-18217.3</v>
      </c>
      <c r="H771">
        <f>_xlfn.XLOOKUP(tblFinancials[[#This Row],[DateKey]],tblCalendar[DateKey],tblCalendar[FullDate],"")</f>
        <v>45566</v>
      </c>
      <c r="I771">
        <f>_xlfn.XLOOKUP(tblFinancials[[#This Row],[AccountKey]],tblAccounts[AccountKey],tblAccounts[AccountNumber],"")</f>
        <v>5000</v>
      </c>
      <c r="J771" t="str">
        <f>_xlfn.XLOOKUP(tblFinancials[[#This Row],[AccountKey]],tblAccounts[AccountKey],tblAccounts[AccountName],"")</f>
        <v>Cost of Goods Sold</v>
      </c>
      <c r="K771" s="8" t="str">
        <f>_xlfn.XLOOKUP(tblFinancials[[#This Row],[AccountKey]],tblAccounts[AccountKey],tblAccounts[FinancialStatement],"")</f>
        <v>Income Statement</v>
      </c>
      <c r="L771" s="8" t="str">
        <f>_xlfn.XLOOKUP(tblFinancials[[#This Row],[AccountKey]],tblAccounts[AccountKey],tblAccounts[AccountCategory],"")</f>
        <v>Cost of Sales</v>
      </c>
      <c r="M771" s="8" t="str">
        <f>_xlfn.XLOOKUP(tblFinancials[[#This Row],[AccountKey]],tblAccounts[AccountKey],tblAccounts[NormalBalance],"")</f>
        <v>Debit</v>
      </c>
      <c r="N771" s="8" t="str">
        <f>_xlfn.XLOOKUP(tblFinancials[[#This Row],[DepartmentKey]],tblDepartments[DepartmentKey],tblDepartments[DepartmentName],"")</f>
        <v>Executive</v>
      </c>
      <c r="O771" s="8" t="str">
        <f>_xlfn.XLOOKUP(tblFinancials[[#This Row],[BusinessUnitKey]],tblBusinessUnits[BusinessUnitKey],tblBusinessUnits[BusinessUnitName],"")</f>
        <v>Wholesale</v>
      </c>
      <c r="P771" s="8" t="str">
        <f>_xlfn.XLOOKUP(tblFinancials[[#This Row],[RegionKey]],tblRegions[RegionKey],tblRegions[RegionName],"")</f>
        <v>Midwest</v>
      </c>
    </row>
    <row r="772" spans="1:16">
      <c r="A772">
        <v>20241001</v>
      </c>
      <c r="B772">
        <v>2</v>
      </c>
      <c r="C772">
        <v>2</v>
      </c>
      <c r="D772">
        <v>1</v>
      </c>
      <c r="E772">
        <v>14</v>
      </c>
      <c r="F772" t="s">
        <v>92</v>
      </c>
      <c r="G772">
        <v>-17511.36</v>
      </c>
      <c r="H772">
        <f>_xlfn.XLOOKUP(tblFinancials[[#This Row],[DateKey]],tblCalendar[DateKey],tblCalendar[FullDate],"")</f>
        <v>45566</v>
      </c>
      <c r="I772">
        <f>_xlfn.XLOOKUP(tblFinancials[[#This Row],[AccountKey]],tblAccounts[AccountKey],tblAccounts[AccountNumber],"")</f>
        <v>5000</v>
      </c>
      <c r="J772" t="str">
        <f>_xlfn.XLOOKUP(tblFinancials[[#This Row],[AccountKey]],tblAccounts[AccountKey],tblAccounts[AccountName],"")</f>
        <v>Cost of Goods Sold</v>
      </c>
      <c r="K772" s="8" t="str">
        <f>_xlfn.XLOOKUP(tblFinancials[[#This Row],[AccountKey]],tblAccounts[AccountKey],tblAccounts[FinancialStatement],"")</f>
        <v>Income Statement</v>
      </c>
      <c r="L772" s="8" t="str">
        <f>_xlfn.XLOOKUP(tblFinancials[[#This Row],[AccountKey]],tblAccounts[AccountKey],tblAccounts[AccountCategory],"")</f>
        <v>Cost of Sales</v>
      </c>
      <c r="M772" s="8" t="str">
        <f>_xlfn.XLOOKUP(tblFinancials[[#This Row],[AccountKey]],tblAccounts[AccountKey],tblAccounts[NormalBalance],"")</f>
        <v>Debit</v>
      </c>
      <c r="N772" s="8" t="str">
        <f>_xlfn.XLOOKUP(tblFinancials[[#This Row],[DepartmentKey]],tblDepartments[DepartmentKey],tblDepartments[DepartmentName],"")</f>
        <v>Finance</v>
      </c>
      <c r="O772" s="8" t="str">
        <f>_xlfn.XLOOKUP(tblFinancials[[#This Row],[BusinessUnitKey]],tblBusinessUnits[BusinessUnitKey],tblBusinessUnits[BusinessUnitName],"")</f>
        <v>Wholesale</v>
      </c>
      <c r="P772" s="8" t="str">
        <f>_xlfn.XLOOKUP(tblFinancials[[#This Row],[RegionKey]],tblRegions[RegionKey],tblRegions[RegionName],"")</f>
        <v>West</v>
      </c>
    </row>
    <row r="773" spans="1:16">
      <c r="A773">
        <v>20241001</v>
      </c>
      <c r="B773">
        <v>8</v>
      </c>
      <c r="C773">
        <v>1</v>
      </c>
      <c r="D773">
        <v>2</v>
      </c>
      <c r="E773">
        <v>14</v>
      </c>
      <c r="F773" t="s">
        <v>92</v>
      </c>
      <c r="G773">
        <v>-18882.16</v>
      </c>
      <c r="H773">
        <f>_xlfn.XLOOKUP(tblFinancials[[#This Row],[DateKey]],tblCalendar[DateKey],tblCalendar[FullDate],"")</f>
        <v>45566</v>
      </c>
      <c r="I773">
        <f>_xlfn.XLOOKUP(tblFinancials[[#This Row],[AccountKey]],tblAccounts[AccountKey],tblAccounts[AccountNumber],"")</f>
        <v>5000</v>
      </c>
      <c r="J773" t="str">
        <f>_xlfn.XLOOKUP(tblFinancials[[#This Row],[AccountKey]],tblAccounts[AccountKey],tblAccounts[AccountName],"")</f>
        <v>Cost of Goods Sold</v>
      </c>
      <c r="K773" s="8" t="str">
        <f>_xlfn.XLOOKUP(tblFinancials[[#This Row],[AccountKey]],tblAccounts[AccountKey],tblAccounts[FinancialStatement],"")</f>
        <v>Income Statement</v>
      </c>
      <c r="L773" s="8" t="str">
        <f>_xlfn.XLOOKUP(tblFinancials[[#This Row],[AccountKey]],tblAccounts[AccountKey],tblAccounts[AccountCategory],"")</f>
        <v>Cost of Sales</v>
      </c>
      <c r="M773" s="8" t="str">
        <f>_xlfn.XLOOKUP(tblFinancials[[#This Row],[AccountKey]],tblAccounts[AccountKey],tblAccounts[NormalBalance],"")</f>
        <v>Debit</v>
      </c>
      <c r="N773" s="8" t="str">
        <f>_xlfn.XLOOKUP(tblFinancials[[#This Row],[DepartmentKey]],tblDepartments[DepartmentKey],tblDepartments[DepartmentName],"")</f>
        <v>Customer Service</v>
      </c>
      <c r="O773" s="8" t="str">
        <f>_xlfn.XLOOKUP(tblFinancials[[#This Row],[BusinessUnitKey]],tblBusinessUnits[BusinessUnitKey],tblBusinessUnits[BusinessUnitName],"")</f>
        <v xml:space="preserve">Manufacturing </v>
      </c>
      <c r="P773" s="8" t="str">
        <f>_xlfn.XLOOKUP(tblFinancials[[#This Row],[RegionKey]],tblRegions[RegionKey],tblRegions[RegionName],"")</f>
        <v>Midwest</v>
      </c>
    </row>
    <row r="774" spans="1:16">
      <c r="A774">
        <v>20241001</v>
      </c>
      <c r="B774">
        <v>7</v>
      </c>
      <c r="C774">
        <v>1</v>
      </c>
      <c r="D774">
        <v>4</v>
      </c>
      <c r="E774">
        <v>14</v>
      </c>
      <c r="F774" t="s">
        <v>92</v>
      </c>
      <c r="G774">
        <v>-17746.939999999999</v>
      </c>
      <c r="H774">
        <f>_xlfn.XLOOKUP(tblFinancials[[#This Row],[DateKey]],tblCalendar[DateKey],tblCalendar[FullDate],"")</f>
        <v>45566</v>
      </c>
      <c r="I774">
        <f>_xlfn.XLOOKUP(tblFinancials[[#This Row],[AccountKey]],tblAccounts[AccountKey],tblAccounts[AccountNumber],"")</f>
        <v>5000</v>
      </c>
      <c r="J774" t="str">
        <f>_xlfn.XLOOKUP(tblFinancials[[#This Row],[AccountKey]],tblAccounts[AccountKey],tblAccounts[AccountName],"")</f>
        <v>Cost of Goods Sold</v>
      </c>
      <c r="K774" s="8" t="str">
        <f>_xlfn.XLOOKUP(tblFinancials[[#This Row],[AccountKey]],tblAccounts[AccountKey],tblAccounts[FinancialStatement],"")</f>
        <v>Income Statement</v>
      </c>
      <c r="L774" s="8" t="str">
        <f>_xlfn.XLOOKUP(tblFinancials[[#This Row],[AccountKey]],tblAccounts[AccountKey],tblAccounts[AccountCategory],"")</f>
        <v>Cost of Sales</v>
      </c>
      <c r="M774" s="8" t="str">
        <f>_xlfn.XLOOKUP(tblFinancials[[#This Row],[AccountKey]],tblAccounts[AccountKey],tblAccounts[NormalBalance],"")</f>
        <v>Debit</v>
      </c>
      <c r="N774" s="8" t="str">
        <f>_xlfn.XLOOKUP(tblFinancials[[#This Row],[DepartmentKey]],tblDepartments[DepartmentKey],tblDepartments[DepartmentName],"")</f>
        <v>Information Technology</v>
      </c>
      <c r="O774" s="8" t="str">
        <f>_xlfn.XLOOKUP(tblFinancials[[#This Row],[BusinessUnitKey]],tblBusinessUnits[BusinessUnitKey],tblBusinessUnits[BusinessUnitName],"")</f>
        <v xml:space="preserve">Manufacturing </v>
      </c>
      <c r="P774" s="8" t="str">
        <f>_xlfn.XLOOKUP(tblFinancials[[#This Row],[RegionKey]],tblRegions[RegionKey],tblRegions[RegionName],"")</f>
        <v>East</v>
      </c>
    </row>
    <row r="775" spans="1:16">
      <c r="A775">
        <v>20241001</v>
      </c>
      <c r="B775">
        <v>6</v>
      </c>
      <c r="C775">
        <v>2</v>
      </c>
      <c r="D775">
        <v>3</v>
      </c>
      <c r="E775">
        <v>14</v>
      </c>
      <c r="F775" t="s">
        <v>92</v>
      </c>
      <c r="G775">
        <v>-19474.11</v>
      </c>
      <c r="H775">
        <f>_xlfn.XLOOKUP(tblFinancials[[#This Row],[DateKey]],tblCalendar[DateKey],tblCalendar[FullDate],"")</f>
        <v>45566</v>
      </c>
      <c r="I775">
        <f>_xlfn.XLOOKUP(tblFinancials[[#This Row],[AccountKey]],tblAccounts[AccountKey],tblAccounts[AccountNumber],"")</f>
        <v>5000</v>
      </c>
      <c r="J775" t="str">
        <f>_xlfn.XLOOKUP(tblFinancials[[#This Row],[AccountKey]],tblAccounts[AccountKey],tblAccounts[AccountName],"")</f>
        <v>Cost of Goods Sold</v>
      </c>
      <c r="K775" s="8" t="str">
        <f>_xlfn.XLOOKUP(tblFinancials[[#This Row],[AccountKey]],tblAccounts[AccountKey],tblAccounts[FinancialStatement],"")</f>
        <v>Income Statement</v>
      </c>
      <c r="L775" s="8" t="str">
        <f>_xlfn.XLOOKUP(tblFinancials[[#This Row],[AccountKey]],tblAccounts[AccountKey],tblAccounts[AccountCategory],"")</f>
        <v>Cost of Sales</v>
      </c>
      <c r="M775" s="8" t="str">
        <f>_xlfn.XLOOKUP(tblFinancials[[#This Row],[AccountKey]],tblAccounts[AccountKey],tblAccounts[NormalBalance],"")</f>
        <v>Debit</v>
      </c>
      <c r="N775" s="8" t="str">
        <f>_xlfn.XLOOKUP(tblFinancials[[#This Row],[DepartmentKey]],tblDepartments[DepartmentKey],tblDepartments[DepartmentName],"")</f>
        <v>Operations</v>
      </c>
      <c r="O775" s="8" t="str">
        <f>_xlfn.XLOOKUP(tblFinancials[[#This Row],[BusinessUnitKey]],tblBusinessUnits[BusinessUnitKey],tblBusinessUnits[BusinessUnitName],"")</f>
        <v>Wholesale</v>
      </c>
      <c r="P775" s="8" t="str">
        <f>_xlfn.XLOOKUP(tblFinancials[[#This Row],[RegionKey]],tblRegions[RegionKey],tblRegions[RegionName],"")</f>
        <v>South</v>
      </c>
    </row>
    <row r="776" spans="1:16">
      <c r="A776">
        <v>20241001</v>
      </c>
      <c r="B776">
        <v>7</v>
      </c>
      <c r="C776">
        <v>3</v>
      </c>
      <c r="D776">
        <v>2</v>
      </c>
      <c r="E776">
        <v>14</v>
      </c>
      <c r="F776" t="s">
        <v>92</v>
      </c>
      <c r="G776">
        <v>-18126.05</v>
      </c>
      <c r="H776">
        <f>_xlfn.XLOOKUP(tblFinancials[[#This Row],[DateKey]],tblCalendar[DateKey],tblCalendar[FullDate],"")</f>
        <v>45566</v>
      </c>
      <c r="I776">
        <f>_xlfn.XLOOKUP(tblFinancials[[#This Row],[AccountKey]],tblAccounts[AccountKey],tblAccounts[AccountNumber],"")</f>
        <v>5000</v>
      </c>
      <c r="J776" t="str">
        <f>_xlfn.XLOOKUP(tblFinancials[[#This Row],[AccountKey]],tblAccounts[AccountKey],tblAccounts[AccountName],"")</f>
        <v>Cost of Goods Sold</v>
      </c>
      <c r="K776" s="8" t="str">
        <f>_xlfn.XLOOKUP(tblFinancials[[#This Row],[AccountKey]],tblAccounts[AccountKey],tblAccounts[FinancialStatement],"")</f>
        <v>Income Statement</v>
      </c>
      <c r="L776" s="8" t="str">
        <f>_xlfn.XLOOKUP(tblFinancials[[#This Row],[AccountKey]],tblAccounts[AccountKey],tblAccounts[AccountCategory],"")</f>
        <v>Cost of Sales</v>
      </c>
      <c r="M776" s="8" t="str">
        <f>_xlfn.XLOOKUP(tblFinancials[[#This Row],[AccountKey]],tblAccounts[AccountKey],tblAccounts[NormalBalance],"")</f>
        <v>Debit</v>
      </c>
      <c r="N776" s="8" t="str">
        <f>_xlfn.XLOOKUP(tblFinancials[[#This Row],[DepartmentKey]],tblDepartments[DepartmentKey],tblDepartments[DepartmentName],"")</f>
        <v>Information Technology</v>
      </c>
      <c r="O776" s="8" t="str">
        <f>_xlfn.XLOOKUP(tblFinancials[[#This Row],[BusinessUnitKey]],tblBusinessUnits[BusinessUnitKey],tblBusinessUnits[BusinessUnitName],"")</f>
        <v>Retail</v>
      </c>
      <c r="P776" s="8" t="str">
        <f>_xlfn.XLOOKUP(tblFinancials[[#This Row],[RegionKey]],tblRegions[RegionKey],tblRegions[RegionName],"")</f>
        <v>Midwest</v>
      </c>
    </row>
    <row r="777" spans="1:16">
      <c r="A777">
        <v>20241001</v>
      </c>
      <c r="B777">
        <v>5</v>
      </c>
      <c r="C777">
        <v>1</v>
      </c>
      <c r="D777">
        <v>4</v>
      </c>
      <c r="E777">
        <v>14</v>
      </c>
      <c r="F777" t="s">
        <v>92</v>
      </c>
      <c r="G777">
        <v>-17140.04</v>
      </c>
      <c r="H777">
        <f>_xlfn.XLOOKUP(tblFinancials[[#This Row],[DateKey]],tblCalendar[DateKey],tblCalendar[FullDate],"")</f>
        <v>45566</v>
      </c>
      <c r="I777">
        <f>_xlfn.XLOOKUP(tblFinancials[[#This Row],[AccountKey]],tblAccounts[AccountKey],tblAccounts[AccountNumber],"")</f>
        <v>5000</v>
      </c>
      <c r="J777" t="str">
        <f>_xlfn.XLOOKUP(tblFinancials[[#This Row],[AccountKey]],tblAccounts[AccountKey],tblAccounts[AccountName],"")</f>
        <v>Cost of Goods Sold</v>
      </c>
      <c r="K777" s="8" t="str">
        <f>_xlfn.XLOOKUP(tblFinancials[[#This Row],[AccountKey]],tblAccounts[AccountKey],tblAccounts[FinancialStatement],"")</f>
        <v>Income Statement</v>
      </c>
      <c r="L777" s="8" t="str">
        <f>_xlfn.XLOOKUP(tblFinancials[[#This Row],[AccountKey]],tblAccounts[AccountKey],tblAccounts[AccountCategory],"")</f>
        <v>Cost of Sales</v>
      </c>
      <c r="M777" s="8" t="str">
        <f>_xlfn.XLOOKUP(tblFinancials[[#This Row],[AccountKey]],tblAccounts[AccountKey],tblAccounts[NormalBalance],"")</f>
        <v>Debit</v>
      </c>
      <c r="N777" s="8" t="str">
        <f>_xlfn.XLOOKUP(tblFinancials[[#This Row],[DepartmentKey]],tblDepartments[DepartmentKey],tblDepartments[DepartmentName],"")</f>
        <v>Marketing</v>
      </c>
      <c r="O777" s="8" t="str">
        <f>_xlfn.XLOOKUP(tblFinancials[[#This Row],[BusinessUnitKey]],tblBusinessUnits[BusinessUnitKey],tblBusinessUnits[BusinessUnitName],"")</f>
        <v xml:space="preserve">Manufacturing </v>
      </c>
      <c r="P777" s="8" t="str">
        <f>_xlfn.XLOOKUP(tblFinancials[[#This Row],[RegionKey]],tblRegions[RegionKey],tblRegions[RegionName],"")</f>
        <v>East</v>
      </c>
    </row>
    <row r="778" spans="1:16">
      <c r="A778">
        <v>20241001</v>
      </c>
      <c r="B778">
        <v>2</v>
      </c>
      <c r="C778">
        <v>1</v>
      </c>
      <c r="D778">
        <v>2</v>
      </c>
      <c r="E778">
        <v>14</v>
      </c>
      <c r="F778" t="s">
        <v>92</v>
      </c>
      <c r="G778">
        <v>-18972.11</v>
      </c>
      <c r="H778">
        <f>_xlfn.XLOOKUP(tblFinancials[[#This Row],[DateKey]],tblCalendar[DateKey],tblCalendar[FullDate],"")</f>
        <v>45566</v>
      </c>
      <c r="I778">
        <f>_xlfn.XLOOKUP(tblFinancials[[#This Row],[AccountKey]],tblAccounts[AccountKey],tblAccounts[AccountNumber],"")</f>
        <v>5000</v>
      </c>
      <c r="J778" t="str">
        <f>_xlfn.XLOOKUP(tblFinancials[[#This Row],[AccountKey]],tblAccounts[AccountKey],tblAccounts[AccountName],"")</f>
        <v>Cost of Goods Sold</v>
      </c>
      <c r="K778" s="8" t="str">
        <f>_xlfn.XLOOKUP(tblFinancials[[#This Row],[AccountKey]],tblAccounts[AccountKey],tblAccounts[FinancialStatement],"")</f>
        <v>Income Statement</v>
      </c>
      <c r="L778" s="8" t="str">
        <f>_xlfn.XLOOKUP(tblFinancials[[#This Row],[AccountKey]],tblAccounts[AccountKey],tblAccounts[AccountCategory],"")</f>
        <v>Cost of Sales</v>
      </c>
      <c r="M778" s="8" t="str">
        <f>_xlfn.XLOOKUP(tblFinancials[[#This Row],[AccountKey]],tblAccounts[AccountKey],tblAccounts[NormalBalance],"")</f>
        <v>Debit</v>
      </c>
      <c r="N778" s="8" t="str">
        <f>_xlfn.XLOOKUP(tblFinancials[[#This Row],[DepartmentKey]],tblDepartments[DepartmentKey],tblDepartments[DepartmentName],"")</f>
        <v>Finance</v>
      </c>
      <c r="O778" s="8" t="str">
        <f>_xlfn.XLOOKUP(tblFinancials[[#This Row],[BusinessUnitKey]],tblBusinessUnits[BusinessUnitKey],tblBusinessUnits[BusinessUnitName],"")</f>
        <v xml:space="preserve">Manufacturing </v>
      </c>
      <c r="P778" s="8" t="str">
        <f>_xlfn.XLOOKUP(tblFinancials[[#This Row],[RegionKey]],tblRegions[RegionKey],tblRegions[RegionName],"")</f>
        <v>Midwest</v>
      </c>
    </row>
    <row r="779" spans="1:16">
      <c r="A779">
        <v>20241001</v>
      </c>
      <c r="B779">
        <v>3</v>
      </c>
      <c r="C779">
        <v>1</v>
      </c>
      <c r="D779">
        <v>2</v>
      </c>
      <c r="E779">
        <v>14</v>
      </c>
      <c r="F779" t="s">
        <v>92</v>
      </c>
      <c r="G779">
        <v>-17992.12</v>
      </c>
      <c r="H779">
        <f>_xlfn.XLOOKUP(tblFinancials[[#This Row],[DateKey]],tblCalendar[DateKey],tblCalendar[FullDate],"")</f>
        <v>45566</v>
      </c>
      <c r="I779">
        <f>_xlfn.XLOOKUP(tblFinancials[[#This Row],[AccountKey]],tblAccounts[AccountKey],tblAccounts[AccountNumber],"")</f>
        <v>5000</v>
      </c>
      <c r="J779" t="str">
        <f>_xlfn.XLOOKUP(tblFinancials[[#This Row],[AccountKey]],tblAccounts[AccountKey],tblAccounts[AccountName],"")</f>
        <v>Cost of Goods Sold</v>
      </c>
      <c r="K779" s="8" t="str">
        <f>_xlfn.XLOOKUP(tblFinancials[[#This Row],[AccountKey]],tblAccounts[AccountKey],tblAccounts[FinancialStatement],"")</f>
        <v>Income Statement</v>
      </c>
      <c r="L779" s="8" t="str">
        <f>_xlfn.XLOOKUP(tblFinancials[[#This Row],[AccountKey]],tblAccounts[AccountKey],tblAccounts[AccountCategory],"")</f>
        <v>Cost of Sales</v>
      </c>
      <c r="M779" s="8" t="str">
        <f>_xlfn.XLOOKUP(tblFinancials[[#This Row],[AccountKey]],tblAccounts[AccountKey],tblAccounts[NormalBalance],"")</f>
        <v>Debit</v>
      </c>
      <c r="N779" s="8" t="str">
        <f>_xlfn.XLOOKUP(tblFinancials[[#This Row],[DepartmentKey]],tblDepartments[DepartmentKey],tblDepartments[DepartmentName],"")</f>
        <v>Human Resources</v>
      </c>
      <c r="O779" s="8" t="str">
        <f>_xlfn.XLOOKUP(tblFinancials[[#This Row],[BusinessUnitKey]],tblBusinessUnits[BusinessUnitKey],tblBusinessUnits[BusinessUnitName],"")</f>
        <v xml:space="preserve">Manufacturing </v>
      </c>
      <c r="P779" s="8" t="str">
        <f>_xlfn.XLOOKUP(tblFinancials[[#This Row],[RegionKey]],tblRegions[RegionKey],tblRegions[RegionName],"")</f>
        <v>Midwest</v>
      </c>
    </row>
    <row r="780" spans="1:16">
      <c r="A780">
        <v>20241001</v>
      </c>
      <c r="B780">
        <v>7</v>
      </c>
      <c r="C780">
        <v>1</v>
      </c>
      <c r="D780">
        <v>2</v>
      </c>
      <c r="E780">
        <v>14</v>
      </c>
      <c r="F780" t="s">
        <v>92</v>
      </c>
      <c r="G780">
        <v>-18716.18</v>
      </c>
      <c r="H780">
        <f>_xlfn.XLOOKUP(tblFinancials[[#This Row],[DateKey]],tblCalendar[DateKey],tblCalendar[FullDate],"")</f>
        <v>45566</v>
      </c>
      <c r="I780">
        <f>_xlfn.XLOOKUP(tblFinancials[[#This Row],[AccountKey]],tblAccounts[AccountKey],tblAccounts[AccountNumber],"")</f>
        <v>5000</v>
      </c>
      <c r="J780" t="str">
        <f>_xlfn.XLOOKUP(tblFinancials[[#This Row],[AccountKey]],tblAccounts[AccountKey],tblAccounts[AccountName],"")</f>
        <v>Cost of Goods Sold</v>
      </c>
      <c r="K780" s="8" t="str">
        <f>_xlfn.XLOOKUP(tblFinancials[[#This Row],[AccountKey]],tblAccounts[AccountKey],tblAccounts[FinancialStatement],"")</f>
        <v>Income Statement</v>
      </c>
      <c r="L780" s="8" t="str">
        <f>_xlfn.XLOOKUP(tblFinancials[[#This Row],[AccountKey]],tblAccounts[AccountKey],tblAccounts[AccountCategory],"")</f>
        <v>Cost of Sales</v>
      </c>
      <c r="M780" s="8" t="str">
        <f>_xlfn.XLOOKUP(tblFinancials[[#This Row],[AccountKey]],tblAccounts[AccountKey],tblAccounts[NormalBalance],"")</f>
        <v>Debit</v>
      </c>
      <c r="N780" s="8" t="str">
        <f>_xlfn.XLOOKUP(tblFinancials[[#This Row],[DepartmentKey]],tblDepartments[DepartmentKey],tblDepartments[DepartmentName],"")</f>
        <v>Information Technology</v>
      </c>
      <c r="O780" s="8" t="str">
        <f>_xlfn.XLOOKUP(tblFinancials[[#This Row],[BusinessUnitKey]],tblBusinessUnits[BusinessUnitKey],tblBusinessUnits[BusinessUnitName],"")</f>
        <v xml:space="preserve">Manufacturing </v>
      </c>
      <c r="P780" s="8" t="str">
        <f>_xlfn.XLOOKUP(tblFinancials[[#This Row],[RegionKey]],tblRegions[RegionKey],tblRegions[RegionName],"")</f>
        <v>Midwest</v>
      </c>
    </row>
    <row r="781" spans="1:16">
      <c r="A781">
        <v>20241001</v>
      </c>
      <c r="B781">
        <v>8</v>
      </c>
      <c r="C781">
        <v>3</v>
      </c>
      <c r="D781">
        <v>3</v>
      </c>
      <c r="E781">
        <v>14</v>
      </c>
      <c r="F781" t="s">
        <v>92</v>
      </c>
      <c r="G781">
        <v>-18426.61</v>
      </c>
      <c r="H781">
        <f>_xlfn.XLOOKUP(tblFinancials[[#This Row],[DateKey]],tblCalendar[DateKey],tblCalendar[FullDate],"")</f>
        <v>45566</v>
      </c>
      <c r="I781">
        <f>_xlfn.XLOOKUP(tblFinancials[[#This Row],[AccountKey]],tblAccounts[AccountKey],tblAccounts[AccountNumber],"")</f>
        <v>5000</v>
      </c>
      <c r="J781" t="str">
        <f>_xlfn.XLOOKUP(tblFinancials[[#This Row],[AccountKey]],tblAccounts[AccountKey],tblAccounts[AccountName],"")</f>
        <v>Cost of Goods Sold</v>
      </c>
      <c r="K781" s="8" t="str">
        <f>_xlfn.XLOOKUP(tblFinancials[[#This Row],[AccountKey]],tblAccounts[AccountKey],tblAccounts[FinancialStatement],"")</f>
        <v>Income Statement</v>
      </c>
      <c r="L781" s="8" t="str">
        <f>_xlfn.XLOOKUP(tblFinancials[[#This Row],[AccountKey]],tblAccounts[AccountKey],tblAccounts[AccountCategory],"")</f>
        <v>Cost of Sales</v>
      </c>
      <c r="M781" s="8" t="str">
        <f>_xlfn.XLOOKUP(tblFinancials[[#This Row],[AccountKey]],tblAccounts[AccountKey],tblAccounts[NormalBalance],"")</f>
        <v>Debit</v>
      </c>
      <c r="N781" s="8" t="str">
        <f>_xlfn.XLOOKUP(tblFinancials[[#This Row],[DepartmentKey]],tblDepartments[DepartmentKey],tblDepartments[DepartmentName],"")</f>
        <v>Customer Service</v>
      </c>
      <c r="O781" s="8" t="str">
        <f>_xlfn.XLOOKUP(tblFinancials[[#This Row],[BusinessUnitKey]],tblBusinessUnits[BusinessUnitKey],tblBusinessUnits[BusinessUnitName],"")</f>
        <v>Retail</v>
      </c>
      <c r="P781" s="8" t="str">
        <f>_xlfn.XLOOKUP(tblFinancials[[#This Row],[RegionKey]],tblRegions[RegionKey],tblRegions[RegionName],"")</f>
        <v>South</v>
      </c>
    </row>
    <row r="782" spans="1:16">
      <c r="A782">
        <v>20241001</v>
      </c>
      <c r="B782">
        <v>5</v>
      </c>
      <c r="C782">
        <v>4</v>
      </c>
      <c r="D782">
        <v>2</v>
      </c>
      <c r="E782">
        <v>19</v>
      </c>
      <c r="F782" t="s">
        <v>92</v>
      </c>
      <c r="G782">
        <v>-7083.39</v>
      </c>
      <c r="H782">
        <f>_xlfn.XLOOKUP(tblFinancials[[#This Row],[DateKey]],tblCalendar[DateKey],tblCalendar[FullDate],"")</f>
        <v>45566</v>
      </c>
      <c r="I782">
        <f>_xlfn.XLOOKUP(tblFinancials[[#This Row],[AccountKey]],tblAccounts[AccountKey],tblAccounts[AccountNumber],"")</f>
        <v>6300</v>
      </c>
      <c r="J782" t="str">
        <f>_xlfn.XLOOKUP(tblFinancials[[#This Row],[AccountKey]],tblAccounts[AccountKey],tblAccounts[AccountName],"")</f>
        <v>Software Expense</v>
      </c>
      <c r="K782" s="8" t="str">
        <f>_xlfn.XLOOKUP(tblFinancials[[#This Row],[AccountKey]],tblAccounts[AccountKey],tblAccounts[FinancialStatement],"")</f>
        <v>Income Statement</v>
      </c>
      <c r="L782" s="8" t="str">
        <f>_xlfn.XLOOKUP(tblFinancials[[#This Row],[AccountKey]],tblAccounts[AccountKey],tblAccounts[AccountCategory],"")</f>
        <v>Operating Expense</v>
      </c>
      <c r="M782" s="8" t="str">
        <f>_xlfn.XLOOKUP(tblFinancials[[#This Row],[AccountKey]],tblAccounts[AccountKey],tblAccounts[NormalBalance],"")</f>
        <v>Debit</v>
      </c>
      <c r="N782" s="8" t="str">
        <f>_xlfn.XLOOKUP(tblFinancials[[#This Row],[DepartmentKey]],tblDepartments[DepartmentKey],tblDepartments[DepartmentName],"")</f>
        <v>Marketing</v>
      </c>
      <c r="O782" s="8" t="str">
        <f>_xlfn.XLOOKUP(tblFinancials[[#This Row],[BusinessUnitKey]],tblBusinessUnits[BusinessUnitKey],tblBusinessUnits[BusinessUnitName],"")</f>
        <v>E-Commerce</v>
      </c>
      <c r="P782" s="8" t="str">
        <f>_xlfn.XLOOKUP(tblFinancials[[#This Row],[RegionKey]],tblRegions[RegionKey],tblRegions[RegionName],"")</f>
        <v>Midwest</v>
      </c>
    </row>
    <row r="783" spans="1:16">
      <c r="A783">
        <v>20241001</v>
      </c>
      <c r="B783">
        <v>8</v>
      </c>
      <c r="C783">
        <v>3</v>
      </c>
      <c r="D783">
        <v>1</v>
      </c>
      <c r="E783">
        <v>22</v>
      </c>
      <c r="F783" t="s">
        <v>92</v>
      </c>
      <c r="G783">
        <v>-6757.31</v>
      </c>
      <c r="H783">
        <f>_xlfn.XLOOKUP(tblFinancials[[#This Row],[DateKey]],tblCalendar[DateKey],tblCalendar[FullDate],"")</f>
        <v>45566</v>
      </c>
      <c r="I783">
        <f>_xlfn.XLOOKUP(tblFinancials[[#This Row],[AccountKey]],tblAccounts[AccountKey],tblAccounts[AccountNumber],"")</f>
        <v>6700</v>
      </c>
      <c r="J783" t="str">
        <f>_xlfn.XLOOKUP(tblFinancials[[#This Row],[AccountKey]],tblAccounts[AccountKey],tblAccounts[AccountName],"")</f>
        <v>Insurance Expense</v>
      </c>
      <c r="K783" s="8" t="str">
        <f>_xlfn.XLOOKUP(tblFinancials[[#This Row],[AccountKey]],tblAccounts[AccountKey],tblAccounts[FinancialStatement],"")</f>
        <v>Income Statement</v>
      </c>
      <c r="L783" s="8" t="str">
        <f>_xlfn.XLOOKUP(tblFinancials[[#This Row],[AccountKey]],tblAccounts[AccountKey],tblAccounts[AccountCategory],"")</f>
        <v>Operating Expense</v>
      </c>
      <c r="M783" s="8" t="str">
        <f>_xlfn.XLOOKUP(tblFinancials[[#This Row],[AccountKey]],tblAccounts[AccountKey],tblAccounts[NormalBalance],"")</f>
        <v>Debit</v>
      </c>
      <c r="N783" s="8" t="str">
        <f>_xlfn.XLOOKUP(tblFinancials[[#This Row],[DepartmentKey]],tblDepartments[DepartmentKey],tblDepartments[DepartmentName],"")</f>
        <v>Customer Service</v>
      </c>
      <c r="O783" s="8" t="str">
        <f>_xlfn.XLOOKUP(tblFinancials[[#This Row],[BusinessUnitKey]],tblBusinessUnits[BusinessUnitKey],tblBusinessUnits[BusinessUnitName],"")</f>
        <v>Retail</v>
      </c>
      <c r="P783" s="8" t="str">
        <f>_xlfn.XLOOKUP(tblFinancials[[#This Row],[RegionKey]],tblRegions[RegionKey],tblRegions[RegionName],"")</f>
        <v>West</v>
      </c>
    </row>
    <row r="784" spans="1:16">
      <c r="A784">
        <v>20241001</v>
      </c>
      <c r="B784">
        <v>4</v>
      </c>
      <c r="C784">
        <v>3</v>
      </c>
      <c r="D784">
        <v>1</v>
      </c>
      <c r="E784">
        <v>15</v>
      </c>
      <c r="F784" t="s">
        <v>92</v>
      </c>
      <c r="G784">
        <v>-8497.83</v>
      </c>
      <c r="H784">
        <f>_xlfn.XLOOKUP(tblFinancials[[#This Row],[DateKey]],tblCalendar[DateKey],tblCalendar[FullDate],"")</f>
        <v>45566</v>
      </c>
      <c r="I784">
        <f>_xlfn.XLOOKUP(tblFinancials[[#This Row],[AccountKey]],tblAccounts[AccountKey],tblAccounts[AccountNumber],"")</f>
        <v>6100</v>
      </c>
      <c r="J784" t="str">
        <f>_xlfn.XLOOKUP(tblFinancials[[#This Row],[AccountKey]],tblAccounts[AccountKey],tblAccounts[AccountName],"")</f>
        <v>Salaries Expense</v>
      </c>
      <c r="K784" s="8" t="str">
        <f>_xlfn.XLOOKUP(tblFinancials[[#This Row],[AccountKey]],tblAccounts[AccountKey],tblAccounts[FinancialStatement],"")</f>
        <v>Income Statement</v>
      </c>
      <c r="L784" s="8" t="str">
        <f>_xlfn.XLOOKUP(tblFinancials[[#This Row],[AccountKey]],tblAccounts[AccountKey],tblAccounts[AccountCategory],"")</f>
        <v>Operating Expense</v>
      </c>
      <c r="M784" s="8" t="str">
        <f>_xlfn.XLOOKUP(tblFinancials[[#This Row],[AccountKey]],tblAccounts[AccountKey],tblAccounts[NormalBalance],"")</f>
        <v>Debit</v>
      </c>
      <c r="N784" s="8" t="str">
        <f>_xlfn.XLOOKUP(tblFinancials[[#This Row],[DepartmentKey]],tblDepartments[DepartmentKey],tblDepartments[DepartmentName],"")</f>
        <v>Sales</v>
      </c>
      <c r="O784" s="8" t="str">
        <f>_xlfn.XLOOKUP(tblFinancials[[#This Row],[BusinessUnitKey]],tblBusinessUnits[BusinessUnitKey],tblBusinessUnits[BusinessUnitName],"")</f>
        <v>Retail</v>
      </c>
      <c r="P784" s="8" t="str">
        <f>_xlfn.XLOOKUP(tblFinancials[[#This Row],[RegionKey]],tblRegions[RegionKey],tblRegions[RegionName],"")</f>
        <v>West</v>
      </c>
    </row>
    <row r="785" spans="1:16">
      <c r="A785">
        <v>20241001</v>
      </c>
      <c r="B785">
        <v>5</v>
      </c>
      <c r="C785">
        <v>4</v>
      </c>
      <c r="D785">
        <v>4</v>
      </c>
      <c r="E785">
        <v>24</v>
      </c>
      <c r="F785" t="s">
        <v>92</v>
      </c>
      <c r="G785">
        <v>-7368.84</v>
      </c>
      <c r="H785">
        <f>_xlfn.XLOOKUP(tblFinancials[[#This Row],[DateKey]],tblCalendar[DateKey],tblCalendar[FullDate],"")</f>
        <v>45566</v>
      </c>
      <c r="I785">
        <f>_xlfn.XLOOKUP(tblFinancials[[#This Row],[AccountKey]],tblAccounts[AccountKey],tblAccounts[AccountNumber],"")</f>
        <v>6900</v>
      </c>
      <c r="J785" t="str">
        <f>_xlfn.XLOOKUP(tblFinancials[[#This Row],[AccountKey]],tblAccounts[AccountKey],tblAccounts[AccountName],"")</f>
        <v>Professional Services</v>
      </c>
      <c r="K785" s="8" t="str">
        <f>_xlfn.XLOOKUP(tblFinancials[[#This Row],[AccountKey]],tblAccounts[AccountKey],tblAccounts[FinancialStatement],"")</f>
        <v>Income Statement</v>
      </c>
      <c r="L785" s="8" t="str">
        <f>_xlfn.XLOOKUP(tblFinancials[[#This Row],[AccountKey]],tblAccounts[AccountKey],tblAccounts[AccountCategory],"")</f>
        <v>Operating Expense</v>
      </c>
      <c r="M785" s="8" t="str">
        <f>_xlfn.XLOOKUP(tblFinancials[[#This Row],[AccountKey]],tblAccounts[AccountKey],tblAccounts[NormalBalance],"")</f>
        <v>Debit</v>
      </c>
      <c r="N785" s="8" t="str">
        <f>_xlfn.XLOOKUP(tblFinancials[[#This Row],[DepartmentKey]],tblDepartments[DepartmentKey],tblDepartments[DepartmentName],"")</f>
        <v>Marketing</v>
      </c>
      <c r="O785" s="8" t="str">
        <f>_xlfn.XLOOKUP(tblFinancials[[#This Row],[BusinessUnitKey]],tblBusinessUnits[BusinessUnitKey],tblBusinessUnits[BusinessUnitName],"")</f>
        <v>E-Commerce</v>
      </c>
      <c r="P785" s="8" t="str">
        <f>_xlfn.XLOOKUP(tblFinancials[[#This Row],[RegionKey]],tblRegions[RegionKey],tblRegions[RegionName],"")</f>
        <v>East</v>
      </c>
    </row>
    <row r="786" spans="1:16">
      <c r="A786">
        <v>20241001</v>
      </c>
      <c r="B786">
        <v>8</v>
      </c>
      <c r="C786">
        <v>3</v>
      </c>
      <c r="D786">
        <v>4</v>
      </c>
      <c r="E786">
        <v>22</v>
      </c>
      <c r="F786" t="s">
        <v>92</v>
      </c>
      <c r="G786">
        <v>-7208.49</v>
      </c>
      <c r="H786">
        <f>_xlfn.XLOOKUP(tblFinancials[[#This Row],[DateKey]],tblCalendar[DateKey],tblCalendar[FullDate],"")</f>
        <v>45566</v>
      </c>
      <c r="I786">
        <f>_xlfn.XLOOKUP(tblFinancials[[#This Row],[AccountKey]],tblAccounts[AccountKey],tblAccounts[AccountNumber],"")</f>
        <v>6700</v>
      </c>
      <c r="J786" t="str">
        <f>_xlfn.XLOOKUP(tblFinancials[[#This Row],[AccountKey]],tblAccounts[AccountKey],tblAccounts[AccountName],"")</f>
        <v>Insurance Expense</v>
      </c>
      <c r="K786" s="8" t="str">
        <f>_xlfn.XLOOKUP(tblFinancials[[#This Row],[AccountKey]],tblAccounts[AccountKey],tblAccounts[FinancialStatement],"")</f>
        <v>Income Statement</v>
      </c>
      <c r="L786" s="8" t="str">
        <f>_xlfn.XLOOKUP(tblFinancials[[#This Row],[AccountKey]],tblAccounts[AccountKey],tblAccounts[AccountCategory],"")</f>
        <v>Operating Expense</v>
      </c>
      <c r="M786" s="8" t="str">
        <f>_xlfn.XLOOKUP(tblFinancials[[#This Row],[AccountKey]],tblAccounts[AccountKey],tblAccounts[NormalBalance],"")</f>
        <v>Debit</v>
      </c>
      <c r="N786" s="8" t="str">
        <f>_xlfn.XLOOKUP(tblFinancials[[#This Row],[DepartmentKey]],tblDepartments[DepartmentKey],tblDepartments[DepartmentName],"")</f>
        <v>Customer Service</v>
      </c>
      <c r="O786" s="8" t="str">
        <f>_xlfn.XLOOKUP(tblFinancials[[#This Row],[BusinessUnitKey]],tblBusinessUnits[BusinessUnitKey],tblBusinessUnits[BusinessUnitName],"")</f>
        <v>Retail</v>
      </c>
      <c r="P786" s="8" t="str">
        <f>_xlfn.XLOOKUP(tblFinancials[[#This Row],[RegionKey]],tblRegions[RegionKey],tblRegions[RegionName],"")</f>
        <v>East</v>
      </c>
    </row>
    <row r="787" spans="1:16">
      <c r="A787">
        <v>20241001</v>
      </c>
      <c r="B787">
        <v>4</v>
      </c>
      <c r="C787">
        <v>4</v>
      </c>
      <c r="D787">
        <v>4</v>
      </c>
      <c r="E787">
        <v>20</v>
      </c>
      <c r="F787" t="s">
        <v>92</v>
      </c>
      <c r="G787">
        <v>-6476.26</v>
      </c>
      <c r="H787">
        <f>_xlfn.XLOOKUP(tblFinancials[[#This Row],[DateKey]],tblCalendar[DateKey],tblCalendar[FullDate],"")</f>
        <v>45566</v>
      </c>
      <c r="I787">
        <f>_xlfn.XLOOKUP(tblFinancials[[#This Row],[AccountKey]],tblAccounts[AccountKey],tblAccounts[AccountNumber],"")</f>
        <v>6500</v>
      </c>
      <c r="J787" t="str">
        <f>_xlfn.XLOOKUP(tblFinancials[[#This Row],[AccountKey]],tblAccounts[AccountKey],tblAccounts[AccountName],"")</f>
        <v>Rent Expense</v>
      </c>
      <c r="K787" s="8" t="str">
        <f>_xlfn.XLOOKUP(tblFinancials[[#This Row],[AccountKey]],tblAccounts[AccountKey],tblAccounts[FinancialStatement],"")</f>
        <v>Income Statement</v>
      </c>
      <c r="L787" s="8" t="str">
        <f>_xlfn.XLOOKUP(tblFinancials[[#This Row],[AccountKey]],tblAccounts[AccountKey],tblAccounts[AccountCategory],"")</f>
        <v>Operating Expense</v>
      </c>
      <c r="M787" s="8" t="str">
        <f>_xlfn.XLOOKUP(tblFinancials[[#This Row],[AccountKey]],tblAccounts[AccountKey],tblAccounts[NormalBalance],"")</f>
        <v>Debit</v>
      </c>
      <c r="N787" s="8" t="str">
        <f>_xlfn.XLOOKUP(tblFinancials[[#This Row],[DepartmentKey]],tblDepartments[DepartmentKey],tblDepartments[DepartmentName],"")</f>
        <v>Sales</v>
      </c>
      <c r="O787" s="8" t="str">
        <f>_xlfn.XLOOKUP(tblFinancials[[#This Row],[BusinessUnitKey]],tblBusinessUnits[BusinessUnitKey],tblBusinessUnits[BusinessUnitName],"")</f>
        <v>E-Commerce</v>
      </c>
      <c r="P787" s="8" t="str">
        <f>_xlfn.XLOOKUP(tblFinancials[[#This Row],[RegionKey]],tblRegions[RegionKey],tblRegions[RegionName],"")</f>
        <v>East</v>
      </c>
    </row>
    <row r="788" spans="1:16">
      <c r="A788">
        <v>20241001</v>
      </c>
      <c r="B788">
        <v>2</v>
      </c>
      <c r="C788">
        <v>2</v>
      </c>
      <c r="D788">
        <v>1</v>
      </c>
      <c r="E788">
        <v>21</v>
      </c>
      <c r="F788" t="s">
        <v>92</v>
      </c>
      <c r="G788">
        <v>-8379.6</v>
      </c>
      <c r="H788">
        <f>_xlfn.XLOOKUP(tblFinancials[[#This Row],[DateKey]],tblCalendar[DateKey],tblCalendar[FullDate],"")</f>
        <v>45566</v>
      </c>
      <c r="I788">
        <f>_xlfn.XLOOKUP(tblFinancials[[#This Row],[AccountKey]],tblAccounts[AccountKey],tblAccounts[AccountNumber],"")</f>
        <v>6600</v>
      </c>
      <c r="J788" t="str">
        <f>_xlfn.XLOOKUP(tblFinancials[[#This Row],[AccountKey]],tblAccounts[AccountKey],tblAccounts[AccountName],"")</f>
        <v>Utilities Expense</v>
      </c>
      <c r="K788" s="8" t="str">
        <f>_xlfn.XLOOKUP(tblFinancials[[#This Row],[AccountKey]],tblAccounts[AccountKey],tblAccounts[FinancialStatement],"")</f>
        <v>Income Statement</v>
      </c>
      <c r="L788" s="8" t="str">
        <f>_xlfn.XLOOKUP(tblFinancials[[#This Row],[AccountKey]],tblAccounts[AccountKey],tblAccounts[AccountCategory],"")</f>
        <v>Operating Expense</v>
      </c>
      <c r="M788" s="8" t="str">
        <f>_xlfn.XLOOKUP(tblFinancials[[#This Row],[AccountKey]],tblAccounts[AccountKey],tblAccounts[NormalBalance],"")</f>
        <v>Debit</v>
      </c>
      <c r="N788" s="8" t="str">
        <f>_xlfn.XLOOKUP(tblFinancials[[#This Row],[DepartmentKey]],tblDepartments[DepartmentKey],tblDepartments[DepartmentName],"")</f>
        <v>Finance</v>
      </c>
      <c r="O788" s="8" t="str">
        <f>_xlfn.XLOOKUP(tblFinancials[[#This Row],[BusinessUnitKey]],tblBusinessUnits[BusinessUnitKey],tblBusinessUnits[BusinessUnitName],"")</f>
        <v>Wholesale</v>
      </c>
      <c r="P788" s="8" t="str">
        <f>_xlfn.XLOOKUP(tblFinancials[[#This Row],[RegionKey]],tblRegions[RegionKey],tblRegions[RegionName],"")</f>
        <v>West</v>
      </c>
    </row>
    <row r="789" spans="1:16">
      <c r="A789">
        <v>20241001</v>
      </c>
      <c r="B789">
        <v>4</v>
      </c>
      <c r="C789">
        <v>1</v>
      </c>
      <c r="D789">
        <v>2</v>
      </c>
      <c r="E789">
        <v>25</v>
      </c>
      <c r="F789" t="s">
        <v>92</v>
      </c>
      <c r="G789">
        <v>-7495.42</v>
      </c>
      <c r="H789">
        <f>_xlfn.XLOOKUP(tblFinancials[[#This Row],[DateKey]],tblCalendar[DateKey],tblCalendar[FullDate],"")</f>
        <v>45566</v>
      </c>
      <c r="I789">
        <f>_xlfn.XLOOKUP(tblFinancials[[#This Row],[AccountKey]],tblAccounts[AccountKey],tblAccounts[AccountNumber],"")</f>
        <v>8200</v>
      </c>
      <c r="J789" t="str">
        <f>_xlfn.XLOOKUP(tblFinancials[[#This Row],[AccountKey]],tblAccounts[AccountKey],tblAccounts[AccountName],"")</f>
        <v>Income Tax Expense</v>
      </c>
      <c r="K789" s="8" t="str">
        <f>_xlfn.XLOOKUP(tblFinancials[[#This Row],[AccountKey]],tblAccounts[AccountKey],tblAccounts[FinancialStatement],"")</f>
        <v>Income Statement</v>
      </c>
      <c r="L789" s="8" t="str">
        <f>_xlfn.XLOOKUP(tblFinancials[[#This Row],[AccountKey]],tblAccounts[AccountKey],tblAccounts[AccountCategory],"")</f>
        <v>Tax Expense</v>
      </c>
      <c r="M789" s="8" t="str">
        <f>_xlfn.XLOOKUP(tblFinancials[[#This Row],[AccountKey]],tblAccounts[AccountKey],tblAccounts[NormalBalance],"")</f>
        <v>Debit</v>
      </c>
      <c r="N789" s="8" t="str">
        <f>_xlfn.XLOOKUP(tblFinancials[[#This Row],[DepartmentKey]],tblDepartments[DepartmentKey],tblDepartments[DepartmentName],"")</f>
        <v>Sales</v>
      </c>
      <c r="O789" s="8" t="str">
        <f>_xlfn.XLOOKUP(tblFinancials[[#This Row],[BusinessUnitKey]],tblBusinessUnits[BusinessUnitKey],tblBusinessUnits[BusinessUnitName],"")</f>
        <v xml:space="preserve">Manufacturing </v>
      </c>
      <c r="P789" s="8" t="str">
        <f>_xlfn.XLOOKUP(tblFinancials[[#This Row],[RegionKey]],tblRegions[RegionKey],tblRegions[RegionName],"")</f>
        <v>Midwest</v>
      </c>
    </row>
    <row r="790" spans="1:16">
      <c r="A790">
        <v>20241001</v>
      </c>
      <c r="B790">
        <v>6</v>
      </c>
      <c r="C790">
        <v>2</v>
      </c>
      <c r="D790">
        <v>1</v>
      </c>
      <c r="E790">
        <v>22</v>
      </c>
      <c r="F790" t="s">
        <v>92</v>
      </c>
      <c r="G790">
        <v>-6670.49</v>
      </c>
      <c r="H790">
        <f>_xlfn.XLOOKUP(tblFinancials[[#This Row],[DateKey]],tblCalendar[DateKey],tblCalendar[FullDate],"")</f>
        <v>45566</v>
      </c>
      <c r="I790">
        <f>_xlfn.XLOOKUP(tblFinancials[[#This Row],[AccountKey]],tblAccounts[AccountKey],tblAccounts[AccountNumber],"")</f>
        <v>6700</v>
      </c>
      <c r="J790" t="str">
        <f>_xlfn.XLOOKUP(tblFinancials[[#This Row],[AccountKey]],tblAccounts[AccountKey],tblAccounts[AccountName],"")</f>
        <v>Insurance Expense</v>
      </c>
      <c r="K790" s="8" t="str">
        <f>_xlfn.XLOOKUP(tblFinancials[[#This Row],[AccountKey]],tblAccounts[AccountKey],tblAccounts[FinancialStatement],"")</f>
        <v>Income Statement</v>
      </c>
      <c r="L790" s="8" t="str">
        <f>_xlfn.XLOOKUP(tblFinancials[[#This Row],[AccountKey]],tblAccounts[AccountKey],tblAccounts[AccountCategory],"")</f>
        <v>Operating Expense</v>
      </c>
      <c r="M790" s="8" t="str">
        <f>_xlfn.XLOOKUP(tblFinancials[[#This Row],[AccountKey]],tblAccounts[AccountKey],tblAccounts[NormalBalance],"")</f>
        <v>Debit</v>
      </c>
      <c r="N790" s="8" t="str">
        <f>_xlfn.XLOOKUP(tblFinancials[[#This Row],[DepartmentKey]],tblDepartments[DepartmentKey],tblDepartments[DepartmentName],"")</f>
        <v>Operations</v>
      </c>
      <c r="O790" s="8" t="str">
        <f>_xlfn.XLOOKUP(tblFinancials[[#This Row],[BusinessUnitKey]],tblBusinessUnits[BusinessUnitKey],tblBusinessUnits[BusinessUnitName],"")</f>
        <v>Wholesale</v>
      </c>
      <c r="P790" s="8" t="str">
        <f>_xlfn.XLOOKUP(tblFinancials[[#This Row],[RegionKey]],tblRegions[RegionKey],tblRegions[RegionName],"")</f>
        <v>West</v>
      </c>
    </row>
    <row r="791" spans="1:16">
      <c r="A791">
        <v>20241001</v>
      </c>
      <c r="B791">
        <v>4</v>
      </c>
      <c r="C791">
        <v>4</v>
      </c>
      <c r="D791">
        <v>3</v>
      </c>
      <c r="E791">
        <v>19</v>
      </c>
      <c r="F791" t="s">
        <v>92</v>
      </c>
      <c r="G791">
        <v>-7699.19</v>
      </c>
      <c r="H791">
        <f>_xlfn.XLOOKUP(tblFinancials[[#This Row],[DateKey]],tblCalendar[DateKey],tblCalendar[FullDate],"")</f>
        <v>45566</v>
      </c>
      <c r="I791">
        <f>_xlfn.XLOOKUP(tblFinancials[[#This Row],[AccountKey]],tblAccounts[AccountKey],tblAccounts[AccountNumber],"")</f>
        <v>6300</v>
      </c>
      <c r="J791" t="str">
        <f>_xlfn.XLOOKUP(tblFinancials[[#This Row],[AccountKey]],tblAccounts[AccountKey],tblAccounts[AccountName],"")</f>
        <v>Software Expense</v>
      </c>
      <c r="K791" s="8" t="str">
        <f>_xlfn.XLOOKUP(tblFinancials[[#This Row],[AccountKey]],tblAccounts[AccountKey],tblAccounts[FinancialStatement],"")</f>
        <v>Income Statement</v>
      </c>
      <c r="L791" s="8" t="str">
        <f>_xlfn.XLOOKUP(tblFinancials[[#This Row],[AccountKey]],tblAccounts[AccountKey],tblAccounts[AccountCategory],"")</f>
        <v>Operating Expense</v>
      </c>
      <c r="M791" s="8" t="str">
        <f>_xlfn.XLOOKUP(tblFinancials[[#This Row],[AccountKey]],tblAccounts[AccountKey],tblAccounts[NormalBalance],"")</f>
        <v>Debit</v>
      </c>
      <c r="N791" s="8" t="str">
        <f>_xlfn.XLOOKUP(tblFinancials[[#This Row],[DepartmentKey]],tblDepartments[DepartmentKey],tblDepartments[DepartmentName],"")</f>
        <v>Sales</v>
      </c>
      <c r="O791" s="8" t="str">
        <f>_xlfn.XLOOKUP(tblFinancials[[#This Row],[BusinessUnitKey]],tblBusinessUnits[BusinessUnitKey],tblBusinessUnits[BusinessUnitName],"")</f>
        <v>E-Commerce</v>
      </c>
      <c r="P791" s="8" t="str">
        <f>_xlfn.XLOOKUP(tblFinancials[[#This Row],[RegionKey]],tblRegions[RegionKey],tblRegions[RegionName],"")</f>
        <v>South</v>
      </c>
    </row>
    <row r="792" spans="1:16">
      <c r="A792">
        <v>20241001</v>
      </c>
      <c r="B792">
        <v>7</v>
      </c>
      <c r="C792">
        <v>3</v>
      </c>
      <c r="D792">
        <v>1</v>
      </c>
      <c r="E792">
        <v>16</v>
      </c>
      <c r="F792" t="s">
        <v>92</v>
      </c>
      <c r="G792">
        <v>-7164.74</v>
      </c>
      <c r="H792">
        <f>_xlfn.XLOOKUP(tblFinancials[[#This Row],[DateKey]],tblCalendar[DateKey],tblCalendar[FullDate],"")</f>
        <v>45566</v>
      </c>
      <c r="I792">
        <f>_xlfn.XLOOKUP(tblFinancials[[#This Row],[AccountKey]],tblAccounts[AccountKey],tblAccounts[AccountNumber],"")</f>
        <v>6110</v>
      </c>
      <c r="J792" t="str">
        <f>_xlfn.XLOOKUP(tblFinancials[[#This Row],[AccountKey]],tblAccounts[AccountKey],tblAccounts[AccountName],"")</f>
        <v>Payroll Taxes</v>
      </c>
      <c r="K792" s="8" t="str">
        <f>_xlfn.XLOOKUP(tblFinancials[[#This Row],[AccountKey]],tblAccounts[AccountKey],tblAccounts[FinancialStatement],"")</f>
        <v>Income Statement</v>
      </c>
      <c r="L792" s="8" t="str">
        <f>_xlfn.XLOOKUP(tblFinancials[[#This Row],[AccountKey]],tblAccounts[AccountKey],tblAccounts[AccountCategory],"")</f>
        <v>Operating Expense</v>
      </c>
      <c r="M792" s="8" t="str">
        <f>_xlfn.XLOOKUP(tblFinancials[[#This Row],[AccountKey]],tblAccounts[AccountKey],tblAccounts[NormalBalance],"")</f>
        <v>Debit</v>
      </c>
      <c r="N792" s="8" t="str">
        <f>_xlfn.XLOOKUP(tblFinancials[[#This Row],[DepartmentKey]],tblDepartments[DepartmentKey],tblDepartments[DepartmentName],"")</f>
        <v>Information Technology</v>
      </c>
      <c r="O792" s="8" t="str">
        <f>_xlfn.XLOOKUP(tblFinancials[[#This Row],[BusinessUnitKey]],tblBusinessUnits[BusinessUnitKey],tblBusinessUnits[BusinessUnitName],"")</f>
        <v>Retail</v>
      </c>
      <c r="P792" s="8" t="str">
        <f>_xlfn.XLOOKUP(tblFinancials[[#This Row],[RegionKey]],tblRegions[RegionKey],tblRegions[RegionName],"")</f>
        <v>West</v>
      </c>
    </row>
    <row r="793" spans="1:16">
      <c r="A793">
        <v>20241001</v>
      </c>
      <c r="B793">
        <v>4</v>
      </c>
      <c r="C793">
        <v>4</v>
      </c>
      <c r="D793">
        <v>4</v>
      </c>
      <c r="E793">
        <v>24</v>
      </c>
      <c r="F793" t="s">
        <v>92</v>
      </c>
      <c r="G793">
        <v>-7331.4</v>
      </c>
      <c r="H793">
        <f>_xlfn.XLOOKUP(tblFinancials[[#This Row],[DateKey]],tblCalendar[DateKey],tblCalendar[FullDate],"")</f>
        <v>45566</v>
      </c>
      <c r="I793">
        <f>_xlfn.XLOOKUP(tblFinancials[[#This Row],[AccountKey]],tblAccounts[AccountKey],tblAccounts[AccountNumber],"")</f>
        <v>6900</v>
      </c>
      <c r="J793" t="str">
        <f>_xlfn.XLOOKUP(tblFinancials[[#This Row],[AccountKey]],tblAccounts[AccountKey],tblAccounts[AccountName],"")</f>
        <v>Professional Services</v>
      </c>
      <c r="K793" s="8" t="str">
        <f>_xlfn.XLOOKUP(tblFinancials[[#This Row],[AccountKey]],tblAccounts[AccountKey],tblAccounts[FinancialStatement],"")</f>
        <v>Income Statement</v>
      </c>
      <c r="L793" s="8" t="str">
        <f>_xlfn.XLOOKUP(tblFinancials[[#This Row],[AccountKey]],tblAccounts[AccountKey],tblAccounts[AccountCategory],"")</f>
        <v>Operating Expense</v>
      </c>
      <c r="M793" s="8" t="str">
        <f>_xlfn.XLOOKUP(tblFinancials[[#This Row],[AccountKey]],tblAccounts[AccountKey],tblAccounts[NormalBalance],"")</f>
        <v>Debit</v>
      </c>
      <c r="N793" s="8" t="str">
        <f>_xlfn.XLOOKUP(tblFinancials[[#This Row],[DepartmentKey]],tblDepartments[DepartmentKey],tblDepartments[DepartmentName],"")</f>
        <v>Sales</v>
      </c>
      <c r="O793" s="8" t="str">
        <f>_xlfn.XLOOKUP(tblFinancials[[#This Row],[BusinessUnitKey]],tblBusinessUnits[BusinessUnitKey],tblBusinessUnits[BusinessUnitName],"")</f>
        <v>E-Commerce</v>
      </c>
      <c r="P793" s="8" t="str">
        <f>_xlfn.XLOOKUP(tblFinancials[[#This Row],[RegionKey]],tblRegions[RegionKey],tblRegions[RegionName],"")</f>
        <v>East</v>
      </c>
    </row>
    <row r="794" spans="1:16">
      <c r="A794">
        <v>20241101</v>
      </c>
      <c r="B794">
        <v>8</v>
      </c>
      <c r="C794">
        <v>4</v>
      </c>
      <c r="D794">
        <v>2</v>
      </c>
      <c r="E794">
        <v>11</v>
      </c>
      <c r="F794" t="s">
        <v>92</v>
      </c>
      <c r="G794">
        <v>32431.71</v>
      </c>
      <c r="H794">
        <f>_xlfn.XLOOKUP(tblFinancials[[#This Row],[DateKey]],tblCalendar[DateKey],tblCalendar[FullDate],"")</f>
        <v>45597</v>
      </c>
      <c r="I794">
        <f>_xlfn.XLOOKUP(tblFinancials[[#This Row],[AccountKey]],tblAccounts[AccountKey],tblAccounts[AccountNumber],"")</f>
        <v>4000</v>
      </c>
      <c r="J794" t="str">
        <f>_xlfn.XLOOKUP(tblFinancials[[#This Row],[AccountKey]],tblAccounts[AccountKey],tblAccounts[AccountName],"")</f>
        <v>Product Revenue</v>
      </c>
      <c r="K794" s="8" t="str">
        <f>_xlfn.XLOOKUP(tblFinancials[[#This Row],[AccountKey]],tblAccounts[AccountKey],tblAccounts[FinancialStatement],"")</f>
        <v>Income Statement</v>
      </c>
      <c r="L794" s="8" t="str">
        <f>_xlfn.XLOOKUP(tblFinancials[[#This Row],[AccountKey]],tblAccounts[AccountKey],tblAccounts[AccountCategory],"")</f>
        <v>Revenue</v>
      </c>
      <c r="M794" s="8" t="str">
        <f>_xlfn.XLOOKUP(tblFinancials[[#This Row],[AccountKey]],tblAccounts[AccountKey],tblAccounts[NormalBalance],"")</f>
        <v>Credit</v>
      </c>
      <c r="N794" s="8" t="str">
        <f>_xlfn.XLOOKUP(tblFinancials[[#This Row],[DepartmentKey]],tblDepartments[DepartmentKey],tblDepartments[DepartmentName],"")</f>
        <v>Customer Service</v>
      </c>
      <c r="O794" s="8" t="str">
        <f>_xlfn.XLOOKUP(tblFinancials[[#This Row],[BusinessUnitKey]],tblBusinessUnits[BusinessUnitKey],tblBusinessUnits[BusinessUnitName],"")</f>
        <v>E-Commerce</v>
      </c>
      <c r="P794" s="8" t="str">
        <f>_xlfn.XLOOKUP(tblFinancials[[#This Row],[RegionKey]],tblRegions[RegionKey],tblRegions[RegionName],"")</f>
        <v>Midwest</v>
      </c>
    </row>
    <row r="795" spans="1:16">
      <c r="A795">
        <v>20241101</v>
      </c>
      <c r="B795">
        <v>8</v>
      </c>
      <c r="C795">
        <v>3</v>
      </c>
      <c r="D795">
        <v>3</v>
      </c>
      <c r="E795">
        <v>11</v>
      </c>
      <c r="F795" t="s">
        <v>92</v>
      </c>
      <c r="G795">
        <v>34407.4</v>
      </c>
      <c r="H795">
        <f>_xlfn.XLOOKUP(tblFinancials[[#This Row],[DateKey]],tblCalendar[DateKey],tblCalendar[FullDate],"")</f>
        <v>45597</v>
      </c>
      <c r="I795">
        <f>_xlfn.XLOOKUP(tblFinancials[[#This Row],[AccountKey]],tblAccounts[AccountKey],tblAccounts[AccountNumber],"")</f>
        <v>4000</v>
      </c>
      <c r="J795" t="str">
        <f>_xlfn.XLOOKUP(tblFinancials[[#This Row],[AccountKey]],tblAccounts[AccountKey],tblAccounts[AccountName],"")</f>
        <v>Product Revenue</v>
      </c>
      <c r="K795" s="8" t="str">
        <f>_xlfn.XLOOKUP(tblFinancials[[#This Row],[AccountKey]],tblAccounts[AccountKey],tblAccounts[FinancialStatement],"")</f>
        <v>Income Statement</v>
      </c>
      <c r="L795" s="8" t="str">
        <f>_xlfn.XLOOKUP(tblFinancials[[#This Row],[AccountKey]],tblAccounts[AccountKey],tblAccounts[AccountCategory],"")</f>
        <v>Revenue</v>
      </c>
      <c r="M795" s="8" t="str">
        <f>_xlfn.XLOOKUP(tblFinancials[[#This Row],[AccountKey]],tblAccounts[AccountKey],tblAccounts[NormalBalance],"")</f>
        <v>Credit</v>
      </c>
      <c r="N795" s="8" t="str">
        <f>_xlfn.XLOOKUP(tblFinancials[[#This Row],[DepartmentKey]],tblDepartments[DepartmentKey],tblDepartments[DepartmentName],"")</f>
        <v>Customer Service</v>
      </c>
      <c r="O795" s="8" t="str">
        <f>_xlfn.XLOOKUP(tblFinancials[[#This Row],[BusinessUnitKey]],tblBusinessUnits[BusinessUnitKey],tblBusinessUnits[BusinessUnitName],"")</f>
        <v>Retail</v>
      </c>
      <c r="P795" s="8" t="str">
        <f>_xlfn.XLOOKUP(tblFinancials[[#This Row],[RegionKey]],tblRegions[RegionKey],tblRegions[RegionName],"")</f>
        <v>South</v>
      </c>
    </row>
    <row r="796" spans="1:16">
      <c r="A796">
        <v>20241101</v>
      </c>
      <c r="B796">
        <v>5</v>
      </c>
      <c r="C796">
        <v>1</v>
      </c>
      <c r="D796">
        <v>3</v>
      </c>
      <c r="E796">
        <v>13</v>
      </c>
      <c r="F796" t="s">
        <v>92</v>
      </c>
      <c r="G796">
        <v>33625.39</v>
      </c>
      <c r="H796">
        <f>_xlfn.XLOOKUP(tblFinancials[[#This Row],[DateKey]],tblCalendar[DateKey],tblCalendar[FullDate],"")</f>
        <v>45597</v>
      </c>
      <c r="I796">
        <f>_xlfn.XLOOKUP(tblFinancials[[#This Row],[AccountKey]],tblAccounts[AccountKey],tblAccounts[AccountNumber],"")</f>
        <v>4020</v>
      </c>
      <c r="J796" t="str">
        <f>_xlfn.XLOOKUP(tblFinancials[[#This Row],[AccountKey]],tblAccounts[AccountKey],tblAccounts[AccountName],"")</f>
        <v>Online Revenue</v>
      </c>
      <c r="K796" s="8" t="str">
        <f>_xlfn.XLOOKUP(tblFinancials[[#This Row],[AccountKey]],tblAccounts[AccountKey],tblAccounts[FinancialStatement],"")</f>
        <v>Income Statement</v>
      </c>
      <c r="L796" s="8" t="str">
        <f>_xlfn.XLOOKUP(tblFinancials[[#This Row],[AccountKey]],tblAccounts[AccountKey],tblAccounts[AccountCategory],"")</f>
        <v>Revenue</v>
      </c>
      <c r="M796" s="8" t="str">
        <f>_xlfn.XLOOKUP(tblFinancials[[#This Row],[AccountKey]],tblAccounts[AccountKey],tblAccounts[NormalBalance],"")</f>
        <v>Credit</v>
      </c>
      <c r="N796" s="8" t="str">
        <f>_xlfn.XLOOKUP(tblFinancials[[#This Row],[DepartmentKey]],tblDepartments[DepartmentKey],tblDepartments[DepartmentName],"")</f>
        <v>Marketing</v>
      </c>
      <c r="O796" s="8" t="str">
        <f>_xlfn.XLOOKUP(tblFinancials[[#This Row],[BusinessUnitKey]],tblBusinessUnits[BusinessUnitKey],tblBusinessUnits[BusinessUnitName],"")</f>
        <v xml:space="preserve">Manufacturing </v>
      </c>
      <c r="P796" s="8" t="str">
        <f>_xlfn.XLOOKUP(tblFinancials[[#This Row],[RegionKey]],tblRegions[RegionKey],tblRegions[RegionName],"")</f>
        <v>South</v>
      </c>
    </row>
    <row r="797" spans="1:16">
      <c r="A797">
        <v>20241101</v>
      </c>
      <c r="B797">
        <v>6</v>
      </c>
      <c r="C797">
        <v>4</v>
      </c>
      <c r="D797">
        <v>3</v>
      </c>
      <c r="E797">
        <v>13</v>
      </c>
      <c r="F797" t="s">
        <v>92</v>
      </c>
      <c r="G797">
        <v>33333.360000000001</v>
      </c>
      <c r="H797">
        <f>_xlfn.XLOOKUP(tblFinancials[[#This Row],[DateKey]],tblCalendar[DateKey],tblCalendar[FullDate],"")</f>
        <v>45597</v>
      </c>
      <c r="I797">
        <f>_xlfn.XLOOKUP(tblFinancials[[#This Row],[AccountKey]],tblAccounts[AccountKey],tblAccounts[AccountNumber],"")</f>
        <v>4020</v>
      </c>
      <c r="J797" t="str">
        <f>_xlfn.XLOOKUP(tblFinancials[[#This Row],[AccountKey]],tblAccounts[AccountKey],tblAccounts[AccountName],"")</f>
        <v>Online Revenue</v>
      </c>
      <c r="K797" s="8" t="str">
        <f>_xlfn.XLOOKUP(tblFinancials[[#This Row],[AccountKey]],tblAccounts[AccountKey],tblAccounts[FinancialStatement],"")</f>
        <v>Income Statement</v>
      </c>
      <c r="L797" s="8" t="str">
        <f>_xlfn.XLOOKUP(tblFinancials[[#This Row],[AccountKey]],tblAccounts[AccountKey],tblAccounts[AccountCategory],"")</f>
        <v>Revenue</v>
      </c>
      <c r="M797" s="8" t="str">
        <f>_xlfn.XLOOKUP(tblFinancials[[#This Row],[AccountKey]],tblAccounts[AccountKey],tblAccounts[NormalBalance],"")</f>
        <v>Credit</v>
      </c>
      <c r="N797" s="8" t="str">
        <f>_xlfn.XLOOKUP(tblFinancials[[#This Row],[DepartmentKey]],tblDepartments[DepartmentKey],tblDepartments[DepartmentName],"")</f>
        <v>Operations</v>
      </c>
      <c r="O797" s="8" t="str">
        <f>_xlfn.XLOOKUP(tblFinancials[[#This Row],[BusinessUnitKey]],tblBusinessUnits[BusinessUnitKey],tblBusinessUnits[BusinessUnitName],"")</f>
        <v>E-Commerce</v>
      </c>
      <c r="P797" s="8" t="str">
        <f>_xlfn.XLOOKUP(tblFinancials[[#This Row],[RegionKey]],tblRegions[RegionKey],tblRegions[RegionName],"")</f>
        <v>South</v>
      </c>
    </row>
    <row r="798" spans="1:16">
      <c r="A798">
        <v>20241101</v>
      </c>
      <c r="B798">
        <v>1</v>
      </c>
      <c r="C798">
        <v>1</v>
      </c>
      <c r="D798">
        <v>3</v>
      </c>
      <c r="E798">
        <v>11</v>
      </c>
      <c r="F798" t="s">
        <v>92</v>
      </c>
      <c r="G798">
        <v>33034.9</v>
      </c>
      <c r="H798">
        <f>_xlfn.XLOOKUP(tblFinancials[[#This Row],[DateKey]],tblCalendar[DateKey],tblCalendar[FullDate],"")</f>
        <v>45597</v>
      </c>
      <c r="I798">
        <f>_xlfn.XLOOKUP(tblFinancials[[#This Row],[AccountKey]],tblAccounts[AccountKey],tblAccounts[AccountNumber],"")</f>
        <v>4000</v>
      </c>
      <c r="J798" t="str">
        <f>_xlfn.XLOOKUP(tblFinancials[[#This Row],[AccountKey]],tblAccounts[AccountKey],tblAccounts[AccountName],"")</f>
        <v>Product Revenue</v>
      </c>
      <c r="K798" s="8" t="str">
        <f>_xlfn.XLOOKUP(tblFinancials[[#This Row],[AccountKey]],tblAccounts[AccountKey],tblAccounts[FinancialStatement],"")</f>
        <v>Income Statement</v>
      </c>
      <c r="L798" s="8" t="str">
        <f>_xlfn.XLOOKUP(tblFinancials[[#This Row],[AccountKey]],tblAccounts[AccountKey],tblAccounts[AccountCategory],"")</f>
        <v>Revenue</v>
      </c>
      <c r="M798" s="8" t="str">
        <f>_xlfn.XLOOKUP(tblFinancials[[#This Row],[AccountKey]],tblAccounts[AccountKey],tblAccounts[NormalBalance],"")</f>
        <v>Credit</v>
      </c>
      <c r="N798" s="8" t="str">
        <f>_xlfn.XLOOKUP(tblFinancials[[#This Row],[DepartmentKey]],tblDepartments[DepartmentKey],tblDepartments[DepartmentName],"")</f>
        <v>Executive</v>
      </c>
      <c r="O798" s="8" t="str">
        <f>_xlfn.XLOOKUP(tblFinancials[[#This Row],[BusinessUnitKey]],tblBusinessUnits[BusinessUnitKey],tblBusinessUnits[BusinessUnitName],"")</f>
        <v xml:space="preserve">Manufacturing </v>
      </c>
      <c r="P798" s="8" t="str">
        <f>_xlfn.XLOOKUP(tblFinancials[[#This Row],[RegionKey]],tblRegions[RegionKey],tblRegions[RegionName],"")</f>
        <v>South</v>
      </c>
    </row>
    <row r="799" spans="1:16">
      <c r="A799">
        <v>20241101</v>
      </c>
      <c r="B799">
        <v>3</v>
      </c>
      <c r="C799">
        <v>3</v>
      </c>
      <c r="D799">
        <v>1</v>
      </c>
      <c r="E799">
        <v>13</v>
      </c>
      <c r="F799" t="s">
        <v>92</v>
      </c>
      <c r="G799">
        <v>33452.199999999997</v>
      </c>
      <c r="H799">
        <f>_xlfn.XLOOKUP(tblFinancials[[#This Row],[DateKey]],tblCalendar[DateKey],tblCalendar[FullDate],"")</f>
        <v>45597</v>
      </c>
      <c r="I799">
        <f>_xlfn.XLOOKUP(tblFinancials[[#This Row],[AccountKey]],tblAccounts[AccountKey],tblAccounts[AccountNumber],"")</f>
        <v>4020</v>
      </c>
      <c r="J799" t="str">
        <f>_xlfn.XLOOKUP(tblFinancials[[#This Row],[AccountKey]],tblAccounts[AccountKey],tblAccounts[AccountName],"")</f>
        <v>Online Revenue</v>
      </c>
      <c r="K799" s="8" t="str">
        <f>_xlfn.XLOOKUP(tblFinancials[[#This Row],[AccountKey]],tblAccounts[AccountKey],tblAccounts[FinancialStatement],"")</f>
        <v>Income Statement</v>
      </c>
      <c r="L799" s="8" t="str">
        <f>_xlfn.XLOOKUP(tblFinancials[[#This Row],[AccountKey]],tblAccounts[AccountKey],tblAccounts[AccountCategory],"")</f>
        <v>Revenue</v>
      </c>
      <c r="M799" s="8" t="str">
        <f>_xlfn.XLOOKUP(tblFinancials[[#This Row],[AccountKey]],tblAccounts[AccountKey],tblAccounts[NormalBalance],"")</f>
        <v>Credit</v>
      </c>
      <c r="N799" s="8" t="str">
        <f>_xlfn.XLOOKUP(tblFinancials[[#This Row],[DepartmentKey]],tblDepartments[DepartmentKey],tblDepartments[DepartmentName],"")</f>
        <v>Human Resources</v>
      </c>
      <c r="O799" s="8" t="str">
        <f>_xlfn.XLOOKUP(tblFinancials[[#This Row],[BusinessUnitKey]],tblBusinessUnits[BusinessUnitKey],tblBusinessUnits[BusinessUnitName],"")</f>
        <v>Retail</v>
      </c>
      <c r="P799" s="8" t="str">
        <f>_xlfn.XLOOKUP(tblFinancials[[#This Row],[RegionKey]],tblRegions[RegionKey],tblRegions[RegionName],"")</f>
        <v>West</v>
      </c>
    </row>
    <row r="800" spans="1:16">
      <c r="A800">
        <v>20241101</v>
      </c>
      <c r="B800">
        <v>8</v>
      </c>
      <c r="C800">
        <v>4</v>
      </c>
      <c r="D800">
        <v>3</v>
      </c>
      <c r="E800">
        <v>13</v>
      </c>
      <c r="F800" t="s">
        <v>92</v>
      </c>
      <c r="G800">
        <v>32505.78</v>
      </c>
      <c r="H800">
        <f>_xlfn.XLOOKUP(tblFinancials[[#This Row],[DateKey]],tblCalendar[DateKey],tblCalendar[FullDate],"")</f>
        <v>45597</v>
      </c>
      <c r="I800">
        <f>_xlfn.XLOOKUP(tblFinancials[[#This Row],[AccountKey]],tblAccounts[AccountKey],tblAccounts[AccountNumber],"")</f>
        <v>4020</v>
      </c>
      <c r="J800" t="str">
        <f>_xlfn.XLOOKUP(tblFinancials[[#This Row],[AccountKey]],tblAccounts[AccountKey],tblAccounts[AccountName],"")</f>
        <v>Online Revenue</v>
      </c>
      <c r="K800" s="8" t="str">
        <f>_xlfn.XLOOKUP(tblFinancials[[#This Row],[AccountKey]],tblAccounts[AccountKey],tblAccounts[FinancialStatement],"")</f>
        <v>Income Statement</v>
      </c>
      <c r="L800" s="8" t="str">
        <f>_xlfn.XLOOKUP(tblFinancials[[#This Row],[AccountKey]],tblAccounts[AccountKey],tblAccounts[AccountCategory],"")</f>
        <v>Revenue</v>
      </c>
      <c r="M800" s="8" t="str">
        <f>_xlfn.XLOOKUP(tblFinancials[[#This Row],[AccountKey]],tblAccounts[AccountKey],tblAccounts[NormalBalance],"")</f>
        <v>Credit</v>
      </c>
      <c r="N800" s="8" t="str">
        <f>_xlfn.XLOOKUP(tblFinancials[[#This Row],[DepartmentKey]],tblDepartments[DepartmentKey],tblDepartments[DepartmentName],"")</f>
        <v>Customer Service</v>
      </c>
      <c r="O800" s="8" t="str">
        <f>_xlfn.XLOOKUP(tblFinancials[[#This Row],[BusinessUnitKey]],tblBusinessUnits[BusinessUnitKey],tblBusinessUnits[BusinessUnitName],"")</f>
        <v>E-Commerce</v>
      </c>
      <c r="P800" s="8" t="str">
        <f>_xlfn.XLOOKUP(tblFinancials[[#This Row],[RegionKey]],tblRegions[RegionKey],tblRegions[RegionName],"")</f>
        <v>South</v>
      </c>
    </row>
    <row r="801" spans="1:16">
      <c r="A801">
        <v>20241101</v>
      </c>
      <c r="B801">
        <v>2</v>
      </c>
      <c r="C801">
        <v>3</v>
      </c>
      <c r="D801">
        <v>4</v>
      </c>
      <c r="E801">
        <v>12</v>
      </c>
      <c r="F801" t="s">
        <v>92</v>
      </c>
      <c r="G801">
        <v>32909.730000000003</v>
      </c>
      <c r="H801">
        <f>_xlfn.XLOOKUP(tblFinancials[[#This Row],[DateKey]],tblCalendar[DateKey],tblCalendar[FullDate],"")</f>
        <v>45597</v>
      </c>
      <c r="I801">
        <f>_xlfn.XLOOKUP(tblFinancials[[#This Row],[AccountKey]],tblAccounts[AccountKey],tblAccounts[AccountNumber],"")</f>
        <v>4010</v>
      </c>
      <c r="J801" t="str">
        <f>_xlfn.XLOOKUP(tblFinancials[[#This Row],[AccountKey]],tblAccounts[AccountKey],tblAccounts[AccountName],"")</f>
        <v>Service Revenue</v>
      </c>
      <c r="K801" s="8" t="str">
        <f>_xlfn.XLOOKUP(tblFinancials[[#This Row],[AccountKey]],tblAccounts[AccountKey],tblAccounts[FinancialStatement],"")</f>
        <v>Income Statement</v>
      </c>
      <c r="L801" s="8" t="str">
        <f>_xlfn.XLOOKUP(tblFinancials[[#This Row],[AccountKey]],tblAccounts[AccountKey],tblAccounts[AccountCategory],"")</f>
        <v>Revenue</v>
      </c>
      <c r="M801" s="8" t="str">
        <f>_xlfn.XLOOKUP(tblFinancials[[#This Row],[AccountKey]],tblAccounts[AccountKey],tblAccounts[NormalBalance],"")</f>
        <v>Credit</v>
      </c>
      <c r="N801" s="8" t="str">
        <f>_xlfn.XLOOKUP(tblFinancials[[#This Row],[DepartmentKey]],tblDepartments[DepartmentKey],tblDepartments[DepartmentName],"")</f>
        <v>Finance</v>
      </c>
      <c r="O801" s="8" t="str">
        <f>_xlfn.XLOOKUP(tblFinancials[[#This Row],[BusinessUnitKey]],tblBusinessUnits[BusinessUnitKey],tblBusinessUnits[BusinessUnitName],"")</f>
        <v>Retail</v>
      </c>
      <c r="P801" s="8" t="str">
        <f>_xlfn.XLOOKUP(tblFinancials[[#This Row],[RegionKey]],tblRegions[RegionKey],tblRegions[RegionName],"")</f>
        <v>East</v>
      </c>
    </row>
    <row r="802" spans="1:16">
      <c r="A802">
        <v>20241101</v>
      </c>
      <c r="B802">
        <v>5</v>
      </c>
      <c r="C802">
        <v>2</v>
      </c>
      <c r="D802">
        <v>3</v>
      </c>
      <c r="E802">
        <v>11</v>
      </c>
      <c r="F802" t="s">
        <v>92</v>
      </c>
      <c r="G802">
        <v>32583</v>
      </c>
      <c r="H802">
        <f>_xlfn.XLOOKUP(tblFinancials[[#This Row],[DateKey]],tblCalendar[DateKey],tblCalendar[FullDate],"")</f>
        <v>45597</v>
      </c>
      <c r="I802">
        <f>_xlfn.XLOOKUP(tblFinancials[[#This Row],[AccountKey]],tblAccounts[AccountKey],tblAccounts[AccountNumber],"")</f>
        <v>4000</v>
      </c>
      <c r="J802" t="str">
        <f>_xlfn.XLOOKUP(tblFinancials[[#This Row],[AccountKey]],tblAccounts[AccountKey],tblAccounts[AccountName],"")</f>
        <v>Product Revenue</v>
      </c>
      <c r="K802" s="8" t="str">
        <f>_xlfn.XLOOKUP(tblFinancials[[#This Row],[AccountKey]],tblAccounts[AccountKey],tblAccounts[FinancialStatement],"")</f>
        <v>Income Statement</v>
      </c>
      <c r="L802" s="8" t="str">
        <f>_xlfn.XLOOKUP(tblFinancials[[#This Row],[AccountKey]],tblAccounts[AccountKey],tblAccounts[AccountCategory],"")</f>
        <v>Revenue</v>
      </c>
      <c r="M802" s="8" t="str">
        <f>_xlfn.XLOOKUP(tblFinancials[[#This Row],[AccountKey]],tblAccounts[AccountKey],tblAccounts[NormalBalance],"")</f>
        <v>Credit</v>
      </c>
      <c r="N802" s="8" t="str">
        <f>_xlfn.XLOOKUP(tblFinancials[[#This Row],[DepartmentKey]],tblDepartments[DepartmentKey],tblDepartments[DepartmentName],"")</f>
        <v>Marketing</v>
      </c>
      <c r="O802" s="8" t="str">
        <f>_xlfn.XLOOKUP(tblFinancials[[#This Row],[BusinessUnitKey]],tblBusinessUnits[BusinessUnitKey],tblBusinessUnits[BusinessUnitName],"")</f>
        <v>Wholesale</v>
      </c>
      <c r="P802" s="8" t="str">
        <f>_xlfn.XLOOKUP(tblFinancials[[#This Row],[RegionKey]],tblRegions[RegionKey],tblRegions[RegionName],"")</f>
        <v>South</v>
      </c>
    </row>
    <row r="803" spans="1:16">
      <c r="A803">
        <v>20241101</v>
      </c>
      <c r="B803">
        <v>4</v>
      </c>
      <c r="C803">
        <v>2</v>
      </c>
      <c r="D803">
        <v>4</v>
      </c>
      <c r="E803">
        <v>13</v>
      </c>
      <c r="F803" t="s">
        <v>92</v>
      </c>
      <c r="G803">
        <v>33935.449999999997</v>
      </c>
      <c r="H803">
        <f>_xlfn.XLOOKUP(tblFinancials[[#This Row],[DateKey]],tblCalendar[DateKey],tblCalendar[FullDate],"")</f>
        <v>45597</v>
      </c>
      <c r="I803">
        <f>_xlfn.XLOOKUP(tblFinancials[[#This Row],[AccountKey]],tblAccounts[AccountKey],tblAccounts[AccountNumber],"")</f>
        <v>4020</v>
      </c>
      <c r="J803" t="str">
        <f>_xlfn.XLOOKUP(tblFinancials[[#This Row],[AccountKey]],tblAccounts[AccountKey],tblAccounts[AccountName],"")</f>
        <v>Online Revenue</v>
      </c>
      <c r="K803" s="8" t="str">
        <f>_xlfn.XLOOKUP(tblFinancials[[#This Row],[AccountKey]],tblAccounts[AccountKey],tblAccounts[FinancialStatement],"")</f>
        <v>Income Statement</v>
      </c>
      <c r="L803" s="8" t="str">
        <f>_xlfn.XLOOKUP(tblFinancials[[#This Row],[AccountKey]],tblAccounts[AccountKey],tblAccounts[AccountCategory],"")</f>
        <v>Revenue</v>
      </c>
      <c r="M803" s="8" t="str">
        <f>_xlfn.XLOOKUP(tblFinancials[[#This Row],[AccountKey]],tblAccounts[AccountKey],tblAccounts[NormalBalance],"")</f>
        <v>Credit</v>
      </c>
      <c r="N803" s="8" t="str">
        <f>_xlfn.XLOOKUP(tblFinancials[[#This Row],[DepartmentKey]],tblDepartments[DepartmentKey],tblDepartments[DepartmentName],"")</f>
        <v>Sales</v>
      </c>
      <c r="O803" s="8" t="str">
        <f>_xlfn.XLOOKUP(tblFinancials[[#This Row],[BusinessUnitKey]],tblBusinessUnits[BusinessUnitKey],tblBusinessUnits[BusinessUnitName],"")</f>
        <v>Wholesale</v>
      </c>
      <c r="P803" s="8" t="str">
        <f>_xlfn.XLOOKUP(tblFinancials[[#This Row],[RegionKey]],tblRegions[RegionKey],tblRegions[RegionName],"")</f>
        <v>East</v>
      </c>
    </row>
    <row r="804" spans="1:16">
      <c r="A804">
        <v>20241101</v>
      </c>
      <c r="B804">
        <v>8</v>
      </c>
      <c r="C804">
        <v>3</v>
      </c>
      <c r="D804">
        <v>3</v>
      </c>
      <c r="E804">
        <v>13</v>
      </c>
      <c r="F804" t="s">
        <v>92</v>
      </c>
      <c r="G804">
        <v>33849.15</v>
      </c>
      <c r="H804">
        <f>_xlfn.XLOOKUP(tblFinancials[[#This Row],[DateKey]],tblCalendar[DateKey],tblCalendar[FullDate],"")</f>
        <v>45597</v>
      </c>
      <c r="I804">
        <f>_xlfn.XLOOKUP(tblFinancials[[#This Row],[AccountKey]],tblAccounts[AccountKey],tblAccounts[AccountNumber],"")</f>
        <v>4020</v>
      </c>
      <c r="J804" t="str">
        <f>_xlfn.XLOOKUP(tblFinancials[[#This Row],[AccountKey]],tblAccounts[AccountKey],tblAccounts[AccountName],"")</f>
        <v>Online Revenue</v>
      </c>
      <c r="K804" s="8" t="str">
        <f>_xlfn.XLOOKUP(tblFinancials[[#This Row],[AccountKey]],tblAccounts[AccountKey],tblAccounts[FinancialStatement],"")</f>
        <v>Income Statement</v>
      </c>
      <c r="L804" s="8" t="str">
        <f>_xlfn.XLOOKUP(tblFinancials[[#This Row],[AccountKey]],tblAccounts[AccountKey],tblAccounts[AccountCategory],"")</f>
        <v>Revenue</v>
      </c>
      <c r="M804" s="8" t="str">
        <f>_xlfn.XLOOKUP(tblFinancials[[#This Row],[AccountKey]],tblAccounts[AccountKey],tblAccounts[NormalBalance],"")</f>
        <v>Credit</v>
      </c>
      <c r="N804" s="8" t="str">
        <f>_xlfn.XLOOKUP(tblFinancials[[#This Row],[DepartmentKey]],tblDepartments[DepartmentKey],tblDepartments[DepartmentName],"")</f>
        <v>Customer Service</v>
      </c>
      <c r="O804" s="8" t="str">
        <f>_xlfn.XLOOKUP(tblFinancials[[#This Row],[BusinessUnitKey]],tblBusinessUnits[BusinessUnitKey],tblBusinessUnits[BusinessUnitName],"")</f>
        <v>Retail</v>
      </c>
      <c r="P804" s="8" t="str">
        <f>_xlfn.XLOOKUP(tblFinancials[[#This Row],[RegionKey]],tblRegions[RegionKey],tblRegions[RegionName],"")</f>
        <v>South</v>
      </c>
    </row>
    <row r="805" spans="1:16">
      <c r="A805">
        <v>20241101</v>
      </c>
      <c r="B805">
        <v>1</v>
      </c>
      <c r="C805">
        <v>2</v>
      </c>
      <c r="D805">
        <v>3</v>
      </c>
      <c r="E805">
        <v>12</v>
      </c>
      <c r="F805" t="s">
        <v>92</v>
      </c>
      <c r="G805">
        <v>36152.97</v>
      </c>
      <c r="H805">
        <f>_xlfn.XLOOKUP(tblFinancials[[#This Row],[DateKey]],tblCalendar[DateKey],tblCalendar[FullDate],"")</f>
        <v>45597</v>
      </c>
      <c r="I805">
        <f>_xlfn.XLOOKUP(tblFinancials[[#This Row],[AccountKey]],tblAccounts[AccountKey],tblAccounts[AccountNumber],"")</f>
        <v>4010</v>
      </c>
      <c r="J805" t="str">
        <f>_xlfn.XLOOKUP(tblFinancials[[#This Row],[AccountKey]],tblAccounts[AccountKey],tblAccounts[AccountName],"")</f>
        <v>Service Revenue</v>
      </c>
      <c r="K805" s="8" t="str">
        <f>_xlfn.XLOOKUP(tblFinancials[[#This Row],[AccountKey]],tblAccounts[AccountKey],tblAccounts[FinancialStatement],"")</f>
        <v>Income Statement</v>
      </c>
      <c r="L805" s="8" t="str">
        <f>_xlfn.XLOOKUP(tblFinancials[[#This Row],[AccountKey]],tblAccounts[AccountKey],tblAccounts[AccountCategory],"")</f>
        <v>Revenue</v>
      </c>
      <c r="M805" s="8" t="str">
        <f>_xlfn.XLOOKUP(tblFinancials[[#This Row],[AccountKey]],tblAccounts[AccountKey],tblAccounts[NormalBalance],"")</f>
        <v>Credit</v>
      </c>
      <c r="N805" s="8" t="str">
        <f>_xlfn.XLOOKUP(tblFinancials[[#This Row],[DepartmentKey]],tblDepartments[DepartmentKey],tblDepartments[DepartmentName],"")</f>
        <v>Executive</v>
      </c>
      <c r="O805" s="8" t="str">
        <f>_xlfn.XLOOKUP(tblFinancials[[#This Row],[BusinessUnitKey]],tblBusinessUnits[BusinessUnitKey],tblBusinessUnits[BusinessUnitName],"")</f>
        <v>Wholesale</v>
      </c>
      <c r="P805" s="8" t="str">
        <f>_xlfn.XLOOKUP(tblFinancials[[#This Row],[RegionKey]],tblRegions[RegionKey],tblRegions[RegionName],"")</f>
        <v>South</v>
      </c>
    </row>
    <row r="806" spans="1:16">
      <c r="A806">
        <v>20241101</v>
      </c>
      <c r="B806">
        <v>7</v>
      </c>
      <c r="C806">
        <v>4</v>
      </c>
      <c r="D806">
        <v>4</v>
      </c>
      <c r="E806">
        <v>14</v>
      </c>
      <c r="F806" t="s">
        <v>92</v>
      </c>
      <c r="G806">
        <v>-19975.53</v>
      </c>
      <c r="H806">
        <f>_xlfn.XLOOKUP(tblFinancials[[#This Row],[DateKey]],tblCalendar[DateKey],tblCalendar[FullDate],"")</f>
        <v>45597</v>
      </c>
      <c r="I806">
        <f>_xlfn.XLOOKUP(tblFinancials[[#This Row],[AccountKey]],tblAccounts[AccountKey],tblAccounts[AccountNumber],"")</f>
        <v>5000</v>
      </c>
      <c r="J806" t="str">
        <f>_xlfn.XLOOKUP(tblFinancials[[#This Row],[AccountKey]],tblAccounts[AccountKey],tblAccounts[AccountName],"")</f>
        <v>Cost of Goods Sold</v>
      </c>
      <c r="K806" s="8" t="str">
        <f>_xlfn.XLOOKUP(tblFinancials[[#This Row],[AccountKey]],tblAccounts[AccountKey],tblAccounts[FinancialStatement],"")</f>
        <v>Income Statement</v>
      </c>
      <c r="L806" s="8" t="str">
        <f>_xlfn.XLOOKUP(tblFinancials[[#This Row],[AccountKey]],tblAccounts[AccountKey],tblAccounts[AccountCategory],"")</f>
        <v>Cost of Sales</v>
      </c>
      <c r="M806" s="8" t="str">
        <f>_xlfn.XLOOKUP(tblFinancials[[#This Row],[AccountKey]],tblAccounts[AccountKey],tblAccounts[NormalBalance],"")</f>
        <v>Debit</v>
      </c>
      <c r="N806" s="8" t="str">
        <f>_xlfn.XLOOKUP(tblFinancials[[#This Row],[DepartmentKey]],tblDepartments[DepartmentKey],tblDepartments[DepartmentName],"")</f>
        <v>Information Technology</v>
      </c>
      <c r="O806" s="8" t="str">
        <f>_xlfn.XLOOKUP(tblFinancials[[#This Row],[BusinessUnitKey]],tblBusinessUnits[BusinessUnitKey],tblBusinessUnits[BusinessUnitName],"")</f>
        <v>E-Commerce</v>
      </c>
      <c r="P806" s="8" t="str">
        <f>_xlfn.XLOOKUP(tblFinancials[[#This Row],[RegionKey]],tblRegions[RegionKey],tblRegions[RegionName],"")</f>
        <v>East</v>
      </c>
    </row>
    <row r="807" spans="1:16">
      <c r="A807">
        <v>20241101</v>
      </c>
      <c r="B807">
        <v>2</v>
      </c>
      <c r="C807">
        <v>4</v>
      </c>
      <c r="D807">
        <v>1</v>
      </c>
      <c r="E807">
        <v>14</v>
      </c>
      <c r="F807" t="s">
        <v>92</v>
      </c>
      <c r="G807">
        <v>-20265.57</v>
      </c>
      <c r="H807">
        <f>_xlfn.XLOOKUP(tblFinancials[[#This Row],[DateKey]],tblCalendar[DateKey],tblCalendar[FullDate],"")</f>
        <v>45597</v>
      </c>
      <c r="I807">
        <f>_xlfn.XLOOKUP(tblFinancials[[#This Row],[AccountKey]],tblAccounts[AccountKey],tblAccounts[AccountNumber],"")</f>
        <v>5000</v>
      </c>
      <c r="J807" t="str">
        <f>_xlfn.XLOOKUP(tblFinancials[[#This Row],[AccountKey]],tblAccounts[AccountKey],tblAccounts[AccountName],"")</f>
        <v>Cost of Goods Sold</v>
      </c>
      <c r="K807" s="8" t="str">
        <f>_xlfn.XLOOKUP(tblFinancials[[#This Row],[AccountKey]],tblAccounts[AccountKey],tblAccounts[FinancialStatement],"")</f>
        <v>Income Statement</v>
      </c>
      <c r="L807" s="8" t="str">
        <f>_xlfn.XLOOKUP(tblFinancials[[#This Row],[AccountKey]],tblAccounts[AccountKey],tblAccounts[AccountCategory],"")</f>
        <v>Cost of Sales</v>
      </c>
      <c r="M807" s="8" t="str">
        <f>_xlfn.XLOOKUP(tblFinancials[[#This Row],[AccountKey]],tblAccounts[AccountKey],tblAccounts[NormalBalance],"")</f>
        <v>Debit</v>
      </c>
      <c r="N807" s="8" t="str">
        <f>_xlfn.XLOOKUP(tblFinancials[[#This Row],[DepartmentKey]],tblDepartments[DepartmentKey],tblDepartments[DepartmentName],"")</f>
        <v>Finance</v>
      </c>
      <c r="O807" s="8" t="str">
        <f>_xlfn.XLOOKUP(tblFinancials[[#This Row],[BusinessUnitKey]],tblBusinessUnits[BusinessUnitKey],tblBusinessUnits[BusinessUnitName],"")</f>
        <v>E-Commerce</v>
      </c>
      <c r="P807" s="8" t="str">
        <f>_xlfn.XLOOKUP(tblFinancials[[#This Row],[RegionKey]],tblRegions[RegionKey],tblRegions[RegionName],"")</f>
        <v>West</v>
      </c>
    </row>
    <row r="808" spans="1:16">
      <c r="A808">
        <v>20241101</v>
      </c>
      <c r="B808">
        <v>5</v>
      </c>
      <c r="C808">
        <v>1</v>
      </c>
      <c r="D808">
        <v>1</v>
      </c>
      <c r="E808">
        <v>14</v>
      </c>
      <c r="F808" t="s">
        <v>92</v>
      </c>
      <c r="G808">
        <v>-19515.75</v>
      </c>
      <c r="H808">
        <f>_xlfn.XLOOKUP(tblFinancials[[#This Row],[DateKey]],tblCalendar[DateKey],tblCalendar[FullDate],"")</f>
        <v>45597</v>
      </c>
      <c r="I808">
        <f>_xlfn.XLOOKUP(tblFinancials[[#This Row],[AccountKey]],tblAccounts[AccountKey],tblAccounts[AccountNumber],"")</f>
        <v>5000</v>
      </c>
      <c r="J808" t="str">
        <f>_xlfn.XLOOKUP(tblFinancials[[#This Row],[AccountKey]],tblAccounts[AccountKey],tblAccounts[AccountName],"")</f>
        <v>Cost of Goods Sold</v>
      </c>
      <c r="K808" s="8" t="str">
        <f>_xlfn.XLOOKUP(tblFinancials[[#This Row],[AccountKey]],tblAccounts[AccountKey],tblAccounts[FinancialStatement],"")</f>
        <v>Income Statement</v>
      </c>
      <c r="L808" s="8" t="str">
        <f>_xlfn.XLOOKUP(tblFinancials[[#This Row],[AccountKey]],tblAccounts[AccountKey],tblAccounts[AccountCategory],"")</f>
        <v>Cost of Sales</v>
      </c>
      <c r="M808" s="8" t="str">
        <f>_xlfn.XLOOKUP(tblFinancials[[#This Row],[AccountKey]],tblAccounts[AccountKey],tblAccounts[NormalBalance],"")</f>
        <v>Debit</v>
      </c>
      <c r="N808" s="8" t="str">
        <f>_xlfn.XLOOKUP(tblFinancials[[#This Row],[DepartmentKey]],tblDepartments[DepartmentKey],tblDepartments[DepartmentName],"")</f>
        <v>Marketing</v>
      </c>
      <c r="O808" s="8" t="str">
        <f>_xlfn.XLOOKUP(tblFinancials[[#This Row],[BusinessUnitKey]],tblBusinessUnits[BusinessUnitKey],tblBusinessUnits[BusinessUnitName],"")</f>
        <v xml:space="preserve">Manufacturing </v>
      </c>
      <c r="P808" s="8" t="str">
        <f>_xlfn.XLOOKUP(tblFinancials[[#This Row],[RegionKey]],tblRegions[RegionKey],tblRegions[RegionName],"")</f>
        <v>West</v>
      </c>
    </row>
    <row r="809" spans="1:16">
      <c r="A809">
        <v>20241101</v>
      </c>
      <c r="B809">
        <v>4</v>
      </c>
      <c r="C809">
        <v>2</v>
      </c>
      <c r="D809">
        <v>4</v>
      </c>
      <c r="E809">
        <v>14</v>
      </c>
      <c r="F809" t="s">
        <v>92</v>
      </c>
      <c r="G809">
        <v>-18647.740000000002</v>
      </c>
      <c r="H809">
        <f>_xlfn.XLOOKUP(tblFinancials[[#This Row],[DateKey]],tblCalendar[DateKey],tblCalendar[FullDate],"")</f>
        <v>45597</v>
      </c>
      <c r="I809">
        <f>_xlfn.XLOOKUP(tblFinancials[[#This Row],[AccountKey]],tblAccounts[AccountKey],tblAccounts[AccountNumber],"")</f>
        <v>5000</v>
      </c>
      <c r="J809" t="str">
        <f>_xlfn.XLOOKUP(tblFinancials[[#This Row],[AccountKey]],tblAccounts[AccountKey],tblAccounts[AccountName],"")</f>
        <v>Cost of Goods Sold</v>
      </c>
      <c r="K809" s="8" t="str">
        <f>_xlfn.XLOOKUP(tblFinancials[[#This Row],[AccountKey]],tblAccounts[AccountKey],tblAccounts[FinancialStatement],"")</f>
        <v>Income Statement</v>
      </c>
      <c r="L809" s="8" t="str">
        <f>_xlfn.XLOOKUP(tblFinancials[[#This Row],[AccountKey]],tblAccounts[AccountKey],tblAccounts[AccountCategory],"")</f>
        <v>Cost of Sales</v>
      </c>
      <c r="M809" s="8" t="str">
        <f>_xlfn.XLOOKUP(tblFinancials[[#This Row],[AccountKey]],tblAccounts[AccountKey],tblAccounts[NormalBalance],"")</f>
        <v>Debit</v>
      </c>
      <c r="N809" s="8" t="str">
        <f>_xlfn.XLOOKUP(tblFinancials[[#This Row],[DepartmentKey]],tblDepartments[DepartmentKey],tblDepartments[DepartmentName],"")</f>
        <v>Sales</v>
      </c>
      <c r="O809" s="8" t="str">
        <f>_xlfn.XLOOKUP(tblFinancials[[#This Row],[BusinessUnitKey]],tblBusinessUnits[BusinessUnitKey],tblBusinessUnits[BusinessUnitName],"")</f>
        <v>Wholesale</v>
      </c>
      <c r="P809" s="8" t="str">
        <f>_xlfn.XLOOKUP(tblFinancials[[#This Row],[RegionKey]],tblRegions[RegionKey],tblRegions[RegionName],"")</f>
        <v>East</v>
      </c>
    </row>
    <row r="810" spans="1:16">
      <c r="A810">
        <v>20241101</v>
      </c>
      <c r="B810">
        <v>8</v>
      </c>
      <c r="C810">
        <v>1</v>
      </c>
      <c r="D810">
        <v>3</v>
      </c>
      <c r="E810">
        <v>14</v>
      </c>
      <c r="F810" t="s">
        <v>92</v>
      </c>
      <c r="G810">
        <v>-19022.62</v>
      </c>
      <c r="H810">
        <f>_xlfn.XLOOKUP(tblFinancials[[#This Row],[DateKey]],tblCalendar[DateKey],tblCalendar[FullDate],"")</f>
        <v>45597</v>
      </c>
      <c r="I810">
        <f>_xlfn.XLOOKUP(tblFinancials[[#This Row],[AccountKey]],tblAccounts[AccountKey],tblAccounts[AccountNumber],"")</f>
        <v>5000</v>
      </c>
      <c r="J810" t="str">
        <f>_xlfn.XLOOKUP(tblFinancials[[#This Row],[AccountKey]],tblAccounts[AccountKey],tblAccounts[AccountName],"")</f>
        <v>Cost of Goods Sold</v>
      </c>
      <c r="K810" s="8" t="str">
        <f>_xlfn.XLOOKUP(tblFinancials[[#This Row],[AccountKey]],tblAccounts[AccountKey],tblAccounts[FinancialStatement],"")</f>
        <v>Income Statement</v>
      </c>
      <c r="L810" s="8" t="str">
        <f>_xlfn.XLOOKUP(tblFinancials[[#This Row],[AccountKey]],tblAccounts[AccountKey],tblAccounts[AccountCategory],"")</f>
        <v>Cost of Sales</v>
      </c>
      <c r="M810" s="8" t="str">
        <f>_xlfn.XLOOKUP(tblFinancials[[#This Row],[AccountKey]],tblAccounts[AccountKey],tblAccounts[NormalBalance],"")</f>
        <v>Debit</v>
      </c>
      <c r="N810" s="8" t="str">
        <f>_xlfn.XLOOKUP(tblFinancials[[#This Row],[DepartmentKey]],tblDepartments[DepartmentKey],tblDepartments[DepartmentName],"")</f>
        <v>Customer Service</v>
      </c>
      <c r="O810" s="8" t="str">
        <f>_xlfn.XLOOKUP(tblFinancials[[#This Row],[BusinessUnitKey]],tblBusinessUnits[BusinessUnitKey],tblBusinessUnits[BusinessUnitName],"")</f>
        <v xml:space="preserve">Manufacturing </v>
      </c>
      <c r="P810" s="8" t="str">
        <f>_xlfn.XLOOKUP(tblFinancials[[#This Row],[RegionKey]],tblRegions[RegionKey],tblRegions[RegionName],"")</f>
        <v>South</v>
      </c>
    </row>
    <row r="811" spans="1:16">
      <c r="A811">
        <v>20241101</v>
      </c>
      <c r="B811">
        <v>2</v>
      </c>
      <c r="C811">
        <v>4</v>
      </c>
      <c r="D811">
        <v>1</v>
      </c>
      <c r="E811">
        <v>14</v>
      </c>
      <c r="F811" t="s">
        <v>92</v>
      </c>
      <c r="G811">
        <v>-19895.93</v>
      </c>
      <c r="H811">
        <f>_xlfn.XLOOKUP(tblFinancials[[#This Row],[DateKey]],tblCalendar[DateKey],tblCalendar[FullDate],"")</f>
        <v>45597</v>
      </c>
      <c r="I811">
        <f>_xlfn.XLOOKUP(tblFinancials[[#This Row],[AccountKey]],tblAccounts[AccountKey],tblAccounts[AccountNumber],"")</f>
        <v>5000</v>
      </c>
      <c r="J811" t="str">
        <f>_xlfn.XLOOKUP(tblFinancials[[#This Row],[AccountKey]],tblAccounts[AccountKey],tblAccounts[AccountName],"")</f>
        <v>Cost of Goods Sold</v>
      </c>
      <c r="K811" s="8" t="str">
        <f>_xlfn.XLOOKUP(tblFinancials[[#This Row],[AccountKey]],tblAccounts[AccountKey],tblAccounts[FinancialStatement],"")</f>
        <v>Income Statement</v>
      </c>
      <c r="L811" s="8" t="str">
        <f>_xlfn.XLOOKUP(tblFinancials[[#This Row],[AccountKey]],tblAccounts[AccountKey],tblAccounts[AccountCategory],"")</f>
        <v>Cost of Sales</v>
      </c>
      <c r="M811" s="8" t="str">
        <f>_xlfn.XLOOKUP(tblFinancials[[#This Row],[AccountKey]],tblAccounts[AccountKey],tblAccounts[NormalBalance],"")</f>
        <v>Debit</v>
      </c>
      <c r="N811" s="8" t="str">
        <f>_xlfn.XLOOKUP(tblFinancials[[#This Row],[DepartmentKey]],tblDepartments[DepartmentKey],tblDepartments[DepartmentName],"")</f>
        <v>Finance</v>
      </c>
      <c r="O811" s="8" t="str">
        <f>_xlfn.XLOOKUP(tblFinancials[[#This Row],[BusinessUnitKey]],tblBusinessUnits[BusinessUnitKey],tblBusinessUnits[BusinessUnitName],"")</f>
        <v>E-Commerce</v>
      </c>
      <c r="P811" s="8" t="str">
        <f>_xlfn.XLOOKUP(tblFinancials[[#This Row],[RegionKey]],tblRegions[RegionKey],tblRegions[RegionName],"")</f>
        <v>West</v>
      </c>
    </row>
    <row r="812" spans="1:16">
      <c r="A812">
        <v>20241101</v>
      </c>
      <c r="B812">
        <v>6</v>
      </c>
      <c r="C812">
        <v>2</v>
      </c>
      <c r="D812">
        <v>1</v>
      </c>
      <c r="E812">
        <v>14</v>
      </c>
      <c r="F812" t="s">
        <v>92</v>
      </c>
      <c r="G812">
        <v>-20724.86</v>
      </c>
      <c r="H812">
        <f>_xlfn.XLOOKUP(tblFinancials[[#This Row],[DateKey]],tblCalendar[DateKey],tblCalendar[FullDate],"")</f>
        <v>45597</v>
      </c>
      <c r="I812">
        <f>_xlfn.XLOOKUP(tblFinancials[[#This Row],[AccountKey]],tblAccounts[AccountKey],tblAccounts[AccountNumber],"")</f>
        <v>5000</v>
      </c>
      <c r="J812" t="str">
        <f>_xlfn.XLOOKUP(tblFinancials[[#This Row],[AccountKey]],tblAccounts[AccountKey],tblAccounts[AccountName],"")</f>
        <v>Cost of Goods Sold</v>
      </c>
      <c r="K812" s="8" t="str">
        <f>_xlfn.XLOOKUP(tblFinancials[[#This Row],[AccountKey]],tblAccounts[AccountKey],tblAccounts[FinancialStatement],"")</f>
        <v>Income Statement</v>
      </c>
      <c r="L812" s="8" t="str">
        <f>_xlfn.XLOOKUP(tblFinancials[[#This Row],[AccountKey]],tblAccounts[AccountKey],tblAccounts[AccountCategory],"")</f>
        <v>Cost of Sales</v>
      </c>
      <c r="M812" s="8" t="str">
        <f>_xlfn.XLOOKUP(tblFinancials[[#This Row],[AccountKey]],tblAccounts[AccountKey],tblAccounts[NormalBalance],"")</f>
        <v>Debit</v>
      </c>
      <c r="N812" s="8" t="str">
        <f>_xlfn.XLOOKUP(tblFinancials[[#This Row],[DepartmentKey]],tblDepartments[DepartmentKey],tblDepartments[DepartmentName],"")</f>
        <v>Operations</v>
      </c>
      <c r="O812" s="8" t="str">
        <f>_xlfn.XLOOKUP(tblFinancials[[#This Row],[BusinessUnitKey]],tblBusinessUnits[BusinessUnitKey],tblBusinessUnits[BusinessUnitName],"")</f>
        <v>Wholesale</v>
      </c>
      <c r="P812" s="8" t="str">
        <f>_xlfn.XLOOKUP(tblFinancials[[#This Row],[RegionKey]],tblRegions[RegionKey],tblRegions[RegionName],"")</f>
        <v>West</v>
      </c>
    </row>
    <row r="813" spans="1:16">
      <c r="A813">
        <v>20241101</v>
      </c>
      <c r="B813">
        <v>4</v>
      </c>
      <c r="C813">
        <v>2</v>
      </c>
      <c r="D813">
        <v>2</v>
      </c>
      <c r="E813">
        <v>14</v>
      </c>
      <c r="F813" t="s">
        <v>92</v>
      </c>
      <c r="G813">
        <v>-18650.53</v>
      </c>
      <c r="H813">
        <f>_xlfn.XLOOKUP(tblFinancials[[#This Row],[DateKey]],tblCalendar[DateKey],tblCalendar[FullDate],"")</f>
        <v>45597</v>
      </c>
      <c r="I813">
        <f>_xlfn.XLOOKUP(tblFinancials[[#This Row],[AccountKey]],tblAccounts[AccountKey],tblAccounts[AccountNumber],"")</f>
        <v>5000</v>
      </c>
      <c r="J813" t="str">
        <f>_xlfn.XLOOKUP(tblFinancials[[#This Row],[AccountKey]],tblAccounts[AccountKey],tblAccounts[AccountName],"")</f>
        <v>Cost of Goods Sold</v>
      </c>
      <c r="K813" s="8" t="str">
        <f>_xlfn.XLOOKUP(tblFinancials[[#This Row],[AccountKey]],tblAccounts[AccountKey],tblAccounts[FinancialStatement],"")</f>
        <v>Income Statement</v>
      </c>
      <c r="L813" s="8" t="str">
        <f>_xlfn.XLOOKUP(tblFinancials[[#This Row],[AccountKey]],tblAccounts[AccountKey],tblAccounts[AccountCategory],"")</f>
        <v>Cost of Sales</v>
      </c>
      <c r="M813" s="8" t="str">
        <f>_xlfn.XLOOKUP(tblFinancials[[#This Row],[AccountKey]],tblAccounts[AccountKey],tblAccounts[NormalBalance],"")</f>
        <v>Debit</v>
      </c>
      <c r="N813" s="8" t="str">
        <f>_xlfn.XLOOKUP(tblFinancials[[#This Row],[DepartmentKey]],tblDepartments[DepartmentKey],tblDepartments[DepartmentName],"")</f>
        <v>Sales</v>
      </c>
      <c r="O813" s="8" t="str">
        <f>_xlfn.XLOOKUP(tblFinancials[[#This Row],[BusinessUnitKey]],tblBusinessUnits[BusinessUnitKey],tblBusinessUnits[BusinessUnitName],"")</f>
        <v>Wholesale</v>
      </c>
      <c r="P813" s="8" t="str">
        <f>_xlfn.XLOOKUP(tblFinancials[[#This Row],[RegionKey]],tblRegions[RegionKey],tblRegions[RegionName],"")</f>
        <v>Midwest</v>
      </c>
    </row>
    <row r="814" spans="1:16">
      <c r="A814">
        <v>20241101</v>
      </c>
      <c r="B814">
        <v>8</v>
      </c>
      <c r="C814">
        <v>1</v>
      </c>
      <c r="D814">
        <v>1</v>
      </c>
      <c r="E814">
        <v>14</v>
      </c>
      <c r="F814" t="s">
        <v>92</v>
      </c>
      <c r="G814">
        <v>-19844.45</v>
      </c>
      <c r="H814">
        <f>_xlfn.XLOOKUP(tblFinancials[[#This Row],[DateKey]],tblCalendar[DateKey],tblCalendar[FullDate],"")</f>
        <v>45597</v>
      </c>
      <c r="I814">
        <f>_xlfn.XLOOKUP(tblFinancials[[#This Row],[AccountKey]],tblAccounts[AccountKey],tblAccounts[AccountNumber],"")</f>
        <v>5000</v>
      </c>
      <c r="J814" t="str">
        <f>_xlfn.XLOOKUP(tblFinancials[[#This Row],[AccountKey]],tblAccounts[AccountKey],tblAccounts[AccountName],"")</f>
        <v>Cost of Goods Sold</v>
      </c>
      <c r="K814" s="8" t="str">
        <f>_xlfn.XLOOKUP(tblFinancials[[#This Row],[AccountKey]],tblAccounts[AccountKey],tblAccounts[FinancialStatement],"")</f>
        <v>Income Statement</v>
      </c>
      <c r="L814" s="8" t="str">
        <f>_xlfn.XLOOKUP(tblFinancials[[#This Row],[AccountKey]],tblAccounts[AccountKey],tblAccounts[AccountCategory],"")</f>
        <v>Cost of Sales</v>
      </c>
      <c r="M814" s="8" t="str">
        <f>_xlfn.XLOOKUP(tblFinancials[[#This Row],[AccountKey]],tblAccounts[AccountKey],tblAccounts[NormalBalance],"")</f>
        <v>Debit</v>
      </c>
      <c r="N814" s="8" t="str">
        <f>_xlfn.XLOOKUP(tblFinancials[[#This Row],[DepartmentKey]],tblDepartments[DepartmentKey],tblDepartments[DepartmentName],"")</f>
        <v>Customer Service</v>
      </c>
      <c r="O814" s="8" t="str">
        <f>_xlfn.XLOOKUP(tblFinancials[[#This Row],[BusinessUnitKey]],tblBusinessUnits[BusinessUnitKey],tblBusinessUnits[BusinessUnitName],"")</f>
        <v xml:space="preserve">Manufacturing </v>
      </c>
      <c r="P814" s="8" t="str">
        <f>_xlfn.XLOOKUP(tblFinancials[[#This Row],[RegionKey]],tblRegions[RegionKey],tblRegions[RegionName],"")</f>
        <v>West</v>
      </c>
    </row>
    <row r="815" spans="1:16">
      <c r="A815">
        <v>20241101</v>
      </c>
      <c r="B815">
        <v>3</v>
      </c>
      <c r="C815">
        <v>4</v>
      </c>
      <c r="D815">
        <v>4</v>
      </c>
      <c r="E815">
        <v>14</v>
      </c>
      <c r="F815" t="s">
        <v>92</v>
      </c>
      <c r="G815">
        <v>-18591.330000000002</v>
      </c>
      <c r="H815">
        <f>_xlfn.XLOOKUP(tblFinancials[[#This Row],[DateKey]],tblCalendar[DateKey],tblCalendar[FullDate],"")</f>
        <v>45597</v>
      </c>
      <c r="I815">
        <f>_xlfn.XLOOKUP(tblFinancials[[#This Row],[AccountKey]],tblAccounts[AccountKey],tblAccounts[AccountNumber],"")</f>
        <v>5000</v>
      </c>
      <c r="J815" t="str">
        <f>_xlfn.XLOOKUP(tblFinancials[[#This Row],[AccountKey]],tblAccounts[AccountKey],tblAccounts[AccountName],"")</f>
        <v>Cost of Goods Sold</v>
      </c>
      <c r="K815" s="8" t="str">
        <f>_xlfn.XLOOKUP(tblFinancials[[#This Row],[AccountKey]],tblAccounts[AccountKey],tblAccounts[FinancialStatement],"")</f>
        <v>Income Statement</v>
      </c>
      <c r="L815" s="8" t="str">
        <f>_xlfn.XLOOKUP(tblFinancials[[#This Row],[AccountKey]],tblAccounts[AccountKey],tblAccounts[AccountCategory],"")</f>
        <v>Cost of Sales</v>
      </c>
      <c r="M815" s="8" t="str">
        <f>_xlfn.XLOOKUP(tblFinancials[[#This Row],[AccountKey]],tblAccounts[AccountKey],tblAccounts[NormalBalance],"")</f>
        <v>Debit</v>
      </c>
      <c r="N815" s="8" t="str">
        <f>_xlfn.XLOOKUP(tblFinancials[[#This Row],[DepartmentKey]],tblDepartments[DepartmentKey],tblDepartments[DepartmentName],"")</f>
        <v>Human Resources</v>
      </c>
      <c r="O815" s="8" t="str">
        <f>_xlfn.XLOOKUP(tblFinancials[[#This Row],[BusinessUnitKey]],tblBusinessUnits[BusinessUnitKey],tblBusinessUnits[BusinessUnitName],"")</f>
        <v>E-Commerce</v>
      </c>
      <c r="P815" s="8" t="str">
        <f>_xlfn.XLOOKUP(tblFinancials[[#This Row],[RegionKey]],tblRegions[RegionKey],tblRegions[RegionName],"")</f>
        <v>East</v>
      </c>
    </row>
    <row r="816" spans="1:16">
      <c r="A816">
        <v>20241101</v>
      </c>
      <c r="B816">
        <v>6</v>
      </c>
      <c r="C816">
        <v>3</v>
      </c>
      <c r="D816">
        <v>1</v>
      </c>
      <c r="E816">
        <v>14</v>
      </c>
      <c r="F816" t="s">
        <v>92</v>
      </c>
      <c r="G816">
        <v>-19442.52</v>
      </c>
      <c r="H816">
        <f>_xlfn.XLOOKUP(tblFinancials[[#This Row],[DateKey]],tblCalendar[DateKey],tblCalendar[FullDate],"")</f>
        <v>45597</v>
      </c>
      <c r="I816">
        <f>_xlfn.XLOOKUP(tblFinancials[[#This Row],[AccountKey]],tblAccounts[AccountKey],tblAccounts[AccountNumber],"")</f>
        <v>5000</v>
      </c>
      <c r="J816" t="str">
        <f>_xlfn.XLOOKUP(tblFinancials[[#This Row],[AccountKey]],tblAccounts[AccountKey],tblAccounts[AccountName],"")</f>
        <v>Cost of Goods Sold</v>
      </c>
      <c r="K816" s="8" t="str">
        <f>_xlfn.XLOOKUP(tblFinancials[[#This Row],[AccountKey]],tblAccounts[AccountKey],tblAccounts[FinancialStatement],"")</f>
        <v>Income Statement</v>
      </c>
      <c r="L816" s="8" t="str">
        <f>_xlfn.XLOOKUP(tblFinancials[[#This Row],[AccountKey]],tblAccounts[AccountKey],tblAccounts[AccountCategory],"")</f>
        <v>Cost of Sales</v>
      </c>
      <c r="M816" s="8" t="str">
        <f>_xlfn.XLOOKUP(tblFinancials[[#This Row],[AccountKey]],tblAccounts[AccountKey],tblAccounts[NormalBalance],"")</f>
        <v>Debit</v>
      </c>
      <c r="N816" s="8" t="str">
        <f>_xlfn.XLOOKUP(tblFinancials[[#This Row],[DepartmentKey]],tblDepartments[DepartmentKey],tblDepartments[DepartmentName],"")</f>
        <v>Operations</v>
      </c>
      <c r="O816" s="8" t="str">
        <f>_xlfn.XLOOKUP(tblFinancials[[#This Row],[BusinessUnitKey]],tblBusinessUnits[BusinessUnitKey],tblBusinessUnits[BusinessUnitName],"")</f>
        <v>Retail</v>
      </c>
      <c r="P816" s="8" t="str">
        <f>_xlfn.XLOOKUP(tblFinancials[[#This Row],[RegionKey]],tblRegions[RegionKey],tblRegions[RegionName],"")</f>
        <v>West</v>
      </c>
    </row>
    <row r="817" spans="1:16">
      <c r="A817">
        <v>20241101</v>
      </c>
      <c r="B817">
        <v>4</v>
      </c>
      <c r="C817">
        <v>2</v>
      </c>
      <c r="D817">
        <v>4</v>
      </c>
      <c r="E817">
        <v>14</v>
      </c>
      <c r="F817" t="s">
        <v>92</v>
      </c>
      <c r="G817">
        <v>-20722.48</v>
      </c>
      <c r="H817">
        <f>_xlfn.XLOOKUP(tblFinancials[[#This Row],[DateKey]],tblCalendar[DateKey],tblCalendar[FullDate],"")</f>
        <v>45597</v>
      </c>
      <c r="I817">
        <f>_xlfn.XLOOKUP(tblFinancials[[#This Row],[AccountKey]],tblAccounts[AccountKey],tblAccounts[AccountNumber],"")</f>
        <v>5000</v>
      </c>
      <c r="J817" t="str">
        <f>_xlfn.XLOOKUP(tblFinancials[[#This Row],[AccountKey]],tblAccounts[AccountKey],tblAccounts[AccountName],"")</f>
        <v>Cost of Goods Sold</v>
      </c>
      <c r="K817" s="8" t="str">
        <f>_xlfn.XLOOKUP(tblFinancials[[#This Row],[AccountKey]],tblAccounts[AccountKey],tblAccounts[FinancialStatement],"")</f>
        <v>Income Statement</v>
      </c>
      <c r="L817" s="8" t="str">
        <f>_xlfn.XLOOKUP(tblFinancials[[#This Row],[AccountKey]],tblAccounts[AccountKey],tblAccounts[AccountCategory],"")</f>
        <v>Cost of Sales</v>
      </c>
      <c r="M817" s="8" t="str">
        <f>_xlfn.XLOOKUP(tblFinancials[[#This Row],[AccountKey]],tblAccounts[AccountKey],tblAccounts[NormalBalance],"")</f>
        <v>Debit</v>
      </c>
      <c r="N817" s="8" t="str">
        <f>_xlfn.XLOOKUP(tblFinancials[[#This Row],[DepartmentKey]],tblDepartments[DepartmentKey],tblDepartments[DepartmentName],"")</f>
        <v>Sales</v>
      </c>
      <c r="O817" s="8" t="str">
        <f>_xlfn.XLOOKUP(tblFinancials[[#This Row],[BusinessUnitKey]],tblBusinessUnits[BusinessUnitKey],tblBusinessUnits[BusinessUnitName],"")</f>
        <v>Wholesale</v>
      </c>
      <c r="P817" s="8" t="str">
        <f>_xlfn.XLOOKUP(tblFinancials[[#This Row],[RegionKey]],tblRegions[RegionKey],tblRegions[RegionName],"")</f>
        <v>East</v>
      </c>
    </row>
    <row r="818" spans="1:16">
      <c r="A818">
        <v>20241101</v>
      </c>
      <c r="B818">
        <v>4</v>
      </c>
      <c r="C818">
        <v>2</v>
      </c>
      <c r="D818">
        <v>2</v>
      </c>
      <c r="E818">
        <v>19</v>
      </c>
      <c r="F818" t="s">
        <v>92</v>
      </c>
      <c r="G818">
        <v>-7746.24</v>
      </c>
      <c r="H818">
        <f>_xlfn.XLOOKUP(tblFinancials[[#This Row],[DateKey]],tblCalendar[DateKey],tblCalendar[FullDate],"")</f>
        <v>45597</v>
      </c>
      <c r="I818">
        <f>_xlfn.XLOOKUP(tblFinancials[[#This Row],[AccountKey]],tblAccounts[AccountKey],tblAccounts[AccountNumber],"")</f>
        <v>6300</v>
      </c>
      <c r="J818" t="str">
        <f>_xlfn.XLOOKUP(tblFinancials[[#This Row],[AccountKey]],tblAccounts[AccountKey],tblAccounts[AccountName],"")</f>
        <v>Software Expense</v>
      </c>
      <c r="K818" s="8" t="str">
        <f>_xlfn.XLOOKUP(tblFinancials[[#This Row],[AccountKey]],tblAccounts[AccountKey],tblAccounts[FinancialStatement],"")</f>
        <v>Income Statement</v>
      </c>
      <c r="L818" s="8" t="str">
        <f>_xlfn.XLOOKUP(tblFinancials[[#This Row],[AccountKey]],tblAccounts[AccountKey],tblAccounts[AccountCategory],"")</f>
        <v>Operating Expense</v>
      </c>
      <c r="M818" s="8" t="str">
        <f>_xlfn.XLOOKUP(tblFinancials[[#This Row],[AccountKey]],tblAccounts[AccountKey],tblAccounts[NormalBalance],"")</f>
        <v>Debit</v>
      </c>
      <c r="N818" s="8" t="str">
        <f>_xlfn.XLOOKUP(tblFinancials[[#This Row],[DepartmentKey]],tblDepartments[DepartmentKey],tblDepartments[DepartmentName],"")</f>
        <v>Sales</v>
      </c>
      <c r="O818" s="8" t="str">
        <f>_xlfn.XLOOKUP(tblFinancials[[#This Row],[BusinessUnitKey]],tblBusinessUnits[BusinessUnitKey],tblBusinessUnits[BusinessUnitName],"")</f>
        <v>Wholesale</v>
      </c>
      <c r="P818" s="8" t="str">
        <f>_xlfn.XLOOKUP(tblFinancials[[#This Row],[RegionKey]],tblRegions[RegionKey],tblRegions[RegionName],"")</f>
        <v>Midwest</v>
      </c>
    </row>
    <row r="819" spans="1:16">
      <c r="A819">
        <v>20241101</v>
      </c>
      <c r="B819">
        <v>2</v>
      </c>
      <c r="C819">
        <v>3</v>
      </c>
      <c r="D819">
        <v>2</v>
      </c>
      <c r="E819">
        <v>21</v>
      </c>
      <c r="F819" t="s">
        <v>92</v>
      </c>
      <c r="G819">
        <v>-8645.4599999999991</v>
      </c>
      <c r="H819">
        <f>_xlfn.XLOOKUP(tblFinancials[[#This Row],[DateKey]],tblCalendar[DateKey],tblCalendar[FullDate],"")</f>
        <v>45597</v>
      </c>
      <c r="I819">
        <f>_xlfn.XLOOKUP(tblFinancials[[#This Row],[AccountKey]],tblAccounts[AccountKey],tblAccounts[AccountNumber],"")</f>
        <v>6600</v>
      </c>
      <c r="J819" t="str">
        <f>_xlfn.XLOOKUP(tblFinancials[[#This Row],[AccountKey]],tblAccounts[AccountKey],tblAccounts[AccountName],"")</f>
        <v>Utilities Expense</v>
      </c>
      <c r="K819" s="8" t="str">
        <f>_xlfn.XLOOKUP(tblFinancials[[#This Row],[AccountKey]],tblAccounts[AccountKey],tblAccounts[FinancialStatement],"")</f>
        <v>Income Statement</v>
      </c>
      <c r="L819" s="8" t="str">
        <f>_xlfn.XLOOKUP(tblFinancials[[#This Row],[AccountKey]],tblAccounts[AccountKey],tblAccounts[AccountCategory],"")</f>
        <v>Operating Expense</v>
      </c>
      <c r="M819" s="8" t="str">
        <f>_xlfn.XLOOKUP(tblFinancials[[#This Row],[AccountKey]],tblAccounts[AccountKey],tblAccounts[NormalBalance],"")</f>
        <v>Debit</v>
      </c>
      <c r="N819" s="8" t="str">
        <f>_xlfn.XLOOKUP(tblFinancials[[#This Row],[DepartmentKey]],tblDepartments[DepartmentKey],tblDepartments[DepartmentName],"")</f>
        <v>Finance</v>
      </c>
      <c r="O819" s="8" t="str">
        <f>_xlfn.XLOOKUP(tblFinancials[[#This Row],[BusinessUnitKey]],tblBusinessUnits[BusinessUnitKey],tblBusinessUnits[BusinessUnitName],"")</f>
        <v>Retail</v>
      </c>
      <c r="P819" s="8" t="str">
        <f>_xlfn.XLOOKUP(tblFinancials[[#This Row],[RegionKey]],tblRegions[RegionKey],tblRegions[RegionName],"")</f>
        <v>Midwest</v>
      </c>
    </row>
    <row r="820" spans="1:16">
      <c r="A820">
        <v>20241101</v>
      </c>
      <c r="B820">
        <v>7</v>
      </c>
      <c r="C820">
        <v>2</v>
      </c>
      <c r="D820">
        <v>1</v>
      </c>
      <c r="E820">
        <v>24</v>
      </c>
      <c r="F820" t="s">
        <v>92</v>
      </c>
      <c r="G820">
        <v>-7121.48</v>
      </c>
      <c r="H820">
        <f>_xlfn.XLOOKUP(tblFinancials[[#This Row],[DateKey]],tblCalendar[DateKey],tblCalendar[FullDate],"")</f>
        <v>45597</v>
      </c>
      <c r="I820">
        <f>_xlfn.XLOOKUP(tblFinancials[[#This Row],[AccountKey]],tblAccounts[AccountKey],tblAccounts[AccountNumber],"")</f>
        <v>6900</v>
      </c>
      <c r="J820" t="str">
        <f>_xlfn.XLOOKUP(tblFinancials[[#This Row],[AccountKey]],tblAccounts[AccountKey],tblAccounts[AccountName],"")</f>
        <v>Professional Services</v>
      </c>
      <c r="K820" s="8" t="str">
        <f>_xlfn.XLOOKUP(tblFinancials[[#This Row],[AccountKey]],tblAccounts[AccountKey],tblAccounts[FinancialStatement],"")</f>
        <v>Income Statement</v>
      </c>
      <c r="L820" s="8" t="str">
        <f>_xlfn.XLOOKUP(tblFinancials[[#This Row],[AccountKey]],tblAccounts[AccountKey],tblAccounts[AccountCategory],"")</f>
        <v>Operating Expense</v>
      </c>
      <c r="M820" s="8" t="str">
        <f>_xlfn.XLOOKUP(tblFinancials[[#This Row],[AccountKey]],tblAccounts[AccountKey],tblAccounts[NormalBalance],"")</f>
        <v>Debit</v>
      </c>
      <c r="N820" s="8" t="str">
        <f>_xlfn.XLOOKUP(tblFinancials[[#This Row],[DepartmentKey]],tblDepartments[DepartmentKey],tblDepartments[DepartmentName],"")</f>
        <v>Information Technology</v>
      </c>
      <c r="O820" s="8" t="str">
        <f>_xlfn.XLOOKUP(tblFinancials[[#This Row],[BusinessUnitKey]],tblBusinessUnits[BusinessUnitKey],tblBusinessUnits[BusinessUnitName],"")</f>
        <v>Wholesale</v>
      </c>
      <c r="P820" s="8" t="str">
        <f>_xlfn.XLOOKUP(tblFinancials[[#This Row],[RegionKey]],tblRegions[RegionKey],tblRegions[RegionName],"")</f>
        <v>West</v>
      </c>
    </row>
    <row r="821" spans="1:16">
      <c r="A821">
        <v>20241101</v>
      </c>
      <c r="B821">
        <v>1</v>
      </c>
      <c r="C821">
        <v>1</v>
      </c>
      <c r="D821">
        <v>4</v>
      </c>
      <c r="E821">
        <v>21</v>
      </c>
      <c r="F821" t="s">
        <v>92</v>
      </c>
      <c r="G821">
        <v>-8008.84</v>
      </c>
      <c r="H821">
        <f>_xlfn.XLOOKUP(tblFinancials[[#This Row],[DateKey]],tblCalendar[DateKey],tblCalendar[FullDate],"")</f>
        <v>45597</v>
      </c>
      <c r="I821">
        <f>_xlfn.XLOOKUP(tblFinancials[[#This Row],[AccountKey]],tblAccounts[AccountKey],tblAccounts[AccountNumber],"")</f>
        <v>6600</v>
      </c>
      <c r="J821" t="str">
        <f>_xlfn.XLOOKUP(tblFinancials[[#This Row],[AccountKey]],tblAccounts[AccountKey],tblAccounts[AccountName],"")</f>
        <v>Utilities Expense</v>
      </c>
      <c r="K821" s="8" t="str">
        <f>_xlfn.XLOOKUP(tblFinancials[[#This Row],[AccountKey]],tblAccounts[AccountKey],tblAccounts[FinancialStatement],"")</f>
        <v>Income Statement</v>
      </c>
      <c r="L821" s="8" t="str">
        <f>_xlfn.XLOOKUP(tblFinancials[[#This Row],[AccountKey]],tblAccounts[AccountKey],tblAccounts[AccountCategory],"")</f>
        <v>Operating Expense</v>
      </c>
      <c r="M821" s="8" t="str">
        <f>_xlfn.XLOOKUP(tblFinancials[[#This Row],[AccountKey]],tblAccounts[AccountKey],tblAccounts[NormalBalance],"")</f>
        <v>Debit</v>
      </c>
      <c r="N821" s="8" t="str">
        <f>_xlfn.XLOOKUP(tblFinancials[[#This Row],[DepartmentKey]],tblDepartments[DepartmentKey],tblDepartments[DepartmentName],"")</f>
        <v>Executive</v>
      </c>
      <c r="O821" s="8" t="str">
        <f>_xlfn.XLOOKUP(tblFinancials[[#This Row],[BusinessUnitKey]],tblBusinessUnits[BusinessUnitKey],tblBusinessUnits[BusinessUnitName],"")</f>
        <v xml:space="preserve">Manufacturing </v>
      </c>
      <c r="P821" s="8" t="str">
        <f>_xlfn.XLOOKUP(tblFinancials[[#This Row],[RegionKey]],tblRegions[RegionKey],tblRegions[RegionName],"")</f>
        <v>East</v>
      </c>
    </row>
    <row r="822" spans="1:16">
      <c r="A822">
        <v>20241101</v>
      </c>
      <c r="B822">
        <v>3</v>
      </c>
      <c r="C822">
        <v>2</v>
      </c>
      <c r="D822">
        <v>2</v>
      </c>
      <c r="E822">
        <v>22</v>
      </c>
      <c r="F822" t="s">
        <v>92</v>
      </c>
      <c r="G822">
        <v>-7842.96</v>
      </c>
      <c r="H822">
        <f>_xlfn.XLOOKUP(tblFinancials[[#This Row],[DateKey]],tblCalendar[DateKey],tblCalendar[FullDate],"")</f>
        <v>45597</v>
      </c>
      <c r="I822">
        <f>_xlfn.XLOOKUP(tblFinancials[[#This Row],[AccountKey]],tblAccounts[AccountKey],tblAccounts[AccountNumber],"")</f>
        <v>6700</v>
      </c>
      <c r="J822" t="str">
        <f>_xlfn.XLOOKUP(tblFinancials[[#This Row],[AccountKey]],tblAccounts[AccountKey],tblAccounts[AccountName],"")</f>
        <v>Insurance Expense</v>
      </c>
      <c r="K822" s="8" t="str">
        <f>_xlfn.XLOOKUP(tblFinancials[[#This Row],[AccountKey]],tblAccounts[AccountKey],tblAccounts[FinancialStatement],"")</f>
        <v>Income Statement</v>
      </c>
      <c r="L822" s="8" t="str">
        <f>_xlfn.XLOOKUP(tblFinancials[[#This Row],[AccountKey]],tblAccounts[AccountKey],tblAccounts[AccountCategory],"")</f>
        <v>Operating Expense</v>
      </c>
      <c r="M822" s="8" t="str">
        <f>_xlfn.XLOOKUP(tblFinancials[[#This Row],[AccountKey]],tblAccounts[AccountKey],tblAccounts[NormalBalance],"")</f>
        <v>Debit</v>
      </c>
      <c r="N822" s="8" t="str">
        <f>_xlfn.XLOOKUP(tblFinancials[[#This Row],[DepartmentKey]],tblDepartments[DepartmentKey],tblDepartments[DepartmentName],"")</f>
        <v>Human Resources</v>
      </c>
      <c r="O822" s="8" t="str">
        <f>_xlfn.XLOOKUP(tblFinancials[[#This Row],[BusinessUnitKey]],tblBusinessUnits[BusinessUnitKey],tblBusinessUnits[BusinessUnitName],"")</f>
        <v>Wholesale</v>
      </c>
      <c r="P822" s="8" t="str">
        <f>_xlfn.XLOOKUP(tblFinancials[[#This Row],[RegionKey]],tblRegions[RegionKey],tblRegions[RegionName],"")</f>
        <v>Midwest</v>
      </c>
    </row>
    <row r="823" spans="1:16">
      <c r="A823">
        <v>20241101</v>
      </c>
      <c r="B823">
        <v>3</v>
      </c>
      <c r="C823">
        <v>4</v>
      </c>
      <c r="D823">
        <v>4</v>
      </c>
      <c r="E823">
        <v>19</v>
      </c>
      <c r="F823" t="s">
        <v>92</v>
      </c>
      <c r="G823">
        <v>-7777.99</v>
      </c>
      <c r="H823">
        <f>_xlfn.XLOOKUP(tblFinancials[[#This Row],[DateKey]],tblCalendar[DateKey],tblCalendar[FullDate],"")</f>
        <v>45597</v>
      </c>
      <c r="I823">
        <f>_xlfn.XLOOKUP(tblFinancials[[#This Row],[AccountKey]],tblAccounts[AccountKey],tblAccounts[AccountNumber],"")</f>
        <v>6300</v>
      </c>
      <c r="J823" t="str">
        <f>_xlfn.XLOOKUP(tblFinancials[[#This Row],[AccountKey]],tblAccounts[AccountKey],tblAccounts[AccountName],"")</f>
        <v>Software Expense</v>
      </c>
      <c r="K823" s="8" t="str">
        <f>_xlfn.XLOOKUP(tblFinancials[[#This Row],[AccountKey]],tblAccounts[AccountKey],tblAccounts[FinancialStatement],"")</f>
        <v>Income Statement</v>
      </c>
      <c r="L823" s="8" t="str">
        <f>_xlfn.XLOOKUP(tblFinancials[[#This Row],[AccountKey]],tblAccounts[AccountKey],tblAccounts[AccountCategory],"")</f>
        <v>Operating Expense</v>
      </c>
      <c r="M823" s="8" t="str">
        <f>_xlfn.XLOOKUP(tblFinancials[[#This Row],[AccountKey]],tblAccounts[AccountKey],tblAccounts[NormalBalance],"")</f>
        <v>Debit</v>
      </c>
      <c r="N823" s="8" t="str">
        <f>_xlfn.XLOOKUP(tblFinancials[[#This Row],[DepartmentKey]],tblDepartments[DepartmentKey],tblDepartments[DepartmentName],"")</f>
        <v>Human Resources</v>
      </c>
      <c r="O823" s="8" t="str">
        <f>_xlfn.XLOOKUP(tblFinancials[[#This Row],[BusinessUnitKey]],tblBusinessUnits[BusinessUnitKey],tblBusinessUnits[BusinessUnitName],"")</f>
        <v>E-Commerce</v>
      </c>
      <c r="P823" s="8" t="str">
        <f>_xlfn.XLOOKUP(tblFinancials[[#This Row],[RegionKey]],tblRegions[RegionKey],tblRegions[RegionName],"")</f>
        <v>East</v>
      </c>
    </row>
    <row r="824" spans="1:16">
      <c r="A824">
        <v>20241101</v>
      </c>
      <c r="B824">
        <v>1</v>
      </c>
      <c r="C824">
        <v>2</v>
      </c>
      <c r="D824">
        <v>3</v>
      </c>
      <c r="E824">
        <v>20</v>
      </c>
      <c r="F824" t="s">
        <v>92</v>
      </c>
      <c r="G824">
        <v>-7357.33</v>
      </c>
      <c r="H824">
        <f>_xlfn.XLOOKUP(tblFinancials[[#This Row],[DateKey]],tblCalendar[DateKey],tblCalendar[FullDate],"")</f>
        <v>45597</v>
      </c>
      <c r="I824">
        <f>_xlfn.XLOOKUP(tblFinancials[[#This Row],[AccountKey]],tblAccounts[AccountKey],tblAccounts[AccountNumber],"")</f>
        <v>6500</v>
      </c>
      <c r="J824" t="str">
        <f>_xlfn.XLOOKUP(tblFinancials[[#This Row],[AccountKey]],tblAccounts[AccountKey],tblAccounts[AccountName],"")</f>
        <v>Rent Expense</v>
      </c>
      <c r="K824" s="8" t="str">
        <f>_xlfn.XLOOKUP(tblFinancials[[#This Row],[AccountKey]],tblAccounts[AccountKey],tblAccounts[FinancialStatement],"")</f>
        <v>Income Statement</v>
      </c>
      <c r="L824" s="8" t="str">
        <f>_xlfn.XLOOKUP(tblFinancials[[#This Row],[AccountKey]],tblAccounts[AccountKey],tblAccounts[AccountCategory],"")</f>
        <v>Operating Expense</v>
      </c>
      <c r="M824" s="8" t="str">
        <f>_xlfn.XLOOKUP(tblFinancials[[#This Row],[AccountKey]],tblAccounts[AccountKey],tblAccounts[NormalBalance],"")</f>
        <v>Debit</v>
      </c>
      <c r="N824" s="8" t="str">
        <f>_xlfn.XLOOKUP(tblFinancials[[#This Row],[DepartmentKey]],tblDepartments[DepartmentKey],tblDepartments[DepartmentName],"")</f>
        <v>Executive</v>
      </c>
      <c r="O824" s="8" t="str">
        <f>_xlfn.XLOOKUP(tblFinancials[[#This Row],[BusinessUnitKey]],tblBusinessUnits[BusinessUnitKey],tblBusinessUnits[BusinessUnitName],"")</f>
        <v>Wholesale</v>
      </c>
      <c r="P824" s="8" t="str">
        <f>_xlfn.XLOOKUP(tblFinancials[[#This Row],[RegionKey]],tblRegions[RegionKey],tblRegions[RegionName],"")</f>
        <v>South</v>
      </c>
    </row>
    <row r="825" spans="1:16">
      <c r="A825">
        <v>20241101</v>
      </c>
      <c r="B825">
        <v>1</v>
      </c>
      <c r="C825">
        <v>1</v>
      </c>
      <c r="D825">
        <v>2</v>
      </c>
      <c r="E825">
        <v>22</v>
      </c>
      <c r="F825" t="s">
        <v>92</v>
      </c>
      <c r="G825">
        <v>-7994.42</v>
      </c>
      <c r="H825">
        <f>_xlfn.XLOOKUP(tblFinancials[[#This Row],[DateKey]],tblCalendar[DateKey],tblCalendar[FullDate],"")</f>
        <v>45597</v>
      </c>
      <c r="I825">
        <f>_xlfn.XLOOKUP(tblFinancials[[#This Row],[AccountKey]],tblAccounts[AccountKey],tblAccounts[AccountNumber],"")</f>
        <v>6700</v>
      </c>
      <c r="J825" t="str">
        <f>_xlfn.XLOOKUP(tblFinancials[[#This Row],[AccountKey]],tblAccounts[AccountKey],tblAccounts[AccountName],"")</f>
        <v>Insurance Expense</v>
      </c>
      <c r="K825" s="8" t="str">
        <f>_xlfn.XLOOKUP(tblFinancials[[#This Row],[AccountKey]],tblAccounts[AccountKey],tblAccounts[FinancialStatement],"")</f>
        <v>Income Statement</v>
      </c>
      <c r="L825" s="8" t="str">
        <f>_xlfn.XLOOKUP(tblFinancials[[#This Row],[AccountKey]],tblAccounts[AccountKey],tblAccounts[AccountCategory],"")</f>
        <v>Operating Expense</v>
      </c>
      <c r="M825" s="8" t="str">
        <f>_xlfn.XLOOKUP(tblFinancials[[#This Row],[AccountKey]],tblAccounts[AccountKey],tblAccounts[NormalBalance],"")</f>
        <v>Debit</v>
      </c>
      <c r="N825" s="8" t="str">
        <f>_xlfn.XLOOKUP(tblFinancials[[#This Row],[DepartmentKey]],tblDepartments[DepartmentKey],tblDepartments[DepartmentName],"")</f>
        <v>Executive</v>
      </c>
      <c r="O825" s="8" t="str">
        <f>_xlfn.XLOOKUP(tblFinancials[[#This Row],[BusinessUnitKey]],tblBusinessUnits[BusinessUnitKey],tblBusinessUnits[BusinessUnitName],"")</f>
        <v xml:space="preserve">Manufacturing </v>
      </c>
      <c r="P825" s="8" t="str">
        <f>_xlfn.XLOOKUP(tblFinancials[[#This Row],[RegionKey]],tblRegions[RegionKey],tblRegions[RegionName],"")</f>
        <v>Midwest</v>
      </c>
    </row>
    <row r="826" spans="1:16">
      <c r="A826">
        <v>20241101</v>
      </c>
      <c r="B826">
        <v>5</v>
      </c>
      <c r="C826">
        <v>4</v>
      </c>
      <c r="D826">
        <v>1</v>
      </c>
      <c r="E826">
        <v>21</v>
      </c>
      <c r="F826" t="s">
        <v>92</v>
      </c>
      <c r="G826">
        <v>-7928.29</v>
      </c>
      <c r="H826">
        <f>_xlfn.XLOOKUP(tblFinancials[[#This Row],[DateKey]],tblCalendar[DateKey],tblCalendar[FullDate],"")</f>
        <v>45597</v>
      </c>
      <c r="I826">
        <f>_xlfn.XLOOKUP(tblFinancials[[#This Row],[AccountKey]],tblAccounts[AccountKey],tblAccounts[AccountNumber],"")</f>
        <v>6600</v>
      </c>
      <c r="J826" t="str">
        <f>_xlfn.XLOOKUP(tblFinancials[[#This Row],[AccountKey]],tblAccounts[AccountKey],tblAccounts[AccountName],"")</f>
        <v>Utilities Expense</v>
      </c>
      <c r="K826" s="8" t="str">
        <f>_xlfn.XLOOKUP(tblFinancials[[#This Row],[AccountKey]],tblAccounts[AccountKey],tblAccounts[FinancialStatement],"")</f>
        <v>Income Statement</v>
      </c>
      <c r="L826" s="8" t="str">
        <f>_xlfn.XLOOKUP(tblFinancials[[#This Row],[AccountKey]],tblAccounts[AccountKey],tblAccounts[AccountCategory],"")</f>
        <v>Operating Expense</v>
      </c>
      <c r="M826" s="8" t="str">
        <f>_xlfn.XLOOKUP(tblFinancials[[#This Row],[AccountKey]],tblAccounts[AccountKey],tblAccounts[NormalBalance],"")</f>
        <v>Debit</v>
      </c>
      <c r="N826" s="8" t="str">
        <f>_xlfn.XLOOKUP(tblFinancials[[#This Row],[DepartmentKey]],tblDepartments[DepartmentKey],tblDepartments[DepartmentName],"")</f>
        <v>Marketing</v>
      </c>
      <c r="O826" s="8" t="str">
        <f>_xlfn.XLOOKUP(tblFinancials[[#This Row],[BusinessUnitKey]],tblBusinessUnits[BusinessUnitKey],tblBusinessUnits[BusinessUnitName],"")</f>
        <v>E-Commerce</v>
      </c>
      <c r="P826" s="8" t="str">
        <f>_xlfn.XLOOKUP(tblFinancials[[#This Row],[RegionKey]],tblRegions[RegionKey],tblRegions[RegionName],"")</f>
        <v>West</v>
      </c>
    </row>
    <row r="827" spans="1:16">
      <c r="A827">
        <v>20241101</v>
      </c>
      <c r="B827">
        <v>5</v>
      </c>
      <c r="C827">
        <v>3</v>
      </c>
      <c r="D827">
        <v>4</v>
      </c>
      <c r="E827">
        <v>18</v>
      </c>
      <c r="F827" t="s">
        <v>92</v>
      </c>
      <c r="G827">
        <v>-8106.95</v>
      </c>
      <c r="H827">
        <f>_xlfn.XLOOKUP(tblFinancials[[#This Row],[DateKey]],tblCalendar[DateKey],tblCalendar[FullDate],"")</f>
        <v>45597</v>
      </c>
      <c r="I827">
        <f>_xlfn.XLOOKUP(tblFinancials[[#This Row],[AccountKey]],tblAccounts[AccountKey],tblAccounts[AccountNumber],"")</f>
        <v>6200</v>
      </c>
      <c r="J827" t="str">
        <f>_xlfn.XLOOKUP(tblFinancials[[#This Row],[AccountKey]],tblAccounts[AccountKey],tblAccounts[AccountName],"")</f>
        <v>Marketing Expense</v>
      </c>
      <c r="K827" s="8" t="str">
        <f>_xlfn.XLOOKUP(tblFinancials[[#This Row],[AccountKey]],tblAccounts[AccountKey],tblAccounts[FinancialStatement],"")</f>
        <v>Income Statement</v>
      </c>
      <c r="L827" s="8" t="str">
        <f>_xlfn.XLOOKUP(tblFinancials[[#This Row],[AccountKey]],tblAccounts[AccountKey],tblAccounts[AccountCategory],"")</f>
        <v>Operating Expense</v>
      </c>
      <c r="M827" s="8" t="str">
        <f>_xlfn.XLOOKUP(tblFinancials[[#This Row],[AccountKey]],tblAccounts[AccountKey],tblAccounts[NormalBalance],"")</f>
        <v>Debit</v>
      </c>
      <c r="N827" s="8" t="str">
        <f>_xlfn.XLOOKUP(tblFinancials[[#This Row],[DepartmentKey]],tblDepartments[DepartmentKey],tblDepartments[DepartmentName],"")</f>
        <v>Marketing</v>
      </c>
      <c r="O827" s="8" t="str">
        <f>_xlfn.XLOOKUP(tblFinancials[[#This Row],[BusinessUnitKey]],tblBusinessUnits[BusinessUnitKey],tblBusinessUnits[BusinessUnitName],"")</f>
        <v>Retail</v>
      </c>
      <c r="P827" s="8" t="str">
        <f>_xlfn.XLOOKUP(tblFinancials[[#This Row],[RegionKey]],tblRegions[RegionKey],tblRegions[RegionName],"")</f>
        <v>East</v>
      </c>
    </row>
    <row r="828" spans="1:16">
      <c r="A828">
        <v>20241101</v>
      </c>
      <c r="B828">
        <v>5</v>
      </c>
      <c r="C828">
        <v>1</v>
      </c>
      <c r="D828">
        <v>2</v>
      </c>
      <c r="E828">
        <v>20</v>
      </c>
      <c r="F828" t="s">
        <v>92</v>
      </c>
      <c r="G828">
        <v>-7090.49</v>
      </c>
      <c r="H828">
        <f>_xlfn.XLOOKUP(tblFinancials[[#This Row],[DateKey]],tblCalendar[DateKey],tblCalendar[FullDate],"")</f>
        <v>45597</v>
      </c>
      <c r="I828">
        <f>_xlfn.XLOOKUP(tblFinancials[[#This Row],[AccountKey]],tblAccounts[AccountKey],tblAccounts[AccountNumber],"")</f>
        <v>6500</v>
      </c>
      <c r="J828" t="str">
        <f>_xlfn.XLOOKUP(tblFinancials[[#This Row],[AccountKey]],tblAccounts[AccountKey],tblAccounts[AccountName],"")</f>
        <v>Rent Expense</v>
      </c>
      <c r="K828" s="8" t="str">
        <f>_xlfn.XLOOKUP(tblFinancials[[#This Row],[AccountKey]],tblAccounts[AccountKey],tblAccounts[FinancialStatement],"")</f>
        <v>Income Statement</v>
      </c>
      <c r="L828" s="8" t="str">
        <f>_xlfn.XLOOKUP(tblFinancials[[#This Row],[AccountKey]],tblAccounts[AccountKey],tblAccounts[AccountCategory],"")</f>
        <v>Operating Expense</v>
      </c>
      <c r="M828" s="8" t="str">
        <f>_xlfn.XLOOKUP(tblFinancials[[#This Row],[AccountKey]],tblAccounts[AccountKey],tblAccounts[NormalBalance],"")</f>
        <v>Debit</v>
      </c>
      <c r="N828" s="8" t="str">
        <f>_xlfn.XLOOKUP(tblFinancials[[#This Row],[DepartmentKey]],tblDepartments[DepartmentKey],tblDepartments[DepartmentName],"")</f>
        <v>Marketing</v>
      </c>
      <c r="O828" s="8" t="str">
        <f>_xlfn.XLOOKUP(tblFinancials[[#This Row],[BusinessUnitKey]],tblBusinessUnits[BusinessUnitKey],tblBusinessUnits[BusinessUnitName],"")</f>
        <v xml:space="preserve">Manufacturing </v>
      </c>
      <c r="P828" s="8" t="str">
        <f>_xlfn.XLOOKUP(tblFinancials[[#This Row],[RegionKey]],tblRegions[RegionKey],tblRegions[RegionName],"")</f>
        <v>Midwest</v>
      </c>
    </row>
    <row r="829" spans="1:16">
      <c r="A829">
        <v>20241101</v>
      </c>
      <c r="B829">
        <v>6</v>
      </c>
      <c r="C829">
        <v>4</v>
      </c>
      <c r="D829">
        <v>3</v>
      </c>
      <c r="E829">
        <v>18</v>
      </c>
      <c r="F829" t="s">
        <v>92</v>
      </c>
      <c r="G829">
        <v>-8901.49</v>
      </c>
      <c r="H829">
        <f>_xlfn.XLOOKUP(tblFinancials[[#This Row],[DateKey]],tblCalendar[DateKey],tblCalendar[FullDate],"")</f>
        <v>45597</v>
      </c>
      <c r="I829">
        <f>_xlfn.XLOOKUP(tblFinancials[[#This Row],[AccountKey]],tblAccounts[AccountKey],tblAccounts[AccountNumber],"")</f>
        <v>6200</v>
      </c>
      <c r="J829" t="str">
        <f>_xlfn.XLOOKUP(tblFinancials[[#This Row],[AccountKey]],tblAccounts[AccountKey],tblAccounts[AccountName],"")</f>
        <v>Marketing Expense</v>
      </c>
      <c r="K829" s="8" t="str">
        <f>_xlfn.XLOOKUP(tblFinancials[[#This Row],[AccountKey]],tblAccounts[AccountKey],tblAccounts[FinancialStatement],"")</f>
        <v>Income Statement</v>
      </c>
      <c r="L829" s="8" t="str">
        <f>_xlfn.XLOOKUP(tblFinancials[[#This Row],[AccountKey]],tblAccounts[AccountKey],tblAccounts[AccountCategory],"")</f>
        <v>Operating Expense</v>
      </c>
      <c r="M829" s="8" t="str">
        <f>_xlfn.XLOOKUP(tblFinancials[[#This Row],[AccountKey]],tblAccounts[AccountKey],tblAccounts[NormalBalance],"")</f>
        <v>Debit</v>
      </c>
      <c r="N829" s="8" t="str">
        <f>_xlfn.XLOOKUP(tblFinancials[[#This Row],[DepartmentKey]],tblDepartments[DepartmentKey],tblDepartments[DepartmentName],"")</f>
        <v>Operations</v>
      </c>
      <c r="O829" s="8" t="str">
        <f>_xlfn.XLOOKUP(tblFinancials[[#This Row],[BusinessUnitKey]],tblBusinessUnits[BusinessUnitKey],tblBusinessUnits[BusinessUnitName],"")</f>
        <v>E-Commerce</v>
      </c>
      <c r="P829" s="8" t="str">
        <f>_xlfn.XLOOKUP(tblFinancials[[#This Row],[RegionKey]],tblRegions[RegionKey],tblRegions[RegionName],"")</f>
        <v>South</v>
      </c>
    </row>
    <row r="830" spans="1:16">
      <c r="A830">
        <v>20241201</v>
      </c>
      <c r="B830">
        <v>5</v>
      </c>
      <c r="C830">
        <v>3</v>
      </c>
      <c r="D830">
        <v>3</v>
      </c>
      <c r="E830">
        <v>13</v>
      </c>
      <c r="F830" t="s">
        <v>92</v>
      </c>
      <c r="G830">
        <v>35361.17</v>
      </c>
      <c r="H830">
        <f>_xlfn.XLOOKUP(tblFinancials[[#This Row],[DateKey]],tblCalendar[DateKey],tblCalendar[FullDate],"")</f>
        <v>45627</v>
      </c>
      <c r="I830">
        <f>_xlfn.XLOOKUP(tblFinancials[[#This Row],[AccountKey]],tblAccounts[AccountKey],tblAccounts[AccountNumber],"")</f>
        <v>4020</v>
      </c>
      <c r="J830" t="str">
        <f>_xlfn.XLOOKUP(tblFinancials[[#This Row],[AccountKey]],tblAccounts[AccountKey],tblAccounts[AccountName],"")</f>
        <v>Online Revenue</v>
      </c>
      <c r="K830" s="8" t="str">
        <f>_xlfn.XLOOKUP(tblFinancials[[#This Row],[AccountKey]],tblAccounts[AccountKey],tblAccounts[FinancialStatement],"")</f>
        <v>Income Statement</v>
      </c>
      <c r="L830" s="8" t="str">
        <f>_xlfn.XLOOKUP(tblFinancials[[#This Row],[AccountKey]],tblAccounts[AccountKey],tblAccounts[AccountCategory],"")</f>
        <v>Revenue</v>
      </c>
      <c r="M830" s="8" t="str">
        <f>_xlfn.XLOOKUP(tblFinancials[[#This Row],[AccountKey]],tblAccounts[AccountKey],tblAccounts[NormalBalance],"")</f>
        <v>Credit</v>
      </c>
      <c r="N830" s="8" t="str">
        <f>_xlfn.XLOOKUP(tblFinancials[[#This Row],[DepartmentKey]],tblDepartments[DepartmentKey],tblDepartments[DepartmentName],"")</f>
        <v>Marketing</v>
      </c>
      <c r="O830" s="8" t="str">
        <f>_xlfn.XLOOKUP(tblFinancials[[#This Row],[BusinessUnitKey]],tblBusinessUnits[BusinessUnitKey],tblBusinessUnits[BusinessUnitName],"")</f>
        <v>Retail</v>
      </c>
      <c r="P830" s="8" t="str">
        <f>_xlfn.XLOOKUP(tblFinancials[[#This Row],[RegionKey]],tblRegions[RegionKey],tblRegions[RegionName],"")</f>
        <v>South</v>
      </c>
    </row>
    <row r="831" spans="1:16">
      <c r="A831">
        <v>20241201</v>
      </c>
      <c r="B831">
        <v>6</v>
      </c>
      <c r="C831">
        <v>2</v>
      </c>
      <c r="D831">
        <v>3</v>
      </c>
      <c r="E831">
        <v>12</v>
      </c>
      <c r="F831" t="s">
        <v>92</v>
      </c>
      <c r="G831">
        <v>35831.120000000003</v>
      </c>
      <c r="H831">
        <f>_xlfn.XLOOKUP(tblFinancials[[#This Row],[DateKey]],tblCalendar[DateKey],tblCalendar[FullDate],"")</f>
        <v>45627</v>
      </c>
      <c r="I831">
        <f>_xlfn.XLOOKUP(tblFinancials[[#This Row],[AccountKey]],tblAccounts[AccountKey],tblAccounts[AccountNumber],"")</f>
        <v>4010</v>
      </c>
      <c r="J831" t="str">
        <f>_xlfn.XLOOKUP(tblFinancials[[#This Row],[AccountKey]],tblAccounts[AccountKey],tblAccounts[AccountName],"")</f>
        <v>Service Revenue</v>
      </c>
      <c r="K831" s="8" t="str">
        <f>_xlfn.XLOOKUP(tblFinancials[[#This Row],[AccountKey]],tblAccounts[AccountKey],tblAccounts[FinancialStatement],"")</f>
        <v>Income Statement</v>
      </c>
      <c r="L831" s="8" t="str">
        <f>_xlfn.XLOOKUP(tblFinancials[[#This Row],[AccountKey]],tblAccounts[AccountKey],tblAccounts[AccountCategory],"")</f>
        <v>Revenue</v>
      </c>
      <c r="M831" s="8" t="str">
        <f>_xlfn.XLOOKUP(tblFinancials[[#This Row],[AccountKey]],tblAccounts[AccountKey],tblAccounts[NormalBalance],"")</f>
        <v>Credit</v>
      </c>
      <c r="N831" s="8" t="str">
        <f>_xlfn.XLOOKUP(tblFinancials[[#This Row],[DepartmentKey]],tblDepartments[DepartmentKey],tblDepartments[DepartmentName],"")</f>
        <v>Operations</v>
      </c>
      <c r="O831" s="8" t="str">
        <f>_xlfn.XLOOKUP(tblFinancials[[#This Row],[BusinessUnitKey]],tblBusinessUnits[BusinessUnitKey],tblBusinessUnits[BusinessUnitName],"")</f>
        <v>Wholesale</v>
      </c>
      <c r="P831" s="8" t="str">
        <f>_xlfn.XLOOKUP(tblFinancials[[#This Row],[RegionKey]],tblRegions[RegionKey],tblRegions[RegionName],"")</f>
        <v>South</v>
      </c>
    </row>
    <row r="832" spans="1:16">
      <c r="A832">
        <v>20241201</v>
      </c>
      <c r="B832">
        <v>5</v>
      </c>
      <c r="C832">
        <v>2</v>
      </c>
      <c r="D832">
        <v>3</v>
      </c>
      <c r="E832">
        <v>12</v>
      </c>
      <c r="F832" t="s">
        <v>92</v>
      </c>
      <c r="G832">
        <v>36722.660000000003</v>
      </c>
      <c r="H832">
        <f>_xlfn.XLOOKUP(tblFinancials[[#This Row],[DateKey]],tblCalendar[DateKey],tblCalendar[FullDate],"")</f>
        <v>45627</v>
      </c>
      <c r="I832">
        <f>_xlfn.XLOOKUP(tblFinancials[[#This Row],[AccountKey]],tblAccounts[AccountKey],tblAccounts[AccountNumber],"")</f>
        <v>4010</v>
      </c>
      <c r="J832" t="str">
        <f>_xlfn.XLOOKUP(tblFinancials[[#This Row],[AccountKey]],tblAccounts[AccountKey],tblAccounts[AccountName],"")</f>
        <v>Service Revenue</v>
      </c>
      <c r="K832" s="8" t="str">
        <f>_xlfn.XLOOKUP(tblFinancials[[#This Row],[AccountKey]],tblAccounts[AccountKey],tblAccounts[FinancialStatement],"")</f>
        <v>Income Statement</v>
      </c>
      <c r="L832" s="8" t="str">
        <f>_xlfn.XLOOKUP(tblFinancials[[#This Row],[AccountKey]],tblAccounts[AccountKey],tblAccounts[AccountCategory],"")</f>
        <v>Revenue</v>
      </c>
      <c r="M832" s="8" t="str">
        <f>_xlfn.XLOOKUP(tblFinancials[[#This Row],[AccountKey]],tblAccounts[AccountKey],tblAccounts[NormalBalance],"")</f>
        <v>Credit</v>
      </c>
      <c r="N832" s="8" t="str">
        <f>_xlfn.XLOOKUP(tblFinancials[[#This Row],[DepartmentKey]],tblDepartments[DepartmentKey],tblDepartments[DepartmentName],"")</f>
        <v>Marketing</v>
      </c>
      <c r="O832" s="8" t="str">
        <f>_xlfn.XLOOKUP(tblFinancials[[#This Row],[BusinessUnitKey]],tblBusinessUnits[BusinessUnitKey],tblBusinessUnits[BusinessUnitName],"")</f>
        <v>Wholesale</v>
      </c>
      <c r="P832" s="8" t="str">
        <f>_xlfn.XLOOKUP(tblFinancials[[#This Row],[RegionKey]],tblRegions[RegionKey],tblRegions[RegionName],"")</f>
        <v>South</v>
      </c>
    </row>
    <row r="833" spans="1:16">
      <c r="A833">
        <v>20241201</v>
      </c>
      <c r="B833">
        <v>7</v>
      </c>
      <c r="C833">
        <v>1</v>
      </c>
      <c r="D833">
        <v>4</v>
      </c>
      <c r="E833">
        <v>12</v>
      </c>
      <c r="F833" t="s">
        <v>92</v>
      </c>
      <c r="G833">
        <v>36532.01</v>
      </c>
      <c r="H833">
        <f>_xlfn.XLOOKUP(tblFinancials[[#This Row],[DateKey]],tblCalendar[DateKey],tblCalendar[FullDate],"")</f>
        <v>45627</v>
      </c>
      <c r="I833">
        <f>_xlfn.XLOOKUP(tblFinancials[[#This Row],[AccountKey]],tblAccounts[AccountKey],tblAccounts[AccountNumber],"")</f>
        <v>4010</v>
      </c>
      <c r="J833" t="str">
        <f>_xlfn.XLOOKUP(tblFinancials[[#This Row],[AccountKey]],tblAccounts[AccountKey],tblAccounts[AccountName],"")</f>
        <v>Service Revenue</v>
      </c>
      <c r="K833" s="8" t="str">
        <f>_xlfn.XLOOKUP(tblFinancials[[#This Row],[AccountKey]],tblAccounts[AccountKey],tblAccounts[FinancialStatement],"")</f>
        <v>Income Statement</v>
      </c>
      <c r="L833" s="8" t="str">
        <f>_xlfn.XLOOKUP(tblFinancials[[#This Row],[AccountKey]],tblAccounts[AccountKey],tblAccounts[AccountCategory],"")</f>
        <v>Revenue</v>
      </c>
      <c r="M833" s="8" t="str">
        <f>_xlfn.XLOOKUP(tblFinancials[[#This Row],[AccountKey]],tblAccounts[AccountKey],tblAccounts[NormalBalance],"")</f>
        <v>Credit</v>
      </c>
      <c r="N833" s="8" t="str">
        <f>_xlfn.XLOOKUP(tblFinancials[[#This Row],[DepartmentKey]],tblDepartments[DepartmentKey],tblDepartments[DepartmentName],"")</f>
        <v>Information Technology</v>
      </c>
      <c r="O833" s="8" t="str">
        <f>_xlfn.XLOOKUP(tblFinancials[[#This Row],[BusinessUnitKey]],tblBusinessUnits[BusinessUnitKey],tblBusinessUnits[BusinessUnitName],"")</f>
        <v xml:space="preserve">Manufacturing </v>
      </c>
      <c r="P833" s="8" t="str">
        <f>_xlfn.XLOOKUP(tblFinancials[[#This Row],[RegionKey]],tblRegions[RegionKey],tblRegions[RegionName],"")</f>
        <v>East</v>
      </c>
    </row>
    <row r="834" spans="1:16">
      <c r="A834">
        <v>20241201</v>
      </c>
      <c r="B834">
        <v>1</v>
      </c>
      <c r="C834">
        <v>4</v>
      </c>
      <c r="D834">
        <v>2</v>
      </c>
      <c r="E834">
        <v>12</v>
      </c>
      <c r="F834" t="s">
        <v>92</v>
      </c>
      <c r="G834">
        <v>35259.760000000002</v>
      </c>
      <c r="H834">
        <f>_xlfn.XLOOKUP(tblFinancials[[#This Row],[DateKey]],tblCalendar[DateKey],tblCalendar[FullDate],"")</f>
        <v>45627</v>
      </c>
      <c r="I834">
        <f>_xlfn.XLOOKUP(tblFinancials[[#This Row],[AccountKey]],tblAccounts[AccountKey],tblAccounts[AccountNumber],"")</f>
        <v>4010</v>
      </c>
      <c r="J834" t="str">
        <f>_xlfn.XLOOKUP(tblFinancials[[#This Row],[AccountKey]],tblAccounts[AccountKey],tblAccounts[AccountName],"")</f>
        <v>Service Revenue</v>
      </c>
      <c r="K834" s="8" t="str">
        <f>_xlfn.XLOOKUP(tblFinancials[[#This Row],[AccountKey]],tblAccounts[AccountKey],tblAccounts[FinancialStatement],"")</f>
        <v>Income Statement</v>
      </c>
      <c r="L834" s="8" t="str">
        <f>_xlfn.XLOOKUP(tblFinancials[[#This Row],[AccountKey]],tblAccounts[AccountKey],tblAccounts[AccountCategory],"")</f>
        <v>Revenue</v>
      </c>
      <c r="M834" s="8" t="str">
        <f>_xlfn.XLOOKUP(tblFinancials[[#This Row],[AccountKey]],tblAccounts[AccountKey],tblAccounts[NormalBalance],"")</f>
        <v>Credit</v>
      </c>
      <c r="N834" s="8" t="str">
        <f>_xlfn.XLOOKUP(tblFinancials[[#This Row],[DepartmentKey]],tblDepartments[DepartmentKey],tblDepartments[DepartmentName],"")</f>
        <v>Executive</v>
      </c>
      <c r="O834" s="8" t="str">
        <f>_xlfn.XLOOKUP(tblFinancials[[#This Row],[BusinessUnitKey]],tblBusinessUnits[BusinessUnitKey],tblBusinessUnits[BusinessUnitName],"")</f>
        <v>E-Commerce</v>
      </c>
      <c r="P834" s="8" t="str">
        <f>_xlfn.XLOOKUP(tblFinancials[[#This Row],[RegionKey]],tblRegions[RegionKey],tblRegions[RegionName],"")</f>
        <v>Midwest</v>
      </c>
    </row>
    <row r="835" spans="1:16">
      <c r="A835">
        <v>20241201</v>
      </c>
      <c r="B835">
        <v>6</v>
      </c>
      <c r="C835">
        <v>2</v>
      </c>
      <c r="D835">
        <v>1</v>
      </c>
      <c r="E835">
        <v>13</v>
      </c>
      <c r="F835" t="s">
        <v>92</v>
      </c>
      <c r="G835">
        <v>35183.11</v>
      </c>
      <c r="H835">
        <f>_xlfn.XLOOKUP(tblFinancials[[#This Row],[DateKey]],tblCalendar[DateKey],tblCalendar[FullDate],"")</f>
        <v>45627</v>
      </c>
      <c r="I835">
        <f>_xlfn.XLOOKUP(tblFinancials[[#This Row],[AccountKey]],tblAccounts[AccountKey],tblAccounts[AccountNumber],"")</f>
        <v>4020</v>
      </c>
      <c r="J835" t="str">
        <f>_xlfn.XLOOKUP(tblFinancials[[#This Row],[AccountKey]],tblAccounts[AccountKey],tblAccounts[AccountName],"")</f>
        <v>Online Revenue</v>
      </c>
      <c r="K835" s="8" t="str">
        <f>_xlfn.XLOOKUP(tblFinancials[[#This Row],[AccountKey]],tblAccounts[AccountKey],tblAccounts[FinancialStatement],"")</f>
        <v>Income Statement</v>
      </c>
      <c r="L835" s="8" t="str">
        <f>_xlfn.XLOOKUP(tblFinancials[[#This Row],[AccountKey]],tblAccounts[AccountKey],tblAccounts[AccountCategory],"")</f>
        <v>Revenue</v>
      </c>
      <c r="M835" s="8" t="str">
        <f>_xlfn.XLOOKUP(tblFinancials[[#This Row],[AccountKey]],tblAccounts[AccountKey],tblAccounts[NormalBalance],"")</f>
        <v>Credit</v>
      </c>
      <c r="N835" s="8" t="str">
        <f>_xlfn.XLOOKUP(tblFinancials[[#This Row],[DepartmentKey]],tblDepartments[DepartmentKey],tblDepartments[DepartmentName],"")</f>
        <v>Operations</v>
      </c>
      <c r="O835" s="8" t="str">
        <f>_xlfn.XLOOKUP(tblFinancials[[#This Row],[BusinessUnitKey]],tblBusinessUnits[BusinessUnitKey],tblBusinessUnits[BusinessUnitName],"")</f>
        <v>Wholesale</v>
      </c>
      <c r="P835" s="8" t="str">
        <f>_xlfn.XLOOKUP(tblFinancials[[#This Row],[RegionKey]],tblRegions[RegionKey],tblRegions[RegionName],"")</f>
        <v>West</v>
      </c>
    </row>
    <row r="836" spans="1:16">
      <c r="A836">
        <v>20241201</v>
      </c>
      <c r="B836">
        <v>2</v>
      </c>
      <c r="C836">
        <v>4</v>
      </c>
      <c r="D836">
        <v>2</v>
      </c>
      <c r="E836">
        <v>12</v>
      </c>
      <c r="F836" t="s">
        <v>92</v>
      </c>
      <c r="G836">
        <v>35972.480000000003</v>
      </c>
      <c r="H836">
        <f>_xlfn.XLOOKUP(tblFinancials[[#This Row],[DateKey]],tblCalendar[DateKey],tblCalendar[FullDate],"")</f>
        <v>45627</v>
      </c>
      <c r="I836">
        <f>_xlfn.XLOOKUP(tblFinancials[[#This Row],[AccountKey]],tblAccounts[AccountKey],tblAccounts[AccountNumber],"")</f>
        <v>4010</v>
      </c>
      <c r="J836" t="str">
        <f>_xlfn.XLOOKUP(tblFinancials[[#This Row],[AccountKey]],tblAccounts[AccountKey],tblAccounts[AccountName],"")</f>
        <v>Service Revenue</v>
      </c>
      <c r="K836" s="8" t="str">
        <f>_xlfn.XLOOKUP(tblFinancials[[#This Row],[AccountKey]],tblAccounts[AccountKey],tblAccounts[FinancialStatement],"")</f>
        <v>Income Statement</v>
      </c>
      <c r="L836" s="8" t="str">
        <f>_xlfn.XLOOKUP(tblFinancials[[#This Row],[AccountKey]],tblAccounts[AccountKey],tblAccounts[AccountCategory],"")</f>
        <v>Revenue</v>
      </c>
      <c r="M836" s="8" t="str">
        <f>_xlfn.XLOOKUP(tblFinancials[[#This Row],[AccountKey]],tblAccounts[AccountKey],tblAccounts[NormalBalance],"")</f>
        <v>Credit</v>
      </c>
      <c r="N836" s="8" t="str">
        <f>_xlfn.XLOOKUP(tblFinancials[[#This Row],[DepartmentKey]],tblDepartments[DepartmentKey],tblDepartments[DepartmentName],"")</f>
        <v>Finance</v>
      </c>
      <c r="O836" s="8" t="str">
        <f>_xlfn.XLOOKUP(tblFinancials[[#This Row],[BusinessUnitKey]],tblBusinessUnits[BusinessUnitKey],tblBusinessUnits[BusinessUnitName],"")</f>
        <v>E-Commerce</v>
      </c>
      <c r="P836" s="8" t="str">
        <f>_xlfn.XLOOKUP(tblFinancials[[#This Row],[RegionKey]],tblRegions[RegionKey],tblRegions[RegionName],"")</f>
        <v>Midwest</v>
      </c>
    </row>
    <row r="837" spans="1:16">
      <c r="A837">
        <v>20241201</v>
      </c>
      <c r="B837">
        <v>5</v>
      </c>
      <c r="C837">
        <v>1</v>
      </c>
      <c r="D837">
        <v>2</v>
      </c>
      <c r="E837">
        <v>13</v>
      </c>
      <c r="F837" t="s">
        <v>92</v>
      </c>
      <c r="G837">
        <v>35775.75</v>
      </c>
      <c r="H837">
        <f>_xlfn.XLOOKUP(tblFinancials[[#This Row],[DateKey]],tblCalendar[DateKey],tblCalendar[FullDate],"")</f>
        <v>45627</v>
      </c>
      <c r="I837">
        <f>_xlfn.XLOOKUP(tblFinancials[[#This Row],[AccountKey]],tblAccounts[AccountKey],tblAccounts[AccountNumber],"")</f>
        <v>4020</v>
      </c>
      <c r="J837" t="str">
        <f>_xlfn.XLOOKUP(tblFinancials[[#This Row],[AccountKey]],tblAccounts[AccountKey],tblAccounts[AccountName],"")</f>
        <v>Online Revenue</v>
      </c>
      <c r="K837" s="8" t="str">
        <f>_xlfn.XLOOKUP(tblFinancials[[#This Row],[AccountKey]],tblAccounts[AccountKey],tblAccounts[FinancialStatement],"")</f>
        <v>Income Statement</v>
      </c>
      <c r="L837" s="8" t="str">
        <f>_xlfn.XLOOKUP(tblFinancials[[#This Row],[AccountKey]],tblAccounts[AccountKey],tblAccounts[AccountCategory],"")</f>
        <v>Revenue</v>
      </c>
      <c r="M837" s="8" t="str">
        <f>_xlfn.XLOOKUP(tblFinancials[[#This Row],[AccountKey]],tblAccounts[AccountKey],tblAccounts[NormalBalance],"")</f>
        <v>Credit</v>
      </c>
      <c r="N837" s="8" t="str">
        <f>_xlfn.XLOOKUP(tblFinancials[[#This Row],[DepartmentKey]],tblDepartments[DepartmentKey],tblDepartments[DepartmentName],"")</f>
        <v>Marketing</v>
      </c>
      <c r="O837" s="8" t="str">
        <f>_xlfn.XLOOKUP(tblFinancials[[#This Row],[BusinessUnitKey]],tblBusinessUnits[BusinessUnitKey],tblBusinessUnits[BusinessUnitName],"")</f>
        <v xml:space="preserve">Manufacturing </v>
      </c>
      <c r="P837" s="8" t="str">
        <f>_xlfn.XLOOKUP(tblFinancials[[#This Row],[RegionKey]],tblRegions[RegionKey],tblRegions[RegionName],"")</f>
        <v>Midwest</v>
      </c>
    </row>
    <row r="838" spans="1:16">
      <c r="A838">
        <v>20241201</v>
      </c>
      <c r="B838">
        <v>8</v>
      </c>
      <c r="C838">
        <v>2</v>
      </c>
      <c r="D838">
        <v>2</v>
      </c>
      <c r="E838">
        <v>13</v>
      </c>
      <c r="F838" t="s">
        <v>92</v>
      </c>
      <c r="G838">
        <v>36180.53</v>
      </c>
      <c r="H838">
        <f>_xlfn.XLOOKUP(tblFinancials[[#This Row],[DateKey]],tblCalendar[DateKey],tblCalendar[FullDate],"")</f>
        <v>45627</v>
      </c>
      <c r="I838">
        <f>_xlfn.XLOOKUP(tblFinancials[[#This Row],[AccountKey]],tblAccounts[AccountKey],tblAccounts[AccountNumber],"")</f>
        <v>4020</v>
      </c>
      <c r="J838" t="str">
        <f>_xlfn.XLOOKUP(tblFinancials[[#This Row],[AccountKey]],tblAccounts[AccountKey],tblAccounts[AccountName],"")</f>
        <v>Online Revenue</v>
      </c>
      <c r="K838" s="8" t="str">
        <f>_xlfn.XLOOKUP(tblFinancials[[#This Row],[AccountKey]],tblAccounts[AccountKey],tblAccounts[FinancialStatement],"")</f>
        <v>Income Statement</v>
      </c>
      <c r="L838" s="8" t="str">
        <f>_xlfn.XLOOKUP(tblFinancials[[#This Row],[AccountKey]],tblAccounts[AccountKey],tblAccounts[AccountCategory],"")</f>
        <v>Revenue</v>
      </c>
      <c r="M838" s="8" t="str">
        <f>_xlfn.XLOOKUP(tblFinancials[[#This Row],[AccountKey]],tblAccounts[AccountKey],tblAccounts[NormalBalance],"")</f>
        <v>Credit</v>
      </c>
      <c r="N838" s="8" t="str">
        <f>_xlfn.XLOOKUP(tblFinancials[[#This Row],[DepartmentKey]],tblDepartments[DepartmentKey],tblDepartments[DepartmentName],"")</f>
        <v>Customer Service</v>
      </c>
      <c r="O838" s="8" t="str">
        <f>_xlfn.XLOOKUP(tblFinancials[[#This Row],[BusinessUnitKey]],tblBusinessUnits[BusinessUnitKey],tblBusinessUnits[BusinessUnitName],"")</f>
        <v>Wholesale</v>
      </c>
      <c r="P838" s="8" t="str">
        <f>_xlfn.XLOOKUP(tblFinancials[[#This Row],[RegionKey]],tblRegions[RegionKey],tblRegions[RegionName],"")</f>
        <v>Midwest</v>
      </c>
    </row>
    <row r="839" spans="1:16">
      <c r="A839">
        <v>20241201</v>
      </c>
      <c r="B839">
        <v>4</v>
      </c>
      <c r="C839">
        <v>2</v>
      </c>
      <c r="D839">
        <v>3</v>
      </c>
      <c r="E839">
        <v>12</v>
      </c>
      <c r="F839" t="s">
        <v>92</v>
      </c>
      <c r="G839">
        <v>36952.58</v>
      </c>
      <c r="H839">
        <f>_xlfn.XLOOKUP(tblFinancials[[#This Row],[DateKey]],tblCalendar[DateKey],tblCalendar[FullDate],"")</f>
        <v>45627</v>
      </c>
      <c r="I839">
        <f>_xlfn.XLOOKUP(tblFinancials[[#This Row],[AccountKey]],tblAccounts[AccountKey],tblAccounts[AccountNumber],"")</f>
        <v>4010</v>
      </c>
      <c r="J839" t="str">
        <f>_xlfn.XLOOKUP(tblFinancials[[#This Row],[AccountKey]],tblAccounts[AccountKey],tblAccounts[AccountName],"")</f>
        <v>Service Revenue</v>
      </c>
      <c r="K839" s="8" t="str">
        <f>_xlfn.XLOOKUP(tblFinancials[[#This Row],[AccountKey]],tblAccounts[AccountKey],tblAccounts[FinancialStatement],"")</f>
        <v>Income Statement</v>
      </c>
      <c r="L839" s="8" t="str">
        <f>_xlfn.XLOOKUP(tblFinancials[[#This Row],[AccountKey]],tblAccounts[AccountKey],tblAccounts[AccountCategory],"")</f>
        <v>Revenue</v>
      </c>
      <c r="M839" s="8" t="str">
        <f>_xlfn.XLOOKUP(tblFinancials[[#This Row],[AccountKey]],tblAccounts[AccountKey],tblAccounts[NormalBalance],"")</f>
        <v>Credit</v>
      </c>
      <c r="N839" s="8" t="str">
        <f>_xlfn.XLOOKUP(tblFinancials[[#This Row],[DepartmentKey]],tblDepartments[DepartmentKey],tblDepartments[DepartmentName],"")</f>
        <v>Sales</v>
      </c>
      <c r="O839" s="8" t="str">
        <f>_xlfn.XLOOKUP(tblFinancials[[#This Row],[BusinessUnitKey]],tblBusinessUnits[BusinessUnitKey],tblBusinessUnits[BusinessUnitName],"")</f>
        <v>Wholesale</v>
      </c>
      <c r="P839" s="8" t="str">
        <f>_xlfn.XLOOKUP(tblFinancials[[#This Row],[RegionKey]],tblRegions[RegionKey],tblRegions[RegionName],"")</f>
        <v>South</v>
      </c>
    </row>
    <row r="840" spans="1:16">
      <c r="A840">
        <v>20241201</v>
      </c>
      <c r="B840">
        <v>2</v>
      </c>
      <c r="C840">
        <v>2</v>
      </c>
      <c r="D840">
        <v>3</v>
      </c>
      <c r="E840">
        <v>13</v>
      </c>
      <c r="F840" t="s">
        <v>92</v>
      </c>
      <c r="G840">
        <v>35672.639999999999</v>
      </c>
      <c r="H840">
        <f>_xlfn.XLOOKUP(tblFinancials[[#This Row],[DateKey]],tblCalendar[DateKey],tblCalendar[FullDate],"")</f>
        <v>45627</v>
      </c>
      <c r="I840">
        <f>_xlfn.XLOOKUP(tblFinancials[[#This Row],[AccountKey]],tblAccounts[AccountKey],tblAccounts[AccountNumber],"")</f>
        <v>4020</v>
      </c>
      <c r="J840" t="str">
        <f>_xlfn.XLOOKUP(tblFinancials[[#This Row],[AccountKey]],tblAccounts[AccountKey],tblAccounts[AccountName],"")</f>
        <v>Online Revenue</v>
      </c>
      <c r="K840" s="8" t="str">
        <f>_xlfn.XLOOKUP(tblFinancials[[#This Row],[AccountKey]],tblAccounts[AccountKey],tblAccounts[FinancialStatement],"")</f>
        <v>Income Statement</v>
      </c>
      <c r="L840" s="8" t="str">
        <f>_xlfn.XLOOKUP(tblFinancials[[#This Row],[AccountKey]],tblAccounts[AccountKey],tblAccounts[AccountCategory],"")</f>
        <v>Revenue</v>
      </c>
      <c r="M840" s="8" t="str">
        <f>_xlfn.XLOOKUP(tblFinancials[[#This Row],[AccountKey]],tblAccounts[AccountKey],tblAccounts[NormalBalance],"")</f>
        <v>Credit</v>
      </c>
      <c r="N840" s="8" t="str">
        <f>_xlfn.XLOOKUP(tblFinancials[[#This Row],[DepartmentKey]],tblDepartments[DepartmentKey],tblDepartments[DepartmentName],"")</f>
        <v>Finance</v>
      </c>
      <c r="O840" s="8" t="str">
        <f>_xlfn.XLOOKUP(tblFinancials[[#This Row],[BusinessUnitKey]],tblBusinessUnits[BusinessUnitKey],tblBusinessUnits[BusinessUnitName],"")</f>
        <v>Wholesale</v>
      </c>
      <c r="P840" s="8" t="str">
        <f>_xlfn.XLOOKUP(tblFinancials[[#This Row],[RegionKey]],tblRegions[RegionKey],tblRegions[RegionName],"")</f>
        <v>South</v>
      </c>
    </row>
    <row r="841" spans="1:16">
      <c r="A841">
        <v>20241201</v>
      </c>
      <c r="B841">
        <v>2</v>
      </c>
      <c r="C841">
        <v>3</v>
      </c>
      <c r="D841">
        <v>1</v>
      </c>
      <c r="E841">
        <v>11</v>
      </c>
      <c r="F841" t="s">
        <v>92</v>
      </c>
      <c r="G841">
        <v>38148.58</v>
      </c>
      <c r="H841">
        <f>_xlfn.XLOOKUP(tblFinancials[[#This Row],[DateKey]],tblCalendar[DateKey],tblCalendar[FullDate],"")</f>
        <v>45627</v>
      </c>
      <c r="I841">
        <f>_xlfn.XLOOKUP(tblFinancials[[#This Row],[AccountKey]],tblAccounts[AccountKey],tblAccounts[AccountNumber],"")</f>
        <v>4000</v>
      </c>
      <c r="J841" t="str">
        <f>_xlfn.XLOOKUP(tblFinancials[[#This Row],[AccountKey]],tblAccounts[AccountKey],tblAccounts[AccountName],"")</f>
        <v>Product Revenue</v>
      </c>
      <c r="K841" s="8" t="str">
        <f>_xlfn.XLOOKUP(tblFinancials[[#This Row],[AccountKey]],tblAccounts[AccountKey],tblAccounts[FinancialStatement],"")</f>
        <v>Income Statement</v>
      </c>
      <c r="L841" s="8" t="str">
        <f>_xlfn.XLOOKUP(tblFinancials[[#This Row],[AccountKey]],tblAccounts[AccountKey],tblAccounts[AccountCategory],"")</f>
        <v>Revenue</v>
      </c>
      <c r="M841" s="8" t="str">
        <f>_xlfn.XLOOKUP(tblFinancials[[#This Row],[AccountKey]],tblAccounts[AccountKey],tblAccounts[NormalBalance],"")</f>
        <v>Credit</v>
      </c>
      <c r="N841" s="8" t="str">
        <f>_xlfn.XLOOKUP(tblFinancials[[#This Row],[DepartmentKey]],tblDepartments[DepartmentKey],tblDepartments[DepartmentName],"")</f>
        <v>Finance</v>
      </c>
      <c r="O841" s="8" t="str">
        <f>_xlfn.XLOOKUP(tblFinancials[[#This Row],[BusinessUnitKey]],tblBusinessUnits[BusinessUnitKey],tblBusinessUnits[BusinessUnitName],"")</f>
        <v>Retail</v>
      </c>
      <c r="P841" s="8" t="str">
        <f>_xlfn.XLOOKUP(tblFinancials[[#This Row],[RegionKey]],tblRegions[RegionKey],tblRegions[RegionName],"")</f>
        <v>West</v>
      </c>
    </row>
    <row r="842" spans="1:16">
      <c r="A842">
        <v>20241201</v>
      </c>
      <c r="B842">
        <v>5</v>
      </c>
      <c r="C842">
        <v>1</v>
      </c>
      <c r="D842">
        <v>3</v>
      </c>
      <c r="E842">
        <v>14</v>
      </c>
      <c r="F842" t="s">
        <v>92</v>
      </c>
      <c r="G842">
        <v>-21283.77</v>
      </c>
      <c r="H842">
        <f>_xlfn.XLOOKUP(tblFinancials[[#This Row],[DateKey]],tblCalendar[DateKey],tblCalendar[FullDate],"")</f>
        <v>45627</v>
      </c>
      <c r="I842">
        <f>_xlfn.XLOOKUP(tblFinancials[[#This Row],[AccountKey]],tblAccounts[AccountKey],tblAccounts[AccountNumber],"")</f>
        <v>5000</v>
      </c>
      <c r="J842" t="str">
        <f>_xlfn.XLOOKUP(tblFinancials[[#This Row],[AccountKey]],tblAccounts[AccountKey],tblAccounts[AccountName],"")</f>
        <v>Cost of Goods Sold</v>
      </c>
      <c r="K842" s="8" t="str">
        <f>_xlfn.XLOOKUP(tblFinancials[[#This Row],[AccountKey]],tblAccounts[AccountKey],tblAccounts[FinancialStatement],"")</f>
        <v>Income Statement</v>
      </c>
      <c r="L842" s="8" t="str">
        <f>_xlfn.XLOOKUP(tblFinancials[[#This Row],[AccountKey]],tblAccounts[AccountKey],tblAccounts[AccountCategory],"")</f>
        <v>Cost of Sales</v>
      </c>
      <c r="M842" s="8" t="str">
        <f>_xlfn.XLOOKUP(tblFinancials[[#This Row],[AccountKey]],tblAccounts[AccountKey],tblAccounts[NormalBalance],"")</f>
        <v>Debit</v>
      </c>
      <c r="N842" s="8" t="str">
        <f>_xlfn.XLOOKUP(tblFinancials[[#This Row],[DepartmentKey]],tblDepartments[DepartmentKey],tblDepartments[DepartmentName],"")</f>
        <v>Marketing</v>
      </c>
      <c r="O842" s="8" t="str">
        <f>_xlfn.XLOOKUP(tblFinancials[[#This Row],[BusinessUnitKey]],tblBusinessUnits[BusinessUnitKey],tblBusinessUnits[BusinessUnitName],"")</f>
        <v xml:space="preserve">Manufacturing </v>
      </c>
      <c r="P842" s="8" t="str">
        <f>_xlfn.XLOOKUP(tblFinancials[[#This Row],[RegionKey]],tblRegions[RegionKey],tblRegions[RegionName],"")</f>
        <v>South</v>
      </c>
    </row>
    <row r="843" spans="1:16">
      <c r="A843">
        <v>20241201</v>
      </c>
      <c r="B843">
        <v>4</v>
      </c>
      <c r="C843">
        <v>2</v>
      </c>
      <c r="D843">
        <v>1</v>
      </c>
      <c r="E843">
        <v>14</v>
      </c>
      <c r="F843" t="s">
        <v>92</v>
      </c>
      <c r="G843">
        <v>-20709.46</v>
      </c>
      <c r="H843">
        <f>_xlfn.XLOOKUP(tblFinancials[[#This Row],[DateKey]],tblCalendar[DateKey],tblCalendar[FullDate],"")</f>
        <v>45627</v>
      </c>
      <c r="I843">
        <f>_xlfn.XLOOKUP(tblFinancials[[#This Row],[AccountKey]],tblAccounts[AccountKey],tblAccounts[AccountNumber],"")</f>
        <v>5000</v>
      </c>
      <c r="J843" t="str">
        <f>_xlfn.XLOOKUP(tblFinancials[[#This Row],[AccountKey]],tblAccounts[AccountKey],tblAccounts[AccountName],"")</f>
        <v>Cost of Goods Sold</v>
      </c>
      <c r="K843" s="8" t="str">
        <f>_xlfn.XLOOKUP(tblFinancials[[#This Row],[AccountKey]],tblAccounts[AccountKey],tblAccounts[FinancialStatement],"")</f>
        <v>Income Statement</v>
      </c>
      <c r="L843" s="8" t="str">
        <f>_xlfn.XLOOKUP(tblFinancials[[#This Row],[AccountKey]],tblAccounts[AccountKey],tblAccounts[AccountCategory],"")</f>
        <v>Cost of Sales</v>
      </c>
      <c r="M843" s="8" t="str">
        <f>_xlfn.XLOOKUP(tblFinancials[[#This Row],[AccountKey]],tblAccounts[AccountKey],tblAccounts[NormalBalance],"")</f>
        <v>Debit</v>
      </c>
      <c r="N843" s="8" t="str">
        <f>_xlfn.XLOOKUP(tblFinancials[[#This Row],[DepartmentKey]],tblDepartments[DepartmentKey],tblDepartments[DepartmentName],"")</f>
        <v>Sales</v>
      </c>
      <c r="O843" s="8" t="str">
        <f>_xlfn.XLOOKUP(tblFinancials[[#This Row],[BusinessUnitKey]],tblBusinessUnits[BusinessUnitKey],tblBusinessUnits[BusinessUnitName],"")</f>
        <v>Wholesale</v>
      </c>
      <c r="P843" s="8" t="str">
        <f>_xlfn.XLOOKUP(tblFinancials[[#This Row],[RegionKey]],tblRegions[RegionKey],tblRegions[RegionName],"")</f>
        <v>West</v>
      </c>
    </row>
    <row r="844" spans="1:16">
      <c r="A844">
        <v>20241201</v>
      </c>
      <c r="B844">
        <v>5</v>
      </c>
      <c r="C844">
        <v>4</v>
      </c>
      <c r="D844">
        <v>3</v>
      </c>
      <c r="E844">
        <v>14</v>
      </c>
      <c r="F844" t="s">
        <v>92</v>
      </c>
      <c r="G844">
        <v>-21298.78</v>
      </c>
      <c r="H844">
        <f>_xlfn.XLOOKUP(tblFinancials[[#This Row],[DateKey]],tblCalendar[DateKey],tblCalendar[FullDate],"")</f>
        <v>45627</v>
      </c>
      <c r="I844">
        <f>_xlfn.XLOOKUP(tblFinancials[[#This Row],[AccountKey]],tblAccounts[AccountKey],tblAccounts[AccountNumber],"")</f>
        <v>5000</v>
      </c>
      <c r="J844" t="str">
        <f>_xlfn.XLOOKUP(tblFinancials[[#This Row],[AccountKey]],tblAccounts[AccountKey],tblAccounts[AccountName],"")</f>
        <v>Cost of Goods Sold</v>
      </c>
      <c r="K844" s="8" t="str">
        <f>_xlfn.XLOOKUP(tblFinancials[[#This Row],[AccountKey]],tblAccounts[AccountKey],tblAccounts[FinancialStatement],"")</f>
        <v>Income Statement</v>
      </c>
      <c r="L844" s="8" t="str">
        <f>_xlfn.XLOOKUP(tblFinancials[[#This Row],[AccountKey]],tblAccounts[AccountKey],tblAccounts[AccountCategory],"")</f>
        <v>Cost of Sales</v>
      </c>
      <c r="M844" s="8" t="str">
        <f>_xlfn.XLOOKUP(tblFinancials[[#This Row],[AccountKey]],tblAccounts[AccountKey],tblAccounts[NormalBalance],"")</f>
        <v>Debit</v>
      </c>
      <c r="N844" s="8" t="str">
        <f>_xlfn.XLOOKUP(tblFinancials[[#This Row],[DepartmentKey]],tblDepartments[DepartmentKey],tblDepartments[DepartmentName],"")</f>
        <v>Marketing</v>
      </c>
      <c r="O844" s="8" t="str">
        <f>_xlfn.XLOOKUP(tblFinancials[[#This Row],[BusinessUnitKey]],tblBusinessUnits[BusinessUnitKey],tblBusinessUnits[BusinessUnitName],"")</f>
        <v>E-Commerce</v>
      </c>
      <c r="P844" s="8" t="str">
        <f>_xlfn.XLOOKUP(tblFinancials[[#This Row],[RegionKey]],tblRegions[RegionKey],tblRegions[RegionName],"")</f>
        <v>South</v>
      </c>
    </row>
    <row r="845" spans="1:16">
      <c r="A845">
        <v>20241201</v>
      </c>
      <c r="B845">
        <v>2</v>
      </c>
      <c r="C845">
        <v>1</v>
      </c>
      <c r="D845">
        <v>2</v>
      </c>
      <c r="E845">
        <v>14</v>
      </c>
      <c r="F845" t="s">
        <v>92</v>
      </c>
      <c r="G845">
        <v>-21317</v>
      </c>
      <c r="H845">
        <f>_xlfn.XLOOKUP(tblFinancials[[#This Row],[DateKey]],tblCalendar[DateKey],tblCalendar[FullDate],"")</f>
        <v>45627</v>
      </c>
      <c r="I845">
        <f>_xlfn.XLOOKUP(tblFinancials[[#This Row],[AccountKey]],tblAccounts[AccountKey],tblAccounts[AccountNumber],"")</f>
        <v>5000</v>
      </c>
      <c r="J845" t="str">
        <f>_xlfn.XLOOKUP(tblFinancials[[#This Row],[AccountKey]],tblAccounts[AccountKey],tblAccounts[AccountName],"")</f>
        <v>Cost of Goods Sold</v>
      </c>
      <c r="K845" s="8" t="str">
        <f>_xlfn.XLOOKUP(tblFinancials[[#This Row],[AccountKey]],tblAccounts[AccountKey],tblAccounts[FinancialStatement],"")</f>
        <v>Income Statement</v>
      </c>
      <c r="L845" s="8" t="str">
        <f>_xlfn.XLOOKUP(tblFinancials[[#This Row],[AccountKey]],tblAccounts[AccountKey],tblAccounts[AccountCategory],"")</f>
        <v>Cost of Sales</v>
      </c>
      <c r="M845" s="8" t="str">
        <f>_xlfn.XLOOKUP(tblFinancials[[#This Row],[AccountKey]],tblAccounts[AccountKey],tblAccounts[NormalBalance],"")</f>
        <v>Debit</v>
      </c>
      <c r="N845" s="8" t="str">
        <f>_xlfn.XLOOKUP(tblFinancials[[#This Row],[DepartmentKey]],tblDepartments[DepartmentKey],tblDepartments[DepartmentName],"")</f>
        <v>Finance</v>
      </c>
      <c r="O845" s="8" t="str">
        <f>_xlfn.XLOOKUP(tblFinancials[[#This Row],[BusinessUnitKey]],tblBusinessUnits[BusinessUnitKey],tblBusinessUnits[BusinessUnitName],"")</f>
        <v xml:space="preserve">Manufacturing </v>
      </c>
      <c r="P845" s="8" t="str">
        <f>_xlfn.XLOOKUP(tblFinancials[[#This Row],[RegionKey]],tblRegions[RegionKey],tblRegions[RegionName],"")</f>
        <v>Midwest</v>
      </c>
    </row>
    <row r="846" spans="1:16">
      <c r="A846">
        <v>20241201</v>
      </c>
      <c r="B846">
        <v>2</v>
      </c>
      <c r="C846">
        <v>1</v>
      </c>
      <c r="D846">
        <v>4</v>
      </c>
      <c r="E846">
        <v>14</v>
      </c>
      <c r="F846" t="s">
        <v>92</v>
      </c>
      <c r="G846">
        <v>-21196.03</v>
      </c>
      <c r="H846">
        <f>_xlfn.XLOOKUP(tblFinancials[[#This Row],[DateKey]],tblCalendar[DateKey],tblCalendar[FullDate],"")</f>
        <v>45627</v>
      </c>
      <c r="I846">
        <f>_xlfn.XLOOKUP(tblFinancials[[#This Row],[AccountKey]],tblAccounts[AccountKey],tblAccounts[AccountNumber],"")</f>
        <v>5000</v>
      </c>
      <c r="J846" t="str">
        <f>_xlfn.XLOOKUP(tblFinancials[[#This Row],[AccountKey]],tblAccounts[AccountKey],tblAccounts[AccountName],"")</f>
        <v>Cost of Goods Sold</v>
      </c>
      <c r="K846" s="8" t="str">
        <f>_xlfn.XLOOKUP(tblFinancials[[#This Row],[AccountKey]],tblAccounts[AccountKey],tblAccounts[FinancialStatement],"")</f>
        <v>Income Statement</v>
      </c>
      <c r="L846" s="8" t="str">
        <f>_xlfn.XLOOKUP(tblFinancials[[#This Row],[AccountKey]],tblAccounts[AccountKey],tblAccounts[AccountCategory],"")</f>
        <v>Cost of Sales</v>
      </c>
      <c r="M846" s="8" t="str">
        <f>_xlfn.XLOOKUP(tblFinancials[[#This Row],[AccountKey]],tblAccounts[AccountKey],tblAccounts[NormalBalance],"")</f>
        <v>Debit</v>
      </c>
      <c r="N846" s="8" t="str">
        <f>_xlfn.XLOOKUP(tblFinancials[[#This Row],[DepartmentKey]],tblDepartments[DepartmentKey],tblDepartments[DepartmentName],"")</f>
        <v>Finance</v>
      </c>
      <c r="O846" s="8" t="str">
        <f>_xlfn.XLOOKUP(tblFinancials[[#This Row],[BusinessUnitKey]],tblBusinessUnits[BusinessUnitKey],tblBusinessUnits[BusinessUnitName],"")</f>
        <v xml:space="preserve">Manufacturing </v>
      </c>
      <c r="P846" s="8" t="str">
        <f>_xlfn.XLOOKUP(tblFinancials[[#This Row],[RegionKey]],tblRegions[RegionKey],tblRegions[RegionName],"")</f>
        <v>East</v>
      </c>
    </row>
    <row r="847" spans="1:16">
      <c r="A847">
        <v>20241201</v>
      </c>
      <c r="B847">
        <v>5</v>
      </c>
      <c r="C847">
        <v>3</v>
      </c>
      <c r="D847">
        <v>2</v>
      </c>
      <c r="E847">
        <v>14</v>
      </c>
      <c r="F847" t="s">
        <v>92</v>
      </c>
      <c r="G847">
        <v>-21095.8</v>
      </c>
      <c r="H847">
        <f>_xlfn.XLOOKUP(tblFinancials[[#This Row],[DateKey]],tblCalendar[DateKey],tblCalendar[FullDate],"")</f>
        <v>45627</v>
      </c>
      <c r="I847">
        <f>_xlfn.XLOOKUP(tblFinancials[[#This Row],[AccountKey]],tblAccounts[AccountKey],tblAccounts[AccountNumber],"")</f>
        <v>5000</v>
      </c>
      <c r="J847" t="str">
        <f>_xlfn.XLOOKUP(tblFinancials[[#This Row],[AccountKey]],tblAccounts[AccountKey],tblAccounts[AccountName],"")</f>
        <v>Cost of Goods Sold</v>
      </c>
      <c r="K847" s="8" t="str">
        <f>_xlfn.XLOOKUP(tblFinancials[[#This Row],[AccountKey]],tblAccounts[AccountKey],tblAccounts[FinancialStatement],"")</f>
        <v>Income Statement</v>
      </c>
      <c r="L847" s="8" t="str">
        <f>_xlfn.XLOOKUP(tblFinancials[[#This Row],[AccountKey]],tblAccounts[AccountKey],tblAccounts[AccountCategory],"")</f>
        <v>Cost of Sales</v>
      </c>
      <c r="M847" s="8" t="str">
        <f>_xlfn.XLOOKUP(tblFinancials[[#This Row],[AccountKey]],tblAccounts[AccountKey],tblAccounts[NormalBalance],"")</f>
        <v>Debit</v>
      </c>
      <c r="N847" s="8" t="str">
        <f>_xlfn.XLOOKUP(tblFinancials[[#This Row],[DepartmentKey]],tblDepartments[DepartmentKey],tblDepartments[DepartmentName],"")</f>
        <v>Marketing</v>
      </c>
      <c r="O847" s="8" t="str">
        <f>_xlfn.XLOOKUP(tblFinancials[[#This Row],[BusinessUnitKey]],tblBusinessUnits[BusinessUnitKey],tblBusinessUnits[BusinessUnitName],"")</f>
        <v>Retail</v>
      </c>
      <c r="P847" s="8" t="str">
        <f>_xlfn.XLOOKUP(tblFinancials[[#This Row],[RegionKey]],tblRegions[RegionKey],tblRegions[RegionName],"")</f>
        <v>Midwest</v>
      </c>
    </row>
    <row r="848" spans="1:16">
      <c r="A848">
        <v>20241201</v>
      </c>
      <c r="B848">
        <v>5</v>
      </c>
      <c r="C848">
        <v>2</v>
      </c>
      <c r="D848">
        <v>3</v>
      </c>
      <c r="E848">
        <v>14</v>
      </c>
      <c r="F848" t="s">
        <v>92</v>
      </c>
      <c r="G848">
        <v>-20601.63</v>
      </c>
      <c r="H848">
        <f>_xlfn.XLOOKUP(tblFinancials[[#This Row],[DateKey]],tblCalendar[DateKey],tblCalendar[FullDate],"")</f>
        <v>45627</v>
      </c>
      <c r="I848">
        <f>_xlfn.XLOOKUP(tblFinancials[[#This Row],[AccountKey]],tblAccounts[AccountKey],tblAccounts[AccountNumber],"")</f>
        <v>5000</v>
      </c>
      <c r="J848" t="str">
        <f>_xlfn.XLOOKUP(tblFinancials[[#This Row],[AccountKey]],tblAccounts[AccountKey],tblAccounts[AccountName],"")</f>
        <v>Cost of Goods Sold</v>
      </c>
      <c r="K848" s="8" t="str">
        <f>_xlfn.XLOOKUP(tblFinancials[[#This Row],[AccountKey]],tblAccounts[AccountKey],tblAccounts[FinancialStatement],"")</f>
        <v>Income Statement</v>
      </c>
      <c r="L848" s="8" t="str">
        <f>_xlfn.XLOOKUP(tblFinancials[[#This Row],[AccountKey]],tblAccounts[AccountKey],tblAccounts[AccountCategory],"")</f>
        <v>Cost of Sales</v>
      </c>
      <c r="M848" s="8" t="str">
        <f>_xlfn.XLOOKUP(tblFinancials[[#This Row],[AccountKey]],tblAccounts[AccountKey],tblAccounts[NormalBalance],"")</f>
        <v>Debit</v>
      </c>
      <c r="N848" s="8" t="str">
        <f>_xlfn.XLOOKUP(tblFinancials[[#This Row],[DepartmentKey]],tblDepartments[DepartmentKey],tblDepartments[DepartmentName],"")</f>
        <v>Marketing</v>
      </c>
      <c r="O848" s="8" t="str">
        <f>_xlfn.XLOOKUP(tblFinancials[[#This Row],[BusinessUnitKey]],tblBusinessUnits[BusinessUnitKey],tblBusinessUnits[BusinessUnitName],"")</f>
        <v>Wholesale</v>
      </c>
      <c r="P848" s="8" t="str">
        <f>_xlfn.XLOOKUP(tblFinancials[[#This Row],[RegionKey]],tblRegions[RegionKey],tblRegions[RegionName],"")</f>
        <v>South</v>
      </c>
    </row>
    <row r="849" spans="1:16">
      <c r="A849">
        <v>20241201</v>
      </c>
      <c r="B849">
        <v>8</v>
      </c>
      <c r="C849">
        <v>2</v>
      </c>
      <c r="D849">
        <v>3</v>
      </c>
      <c r="E849">
        <v>14</v>
      </c>
      <c r="F849" t="s">
        <v>92</v>
      </c>
      <c r="G849">
        <v>-21118.3</v>
      </c>
      <c r="H849">
        <f>_xlfn.XLOOKUP(tblFinancials[[#This Row],[DateKey]],tblCalendar[DateKey],tblCalendar[FullDate],"")</f>
        <v>45627</v>
      </c>
      <c r="I849">
        <f>_xlfn.XLOOKUP(tblFinancials[[#This Row],[AccountKey]],tblAccounts[AccountKey],tblAccounts[AccountNumber],"")</f>
        <v>5000</v>
      </c>
      <c r="J849" t="str">
        <f>_xlfn.XLOOKUP(tblFinancials[[#This Row],[AccountKey]],tblAccounts[AccountKey],tblAccounts[AccountName],"")</f>
        <v>Cost of Goods Sold</v>
      </c>
      <c r="K849" s="8" t="str">
        <f>_xlfn.XLOOKUP(tblFinancials[[#This Row],[AccountKey]],tblAccounts[AccountKey],tblAccounts[FinancialStatement],"")</f>
        <v>Income Statement</v>
      </c>
      <c r="L849" s="8" t="str">
        <f>_xlfn.XLOOKUP(tblFinancials[[#This Row],[AccountKey]],tblAccounts[AccountKey],tblAccounts[AccountCategory],"")</f>
        <v>Cost of Sales</v>
      </c>
      <c r="M849" s="8" t="str">
        <f>_xlfn.XLOOKUP(tblFinancials[[#This Row],[AccountKey]],tblAccounts[AccountKey],tblAccounts[NormalBalance],"")</f>
        <v>Debit</v>
      </c>
      <c r="N849" s="8" t="str">
        <f>_xlfn.XLOOKUP(tblFinancials[[#This Row],[DepartmentKey]],tblDepartments[DepartmentKey],tblDepartments[DepartmentName],"")</f>
        <v>Customer Service</v>
      </c>
      <c r="O849" s="8" t="str">
        <f>_xlfn.XLOOKUP(tblFinancials[[#This Row],[BusinessUnitKey]],tblBusinessUnits[BusinessUnitKey],tblBusinessUnits[BusinessUnitName],"")</f>
        <v>Wholesale</v>
      </c>
      <c r="P849" s="8" t="str">
        <f>_xlfn.XLOOKUP(tblFinancials[[#This Row],[RegionKey]],tblRegions[RegionKey],tblRegions[RegionName],"")</f>
        <v>South</v>
      </c>
    </row>
    <row r="850" spans="1:16">
      <c r="A850">
        <v>20241201</v>
      </c>
      <c r="B850">
        <v>1</v>
      </c>
      <c r="C850">
        <v>4</v>
      </c>
      <c r="D850">
        <v>2</v>
      </c>
      <c r="E850">
        <v>14</v>
      </c>
      <c r="F850" t="s">
        <v>92</v>
      </c>
      <c r="G850">
        <v>-20018.7</v>
      </c>
      <c r="H850">
        <f>_xlfn.XLOOKUP(tblFinancials[[#This Row],[DateKey]],tblCalendar[DateKey],tblCalendar[FullDate],"")</f>
        <v>45627</v>
      </c>
      <c r="I850">
        <f>_xlfn.XLOOKUP(tblFinancials[[#This Row],[AccountKey]],tblAccounts[AccountKey],tblAccounts[AccountNumber],"")</f>
        <v>5000</v>
      </c>
      <c r="J850" t="str">
        <f>_xlfn.XLOOKUP(tblFinancials[[#This Row],[AccountKey]],tblAccounts[AccountKey],tblAccounts[AccountName],"")</f>
        <v>Cost of Goods Sold</v>
      </c>
      <c r="K850" s="8" t="str">
        <f>_xlfn.XLOOKUP(tblFinancials[[#This Row],[AccountKey]],tblAccounts[AccountKey],tblAccounts[FinancialStatement],"")</f>
        <v>Income Statement</v>
      </c>
      <c r="L850" s="8" t="str">
        <f>_xlfn.XLOOKUP(tblFinancials[[#This Row],[AccountKey]],tblAccounts[AccountKey],tblAccounts[AccountCategory],"")</f>
        <v>Cost of Sales</v>
      </c>
      <c r="M850" s="8" t="str">
        <f>_xlfn.XLOOKUP(tblFinancials[[#This Row],[AccountKey]],tblAccounts[AccountKey],tblAccounts[NormalBalance],"")</f>
        <v>Debit</v>
      </c>
      <c r="N850" s="8" t="str">
        <f>_xlfn.XLOOKUP(tblFinancials[[#This Row],[DepartmentKey]],tblDepartments[DepartmentKey],tblDepartments[DepartmentName],"")</f>
        <v>Executive</v>
      </c>
      <c r="O850" s="8" t="str">
        <f>_xlfn.XLOOKUP(tblFinancials[[#This Row],[BusinessUnitKey]],tblBusinessUnits[BusinessUnitKey],tblBusinessUnits[BusinessUnitName],"")</f>
        <v>E-Commerce</v>
      </c>
      <c r="P850" s="8" t="str">
        <f>_xlfn.XLOOKUP(tblFinancials[[#This Row],[RegionKey]],tblRegions[RegionKey],tblRegions[RegionName],"")</f>
        <v>Midwest</v>
      </c>
    </row>
    <row r="851" spans="1:16">
      <c r="A851">
        <v>20241201</v>
      </c>
      <c r="B851">
        <v>5</v>
      </c>
      <c r="C851">
        <v>1</v>
      </c>
      <c r="D851">
        <v>2</v>
      </c>
      <c r="E851">
        <v>14</v>
      </c>
      <c r="F851" t="s">
        <v>92</v>
      </c>
      <c r="G851">
        <v>-21230.5</v>
      </c>
      <c r="H851">
        <f>_xlfn.XLOOKUP(tblFinancials[[#This Row],[DateKey]],tblCalendar[DateKey],tblCalendar[FullDate],"")</f>
        <v>45627</v>
      </c>
      <c r="I851">
        <f>_xlfn.XLOOKUP(tblFinancials[[#This Row],[AccountKey]],tblAccounts[AccountKey],tblAccounts[AccountNumber],"")</f>
        <v>5000</v>
      </c>
      <c r="J851" t="str">
        <f>_xlfn.XLOOKUP(tblFinancials[[#This Row],[AccountKey]],tblAccounts[AccountKey],tblAccounts[AccountName],"")</f>
        <v>Cost of Goods Sold</v>
      </c>
      <c r="K851" s="8" t="str">
        <f>_xlfn.XLOOKUP(tblFinancials[[#This Row],[AccountKey]],tblAccounts[AccountKey],tblAccounts[FinancialStatement],"")</f>
        <v>Income Statement</v>
      </c>
      <c r="L851" s="8" t="str">
        <f>_xlfn.XLOOKUP(tblFinancials[[#This Row],[AccountKey]],tblAccounts[AccountKey],tblAccounts[AccountCategory],"")</f>
        <v>Cost of Sales</v>
      </c>
      <c r="M851" s="8" t="str">
        <f>_xlfn.XLOOKUP(tblFinancials[[#This Row],[AccountKey]],tblAccounts[AccountKey],tblAccounts[NormalBalance],"")</f>
        <v>Debit</v>
      </c>
      <c r="N851" s="8" t="str">
        <f>_xlfn.XLOOKUP(tblFinancials[[#This Row],[DepartmentKey]],tblDepartments[DepartmentKey],tblDepartments[DepartmentName],"")</f>
        <v>Marketing</v>
      </c>
      <c r="O851" s="8" t="str">
        <f>_xlfn.XLOOKUP(tblFinancials[[#This Row],[BusinessUnitKey]],tblBusinessUnits[BusinessUnitKey],tblBusinessUnits[BusinessUnitName],"")</f>
        <v xml:space="preserve">Manufacturing </v>
      </c>
      <c r="P851" s="8" t="str">
        <f>_xlfn.XLOOKUP(tblFinancials[[#This Row],[RegionKey]],tblRegions[RegionKey],tblRegions[RegionName],"")</f>
        <v>Midwest</v>
      </c>
    </row>
    <row r="852" spans="1:16">
      <c r="A852">
        <v>20241201</v>
      </c>
      <c r="B852">
        <v>6</v>
      </c>
      <c r="C852">
        <v>1</v>
      </c>
      <c r="D852">
        <v>1</v>
      </c>
      <c r="E852">
        <v>14</v>
      </c>
      <c r="F852" t="s">
        <v>92</v>
      </c>
      <c r="G852">
        <v>-21790.43</v>
      </c>
      <c r="H852">
        <f>_xlfn.XLOOKUP(tblFinancials[[#This Row],[DateKey]],tblCalendar[DateKey],tblCalendar[FullDate],"")</f>
        <v>45627</v>
      </c>
      <c r="I852">
        <f>_xlfn.XLOOKUP(tblFinancials[[#This Row],[AccountKey]],tblAccounts[AccountKey],tblAccounts[AccountNumber],"")</f>
        <v>5000</v>
      </c>
      <c r="J852" t="str">
        <f>_xlfn.XLOOKUP(tblFinancials[[#This Row],[AccountKey]],tblAccounts[AccountKey],tblAccounts[AccountName],"")</f>
        <v>Cost of Goods Sold</v>
      </c>
      <c r="K852" s="8" t="str">
        <f>_xlfn.XLOOKUP(tblFinancials[[#This Row],[AccountKey]],tblAccounts[AccountKey],tblAccounts[FinancialStatement],"")</f>
        <v>Income Statement</v>
      </c>
      <c r="L852" s="8" t="str">
        <f>_xlfn.XLOOKUP(tblFinancials[[#This Row],[AccountKey]],tblAccounts[AccountKey],tblAccounts[AccountCategory],"")</f>
        <v>Cost of Sales</v>
      </c>
      <c r="M852" s="8" t="str">
        <f>_xlfn.XLOOKUP(tblFinancials[[#This Row],[AccountKey]],tblAccounts[AccountKey],tblAccounts[NormalBalance],"")</f>
        <v>Debit</v>
      </c>
      <c r="N852" s="8" t="str">
        <f>_xlfn.XLOOKUP(tblFinancials[[#This Row],[DepartmentKey]],tblDepartments[DepartmentKey],tblDepartments[DepartmentName],"")</f>
        <v>Operations</v>
      </c>
      <c r="O852" s="8" t="str">
        <f>_xlfn.XLOOKUP(tblFinancials[[#This Row],[BusinessUnitKey]],tblBusinessUnits[BusinessUnitKey],tblBusinessUnits[BusinessUnitName],"")</f>
        <v xml:space="preserve">Manufacturing </v>
      </c>
      <c r="P852" s="8" t="str">
        <f>_xlfn.XLOOKUP(tblFinancials[[#This Row],[RegionKey]],tblRegions[RegionKey],tblRegions[RegionName],"")</f>
        <v>West</v>
      </c>
    </row>
    <row r="853" spans="1:16">
      <c r="A853">
        <v>20241201</v>
      </c>
      <c r="B853">
        <v>5</v>
      </c>
      <c r="C853">
        <v>2</v>
      </c>
      <c r="D853">
        <v>3</v>
      </c>
      <c r="E853">
        <v>14</v>
      </c>
      <c r="F853" t="s">
        <v>92</v>
      </c>
      <c r="G853">
        <v>-21991.15</v>
      </c>
      <c r="H853">
        <f>_xlfn.XLOOKUP(tblFinancials[[#This Row],[DateKey]],tblCalendar[DateKey],tblCalendar[FullDate],"")</f>
        <v>45627</v>
      </c>
      <c r="I853">
        <f>_xlfn.XLOOKUP(tblFinancials[[#This Row],[AccountKey]],tblAccounts[AccountKey],tblAccounts[AccountNumber],"")</f>
        <v>5000</v>
      </c>
      <c r="J853" t="str">
        <f>_xlfn.XLOOKUP(tblFinancials[[#This Row],[AccountKey]],tblAccounts[AccountKey],tblAccounts[AccountName],"")</f>
        <v>Cost of Goods Sold</v>
      </c>
      <c r="K853" s="8" t="str">
        <f>_xlfn.XLOOKUP(tblFinancials[[#This Row],[AccountKey]],tblAccounts[AccountKey],tblAccounts[FinancialStatement],"")</f>
        <v>Income Statement</v>
      </c>
      <c r="L853" s="8" t="str">
        <f>_xlfn.XLOOKUP(tblFinancials[[#This Row],[AccountKey]],tblAccounts[AccountKey],tblAccounts[AccountCategory],"")</f>
        <v>Cost of Sales</v>
      </c>
      <c r="M853" s="8" t="str">
        <f>_xlfn.XLOOKUP(tblFinancials[[#This Row],[AccountKey]],tblAccounts[AccountKey],tblAccounts[NormalBalance],"")</f>
        <v>Debit</v>
      </c>
      <c r="N853" s="8" t="str">
        <f>_xlfn.XLOOKUP(tblFinancials[[#This Row],[DepartmentKey]],tblDepartments[DepartmentKey],tblDepartments[DepartmentName],"")</f>
        <v>Marketing</v>
      </c>
      <c r="O853" s="8" t="str">
        <f>_xlfn.XLOOKUP(tblFinancials[[#This Row],[BusinessUnitKey]],tblBusinessUnits[BusinessUnitKey],tblBusinessUnits[BusinessUnitName],"")</f>
        <v>Wholesale</v>
      </c>
      <c r="P853" s="8" t="str">
        <f>_xlfn.XLOOKUP(tblFinancials[[#This Row],[RegionKey]],tblRegions[RegionKey],tblRegions[RegionName],"")</f>
        <v>South</v>
      </c>
    </row>
    <row r="854" spans="1:16">
      <c r="A854">
        <v>20241201</v>
      </c>
      <c r="B854">
        <v>1</v>
      </c>
      <c r="C854">
        <v>4</v>
      </c>
      <c r="D854">
        <v>4</v>
      </c>
      <c r="E854">
        <v>18</v>
      </c>
      <c r="F854" t="s">
        <v>92</v>
      </c>
      <c r="G854">
        <v>-8458.3700000000008</v>
      </c>
      <c r="H854">
        <f>_xlfn.XLOOKUP(tblFinancials[[#This Row],[DateKey]],tblCalendar[DateKey],tblCalendar[FullDate],"")</f>
        <v>45627</v>
      </c>
      <c r="I854">
        <f>_xlfn.XLOOKUP(tblFinancials[[#This Row],[AccountKey]],tblAccounts[AccountKey],tblAccounts[AccountNumber],"")</f>
        <v>6200</v>
      </c>
      <c r="J854" t="str">
        <f>_xlfn.XLOOKUP(tblFinancials[[#This Row],[AccountKey]],tblAccounts[AccountKey],tblAccounts[AccountName],"")</f>
        <v>Marketing Expense</v>
      </c>
      <c r="K854" s="8" t="str">
        <f>_xlfn.XLOOKUP(tblFinancials[[#This Row],[AccountKey]],tblAccounts[AccountKey],tblAccounts[FinancialStatement],"")</f>
        <v>Income Statement</v>
      </c>
      <c r="L854" s="8" t="str">
        <f>_xlfn.XLOOKUP(tblFinancials[[#This Row],[AccountKey]],tblAccounts[AccountKey],tblAccounts[AccountCategory],"")</f>
        <v>Operating Expense</v>
      </c>
      <c r="M854" s="8" t="str">
        <f>_xlfn.XLOOKUP(tblFinancials[[#This Row],[AccountKey]],tblAccounts[AccountKey],tblAccounts[NormalBalance],"")</f>
        <v>Debit</v>
      </c>
      <c r="N854" s="8" t="str">
        <f>_xlfn.XLOOKUP(tblFinancials[[#This Row],[DepartmentKey]],tblDepartments[DepartmentKey],tblDepartments[DepartmentName],"")</f>
        <v>Executive</v>
      </c>
      <c r="O854" s="8" t="str">
        <f>_xlfn.XLOOKUP(tblFinancials[[#This Row],[BusinessUnitKey]],tblBusinessUnits[BusinessUnitKey],tblBusinessUnits[BusinessUnitName],"")</f>
        <v>E-Commerce</v>
      </c>
      <c r="P854" s="8" t="str">
        <f>_xlfn.XLOOKUP(tblFinancials[[#This Row],[RegionKey]],tblRegions[RegionKey],tblRegions[RegionName],"")</f>
        <v>East</v>
      </c>
    </row>
    <row r="855" spans="1:16">
      <c r="A855">
        <v>20241201</v>
      </c>
      <c r="B855">
        <v>4</v>
      </c>
      <c r="C855">
        <v>4</v>
      </c>
      <c r="D855">
        <v>3</v>
      </c>
      <c r="E855">
        <v>18</v>
      </c>
      <c r="F855" t="s">
        <v>92</v>
      </c>
      <c r="G855">
        <v>-7539</v>
      </c>
      <c r="H855">
        <f>_xlfn.XLOOKUP(tblFinancials[[#This Row],[DateKey]],tblCalendar[DateKey],tblCalendar[FullDate],"")</f>
        <v>45627</v>
      </c>
      <c r="I855">
        <f>_xlfn.XLOOKUP(tblFinancials[[#This Row],[AccountKey]],tblAccounts[AccountKey],tblAccounts[AccountNumber],"")</f>
        <v>6200</v>
      </c>
      <c r="J855" t="str">
        <f>_xlfn.XLOOKUP(tblFinancials[[#This Row],[AccountKey]],tblAccounts[AccountKey],tblAccounts[AccountName],"")</f>
        <v>Marketing Expense</v>
      </c>
      <c r="K855" s="8" t="str">
        <f>_xlfn.XLOOKUP(tblFinancials[[#This Row],[AccountKey]],tblAccounts[AccountKey],tblAccounts[FinancialStatement],"")</f>
        <v>Income Statement</v>
      </c>
      <c r="L855" s="8" t="str">
        <f>_xlfn.XLOOKUP(tblFinancials[[#This Row],[AccountKey]],tblAccounts[AccountKey],tblAccounts[AccountCategory],"")</f>
        <v>Operating Expense</v>
      </c>
      <c r="M855" s="8" t="str">
        <f>_xlfn.XLOOKUP(tblFinancials[[#This Row],[AccountKey]],tblAccounts[AccountKey],tblAccounts[NormalBalance],"")</f>
        <v>Debit</v>
      </c>
      <c r="N855" s="8" t="str">
        <f>_xlfn.XLOOKUP(tblFinancials[[#This Row],[DepartmentKey]],tblDepartments[DepartmentKey],tblDepartments[DepartmentName],"")</f>
        <v>Sales</v>
      </c>
      <c r="O855" s="8" t="str">
        <f>_xlfn.XLOOKUP(tblFinancials[[#This Row],[BusinessUnitKey]],tblBusinessUnits[BusinessUnitKey],tblBusinessUnits[BusinessUnitName],"")</f>
        <v>E-Commerce</v>
      </c>
      <c r="P855" s="8" t="str">
        <f>_xlfn.XLOOKUP(tblFinancials[[#This Row],[RegionKey]],tblRegions[RegionKey],tblRegions[RegionName],"")</f>
        <v>South</v>
      </c>
    </row>
    <row r="856" spans="1:16">
      <c r="A856">
        <v>20241201</v>
      </c>
      <c r="B856">
        <v>1</v>
      </c>
      <c r="C856">
        <v>4</v>
      </c>
      <c r="D856">
        <v>1</v>
      </c>
      <c r="E856">
        <v>18</v>
      </c>
      <c r="F856" t="s">
        <v>92</v>
      </c>
      <c r="G856">
        <v>-9432.24</v>
      </c>
      <c r="H856">
        <f>_xlfn.XLOOKUP(tblFinancials[[#This Row],[DateKey]],tblCalendar[DateKey],tblCalendar[FullDate],"")</f>
        <v>45627</v>
      </c>
      <c r="I856">
        <f>_xlfn.XLOOKUP(tblFinancials[[#This Row],[AccountKey]],tblAccounts[AccountKey],tblAccounts[AccountNumber],"")</f>
        <v>6200</v>
      </c>
      <c r="J856" t="str">
        <f>_xlfn.XLOOKUP(tblFinancials[[#This Row],[AccountKey]],tblAccounts[AccountKey],tblAccounts[AccountName],"")</f>
        <v>Marketing Expense</v>
      </c>
      <c r="K856" s="8" t="str">
        <f>_xlfn.XLOOKUP(tblFinancials[[#This Row],[AccountKey]],tblAccounts[AccountKey],tblAccounts[FinancialStatement],"")</f>
        <v>Income Statement</v>
      </c>
      <c r="L856" s="8" t="str">
        <f>_xlfn.XLOOKUP(tblFinancials[[#This Row],[AccountKey]],tblAccounts[AccountKey],tblAccounts[AccountCategory],"")</f>
        <v>Operating Expense</v>
      </c>
      <c r="M856" s="8" t="str">
        <f>_xlfn.XLOOKUP(tblFinancials[[#This Row],[AccountKey]],tblAccounts[AccountKey],tblAccounts[NormalBalance],"")</f>
        <v>Debit</v>
      </c>
      <c r="N856" s="8" t="str">
        <f>_xlfn.XLOOKUP(tblFinancials[[#This Row],[DepartmentKey]],tblDepartments[DepartmentKey],tblDepartments[DepartmentName],"")</f>
        <v>Executive</v>
      </c>
      <c r="O856" s="8" t="str">
        <f>_xlfn.XLOOKUP(tblFinancials[[#This Row],[BusinessUnitKey]],tblBusinessUnits[BusinessUnitKey],tblBusinessUnits[BusinessUnitName],"")</f>
        <v>E-Commerce</v>
      </c>
      <c r="P856" s="8" t="str">
        <f>_xlfn.XLOOKUP(tblFinancials[[#This Row],[RegionKey]],tblRegions[RegionKey],tblRegions[RegionName],"")</f>
        <v>West</v>
      </c>
    </row>
    <row r="857" spans="1:16">
      <c r="A857">
        <v>20241201</v>
      </c>
      <c r="B857">
        <v>2</v>
      </c>
      <c r="C857">
        <v>3</v>
      </c>
      <c r="D857">
        <v>2</v>
      </c>
      <c r="E857">
        <v>25</v>
      </c>
      <c r="F857" t="s">
        <v>92</v>
      </c>
      <c r="G857">
        <v>-9204.6</v>
      </c>
      <c r="H857">
        <f>_xlfn.XLOOKUP(tblFinancials[[#This Row],[DateKey]],tblCalendar[DateKey],tblCalendar[FullDate],"")</f>
        <v>45627</v>
      </c>
      <c r="I857">
        <f>_xlfn.XLOOKUP(tblFinancials[[#This Row],[AccountKey]],tblAccounts[AccountKey],tblAccounts[AccountNumber],"")</f>
        <v>8200</v>
      </c>
      <c r="J857" t="str">
        <f>_xlfn.XLOOKUP(tblFinancials[[#This Row],[AccountKey]],tblAccounts[AccountKey],tblAccounts[AccountName],"")</f>
        <v>Income Tax Expense</v>
      </c>
      <c r="K857" s="8" t="str">
        <f>_xlfn.XLOOKUP(tblFinancials[[#This Row],[AccountKey]],tblAccounts[AccountKey],tblAccounts[FinancialStatement],"")</f>
        <v>Income Statement</v>
      </c>
      <c r="L857" s="8" t="str">
        <f>_xlfn.XLOOKUP(tblFinancials[[#This Row],[AccountKey]],tblAccounts[AccountKey],tblAccounts[AccountCategory],"")</f>
        <v>Tax Expense</v>
      </c>
      <c r="M857" s="8" t="str">
        <f>_xlfn.XLOOKUP(tblFinancials[[#This Row],[AccountKey]],tblAccounts[AccountKey],tblAccounts[NormalBalance],"")</f>
        <v>Debit</v>
      </c>
      <c r="N857" s="8" t="str">
        <f>_xlfn.XLOOKUP(tblFinancials[[#This Row],[DepartmentKey]],tblDepartments[DepartmentKey],tblDepartments[DepartmentName],"")</f>
        <v>Finance</v>
      </c>
      <c r="O857" s="8" t="str">
        <f>_xlfn.XLOOKUP(tblFinancials[[#This Row],[BusinessUnitKey]],tblBusinessUnits[BusinessUnitKey],tblBusinessUnits[BusinessUnitName],"")</f>
        <v>Retail</v>
      </c>
      <c r="P857" s="8" t="str">
        <f>_xlfn.XLOOKUP(tblFinancials[[#This Row],[RegionKey]],tblRegions[RegionKey],tblRegions[RegionName],"")</f>
        <v>Midwest</v>
      </c>
    </row>
    <row r="858" spans="1:16">
      <c r="A858">
        <v>20241201</v>
      </c>
      <c r="B858">
        <v>3</v>
      </c>
      <c r="C858">
        <v>3</v>
      </c>
      <c r="D858">
        <v>3</v>
      </c>
      <c r="E858">
        <v>25</v>
      </c>
      <c r="F858" t="s">
        <v>92</v>
      </c>
      <c r="G858">
        <v>-7771.84</v>
      </c>
      <c r="H858">
        <f>_xlfn.XLOOKUP(tblFinancials[[#This Row],[DateKey]],tblCalendar[DateKey],tblCalendar[FullDate],"")</f>
        <v>45627</v>
      </c>
      <c r="I858">
        <f>_xlfn.XLOOKUP(tblFinancials[[#This Row],[AccountKey]],tblAccounts[AccountKey],tblAccounts[AccountNumber],"")</f>
        <v>8200</v>
      </c>
      <c r="J858" t="str">
        <f>_xlfn.XLOOKUP(tblFinancials[[#This Row],[AccountKey]],tblAccounts[AccountKey],tblAccounts[AccountName],"")</f>
        <v>Income Tax Expense</v>
      </c>
      <c r="K858" s="8" t="str">
        <f>_xlfn.XLOOKUP(tblFinancials[[#This Row],[AccountKey]],tblAccounts[AccountKey],tblAccounts[FinancialStatement],"")</f>
        <v>Income Statement</v>
      </c>
      <c r="L858" s="8" t="str">
        <f>_xlfn.XLOOKUP(tblFinancials[[#This Row],[AccountKey]],tblAccounts[AccountKey],tblAccounts[AccountCategory],"")</f>
        <v>Tax Expense</v>
      </c>
      <c r="M858" s="8" t="str">
        <f>_xlfn.XLOOKUP(tblFinancials[[#This Row],[AccountKey]],tblAccounts[AccountKey],tblAccounts[NormalBalance],"")</f>
        <v>Debit</v>
      </c>
      <c r="N858" s="8" t="str">
        <f>_xlfn.XLOOKUP(tblFinancials[[#This Row],[DepartmentKey]],tblDepartments[DepartmentKey],tblDepartments[DepartmentName],"")</f>
        <v>Human Resources</v>
      </c>
      <c r="O858" s="8" t="str">
        <f>_xlfn.XLOOKUP(tblFinancials[[#This Row],[BusinessUnitKey]],tblBusinessUnits[BusinessUnitKey],tblBusinessUnits[BusinessUnitName],"")</f>
        <v>Retail</v>
      </c>
      <c r="P858" s="8" t="str">
        <f>_xlfn.XLOOKUP(tblFinancials[[#This Row],[RegionKey]],tblRegions[RegionKey],tblRegions[RegionName],"")</f>
        <v>South</v>
      </c>
    </row>
    <row r="859" spans="1:16">
      <c r="A859">
        <v>20241201</v>
      </c>
      <c r="B859">
        <v>7</v>
      </c>
      <c r="C859">
        <v>1</v>
      </c>
      <c r="D859">
        <v>3</v>
      </c>
      <c r="E859">
        <v>23</v>
      </c>
      <c r="F859" t="s">
        <v>92</v>
      </c>
      <c r="G859">
        <v>-9682.34</v>
      </c>
      <c r="H859">
        <f>_xlfn.XLOOKUP(tblFinancials[[#This Row],[DateKey]],tblCalendar[DateKey],tblCalendar[FullDate],"")</f>
        <v>45627</v>
      </c>
      <c r="I859">
        <f>_xlfn.XLOOKUP(tblFinancials[[#This Row],[AccountKey]],tblAccounts[AccountKey],tblAccounts[AccountNumber],"")</f>
        <v>6800</v>
      </c>
      <c r="J859" t="str">
        <f>_xlfn.XLOOKUP(tblFinancials[[#This Row],[AccountKey]],tblAccounts[AccountKey],tblAccounts[AccountName],"")</f>
        <v>Travel Expense</v>
      </c>
      <c r="K859" s="8" t="str">
        <f>_xlfn.XLOOKUP(tblFinancials[[#This Row],[AccountKey]],tblAccounts[AccountKey],tblAccounts[FinancialStatement],"")</f>
        <v>Income Statement</v>
      </c>
      <c r="L859" s="8" t="str">
        <f>_xlfn.XLOOKUP(tblFinancials[[#This Row],[AccountKey]],tblAccounts[AccountKey],tblAccounts[AccountCategory],"")</f>
        <v>Operating Expense</v>
      </c>
      <c r="M859" s="8" t="str">
        <f>_xlfn.XLOOKUP(tblFinancials[[#This Row],[AccountKey]],tblAccounts[AccountKey],tblAccounts[NormalBalance],"")</f>
        <v>Debit</v>
      </c>
      <c r="N859" s="8" t="str">
        <f>_xlfn.XLOOKUP(tblFinancials[[#This Row],[DepartmentKey]],tblDepartments[DepartmentKey],tblDepartments[DepartmentName],"")</f>
        <v>Information Technology</v>
      </c>
      <c r="O859" s="8" t="str">
        <f>_xlfn.XLOOKUP(tblFinancials[[#This Row],[BusinessUnitKey]],tblBusinessUnits[BusinessUnitKey],tblBusinessUnits[BusinessUnitName],"")</f>
        <v xml:space="preserve">Manufacturing </v>
      </c>
      <c r="P859" s="8" t="str">
        <f>_xlfn.XLOOKUP(tblFinancials[[#This Row],[RegionKey]],tblRegions[RegionKey],tblRegions[RegionName],"")</f>
        <v>South</v>
      </c>
    </row>
    <row r="860" spans="1:16">
      <c r="A860">
        <v>20241201</v>
      </c>
      <c r="B860">
        <v>4</v>
      </c>
      <c r="C860">
        <v>4</v>
      </c>
      <c r="D860">
        <v>3</v>
      </c>
      <c r="E860">
        <v>17</v>
      </c>
      <c r="F860" t="s">
        <v>92</v>
      </c>
      <c r="G860">
        <v>-8210.69</v>
      </c>
      <c r="H860">
        <f>_xlfn.XLOOKUP(tblFinancials[[#This Row],[DateKey]],tblCalendar[DateKey],tblCalendar[FullDate],"")</f>
        <v>45627</v>
      </c>
      <c r="I860">
        <f>_xlfn.XLOOKUP(tblFinancials[[#This Row],[AccountKey]],tblAccounts[AccountKey],tblAccounts[AccountNumber],"")</f>
        <v>6120</v>
      </c>
      <c r="J860" t="str">
        <f>_xlfn.XLOOKUP(tblFinancials[[#This Row],[AccountKey]],tblAccounts[AccountKey],tblAccounts[AccountName],"")</f>
        <v>Employee Benefits</v>
      </c>
      <c r="K860" s="8" t="str">
        <f>_xlfn.XLOOKUP(tblFinancials[[#This Row],[AccountKey]],tblAccounts[AccountKey],tblAccounts[FinancialStatement],"")</f>
        <v>Income Statement</v>
      </c>
      <c r="L860" s="8" t="str">
        <f>_xlfn.XLOOKUP(tblFinancials[[#This Row],[AccountKey]],tblAccounts[AccountKey],tblAccounts[AccountCategory],"")</f>
        <v>Operating Expense</v>
      </c>
      <c r="M860" s="8" t="str">
        <f>_xlfn.XLOOKUP(tblFinancials[[#This Row],[AccountKey]],tblAccounts[AccountKey],tblAccounts[NormalBalance],"")</f>
        <v>Debit</v>
      </c>
      <c r="N860" s="8" t="str">
        <f>_xlfn.XLOOKUP(tblFinancials[[#This Row],[DepartmentKey]],tblDepartments[DepartmentKey],tblDepartments[DepartmentName],"")</f>
        <v>Sales</v>
      </c>
      <c r="O860" s="8" t="str">
        <f>_xlfn.XLOOKUP(tblFinancials[[#This Row],[BusinessUnitKey]],tblBusinessUnits[BusinessUnitKey],tblBusinessUnits[BusinessUnitName],"")</f>
        <v>E-Commerce</v>
      </c>
      <c r="P860" s="8" t="str">
        <f>_xlfn.XLOOKUP(tblFinancials[[#This Row],[RegionKey]],tblRegions[RegionKey],tblRegions[RegionName],"")</f>
        <v>South</v>
      </c>
    </row>
    <row r="861" spans="1:16">
      <c r="A861">
        <v>20241201</v>
      </c>
      <c r="B861">
        <v>4</v>
      </c>
      <c r="C861">
        <v>3</v>
      </c>
      <c r="D861">
        <v>1</v>
      </c>
      <c r="E861">
        <v>24</v>
      </c>
      <c r="F861" t="s">
        <v>92</v>
      </c>
      <c r="G861">
        <v>-7973.84</v>
      </c>
      <c r="H861">
        <f>_xlfn.XLOOKUP(tblFinancials[[#This Row],[DateKey]],tblCalendar[DateKey],tblCalendar[FullDate],"")</f>
        <v>45627</v>
      </c>
      <c r="I861">
        <f>_xlfn.XLOOKUP(tblFinancials[[#This Row],[AccountKey]],tblAccounts[AccountKey],tblAccounts[AccountNumber],"")</f>
        <v>6900</v>
      </c>
      <c r="J861" t="str">
        <f>_xlfn.XLOOKUP(tblFinancials[[#This Row],[AccountKey]],tblAccounts[AccountKey],tblAccounts[AccountName],"")</f>
        <v>Professional Services</v>
      </c>
      <c r="K861" s="8" t="str">
        <f>_xlfn.XLOOKUP(tblFinancials[[#This Row],[AccountKey]],tblAccounts[AccountKey],tblAccounts[FinancialStatement],"")</f>
        <v>Income Statement</v>
      </c>
      <c r="L861" s="8" t="str">
        <f>_xlfn.XLOOKUP(tblFinancials[[#This Row],[AccountKey]],tblAccounts[AccountKey],tblAccounts[AccountCategory],"")</f>
        <v>Operating Expense</v>
      </c>
      <c r="M861" s="8" t="str">
        <f>_xlfn.XLOOKUP(tblFinancials[[#This Row],[AccountKey]],tblAccounts[AccountKey],tblAccounts[NormalBalance],"")</f>
        <v>Debit</v>
      </c>
      <c r="N861" s="8" t="str">
        <f>_xlfn.XLOOKUP(tblFinancials[[#This Row],[DepartmentKey]],tblDepartments[DepartmentKey],tblDepartments[DepartmentName],"")</f>
        <v>Sales</v>
      </c>
      <c r="O861" s="8" t="str">
        <f>_xlfn.XLOOKUP(tblFinancials[[#This Row],[BusinessUnitKey]],tblBusinessUnits[BusinessUnitKey],tblBusinessUnits[BusinessUnitName],"")</f>
        <v>Retail</v>
      </c>
      <c r="P861" s="8" t="str">
        <f>_xlfn.XLOOKUP(tblFinancials[[#This Row],[RegionKey]],tblRegions[RegionKey],tblRegions[RegionName],"")</f>
        <v>West</v>
      </c>
    </row>
    <row r="862" spans="1:16">
      <c r="A862">
        <v>20241201</v>
      </c>
      <c r="B862">
        <v>4</v>
      </c>
      <c r="C862">
        <v>2</v>
      </c>
      <c r="D862">
        <v>1</v>
      </c>
      <c r="E862">
        <v>25</v>
      </c>
      <c r="F862" t="s">
        <v>92</v>
      </c>
      <c r="G862">
        <v>-8223.64</v>
      </c>
      <c r="H862">
        <f>_xlfn.XLOOKUP(tblFinancials[[#This Row],[DateKey]],tblCalendar[DateKey],tblCalendar[FullDate],"")</f>
        <v>45627</v>
      </c>
      <c r="I862">
        <f>_xlfn.XLOOKUP(tblFinancials[[#This Row],[AccountKey]],tblAccounts[AccountKey],tblAccounts[AccountNumber],"")</f>
        <v>8200</v>
      </c>
      <c r="J862" t="str">
        <f>_xlfn.XLOOKUP(tblFinancials[[#This Row],[AccountKey]],tblAccounts[AccountKey],tblAccounts[AccountName],"")</f>
        <v>Income Tax Expense</v>
      </c>
      <c r="K862" s="8" t="str">
        <f>_xlfn.XLOOKUP(tblFinancials[[#This Row],[AccountKey]],tblAccounts[AccountKey],tblAccounts[FinancialStatement],"")</f>
        <v>Income Statement</v>
      </c>
      <c r="L862" s="8" t="str">
        <f>_xlfn.XLOOKUP(tblFinancials[[#This Row],[AccountKey]],tblAccounts[AccountKey],tblAccounts[AccountCategory],"")</f>
        <v>Tax Expense</v>
      </c>
      <c r="M862" s="8" t="str">
        <f>_xlfn.XLOOKUP(tblFinancials[[#This Row],[AccountKey]],tblAccounts[AccountKey],tblAccounts[NormalBalance],"")</f>
        <v>Debit</v>
      </c>
      <c r="N862" s="8" t="str">
        <f>_xlfn.XLOOKUP(tblFinancials[[#This Row],[DepartmentKey]],tblDepartments[DepartmentKey],tblDepartments[DepartmentName],"")</f>
        <v>Sales</v>
      </c>
      <c r="O862" s="8" t="str">
        <f>_xlfn.XLOOKUP(tblFinancials[[#This Row],[BusinessUnitKey]],tblBusinessUnits[BusinessUnitKey],tblBusinessUnits[BusinessUnitName],"")</f>
        <v>Wholesale</v>
      </c>
      <c r="P862" s="8" t="str">
        <f>_xlfn.XLOOKUP(tblFinancials[[#This Row],[RegionKey]],tblRegions[RegionKey],tblRegions[RegionName],"")</f>
        <v>West</v>
      </c>
    </row>
    <row r="863" spans="1:16">
      <c r="A863">
        <v>20241201</v>
      </c>
      <c r="B863">
        <v>2</v>
      </c>
      <c r="C863">
        <v>2</v>
      </c>
      <c r="D863">
        <v>4</v>
      </c>
      <c r="E863">
        <v>21</v>
      </c>
      <c r="F863" t="s">
        <v>92</v>
      </c>
      <c r="G863">
        <v>-9002.4699999999993</v>
      </c>
      <c r="H863">
        <f>_xlfn.XLOOKUP(tblFinancials[[#This Row],[DateKey]],tblCalendar[DateKey],tblCalendar[FullDate],"")</f>
        <v>45627</v>
      </c>
      <c r="I863">
        <f>_xlfn.XLOOKUP(tblFinancials[[#This Row],[AccountKey]],tblAccounts[AccountKey],tblAccounts[AccountNumber],"")</f>
        <v>6600</v>
      </c>
      <c r="J863" t="str">
        <f>_xlfn.XLOOKUP(tblFinancials[[#This Row],[AccountKey]],tblAccounts[AccountKey],tblAccounts[AccountName],"")</f>
        <v>Utilities Expense</v>
      </c>
      <c r="K863" s="8" t="str">
        <f>_xlfn.XLOOKUP(tblFinancials[[#This Row],[AccountKey]],tblAccounts[AccountKey],tblAccounts[FinancialStatement],"")</f>
        <v>Income Statement</v>
      </c>
      <c r="L863" s="8" t="str">
        <f>_xlfn.XLOOKUP(tblFinancials[[#This Row],[AccountKey]],tblAccounts[AccountKey],tblAccounts[AccountCategory],"")</f>
        <v>Operating Expense</v>
      </c>
      <c r="M863" s="8" t="str">
        <f>_xlfn.XLOOKUP(tblFinancials[[#This Row],[AccountKey]],tblAccounts[AccountKey],tblAccounts[NormalBalance],"")</f>
        <v>Debit</v>
      </c>
      <c r="N863" s="8" t="str">
        <f>_xlfn.XLOOKUP(tblFinancials[[#This Row],[DepartmentKey]],tblDepartments[DepartmentKey],tblDepartments[DepartmentName],"")</f>
        <v>Finance</v>
      </c>
      <c r="O863" s="8" t="str">
        <f>_xlfn.XLOOKUP(tblFinancials[[#This Row],[BusinessUnitKey]],tblBusinessUnits[BusinessUnitKey],tblBusinessUnits[BusinessUnitName],"")</f>
        <v>Wholesale</v>
      </c>
      <c r="P863" s="8" t="str">
        <f>_xlfn.XLOOKUP(tblFinancials[[#This Row],[RegionKey]],tblRegions[RegionKey],tblRegions[RegionName],"")</f>
        <v>East</v>
      </c>
    </row>
    <row r="864" spans="1:16">
      <c r="A864">
        <v>20241201</v>
      </c>
      <c r="B864">
        <v>3</v>
      </c>
      <c r="C864">
        <v>2</v>
      </c>
      <c r="D864">
        <v>1</v>
      </c>
      <c r="E864">
        <v>18</v>
      </c>
      <c r="F864" t="s">
        <v>92</v>
      </c>
      <c r="G864">
        <v>-9376.2000000000007</v>
      </c>
      <c r="H864">
        <f>_xlfn.XLOOKUP(tblFinancials[[#This Row],[DateKey]],tblCalendar[DateKey],tblCalendar[FullDate],"")</f>
        <v>45627</v>
      </c>
      <c r="I864">
        <f>_xlfn.XLOOKUP(tblFinancials[[#This Row],[AccountKey]],tblAccounts[AccountKey],tblAccounts[AccountNumber],"")</f>
        <v>6200</v>
      </c>
      <c r="J864" t="str">
        <f>_xlfn.XLOOKUP(tblFinancials[[#This Row],[AccountKey]],tblAccounts[AccountKey],tblAccounts[AccountName],"")</f>
        <v>Marketing Expense</v>
      </c>
      <c r="K864" s="8" t="str">
        <f>_xlfn.XLOOKUP(tblFinancials[[#This Row],[AccountKey]],tblAccounts[AccountKey],tblAccounts[FinancialStatement],"")</f>
        <v>Income Statement</v>
      </c>
      <c r="L864" s="8" t="str">
        <f>_xlfn.XLOOKUP(tblFinancials[[#This Row],[AccountKey]],tblAccounts[AccountKey],tblAccounts[AccountCategory],"")</f>
        <v>Operating Expense</v>
      </c>
      <c r="M864" s="8" t="str">
        <f>_xlfn.XLOOKUP(tblFinancials[[#This Row],[AccountKey]],tblAccounts[AccountKey],tblAccounts[NormalBalance],"")</f>
        <v>Debit</v>
      </c>
      <c r="N864" s="8" t="str">
        <f>_xlfn.XLOOKUP(tblFinancials[[#This Row],[DepartmentKey]],tblDepartments[DepartmentKey],tblDepartments[DepartmentName],"")</f>
        <v>Human Resources</v>
      </c>
      <c r="O864" s="8" t="str">
        <f>_xlfn.XLOOKUP(tblFinancials[[#This Row],[BusinessUnitKey]],tblBusinessUnits[BusinessUnitKey],tblBusinessUnits[BusinessUnitName],"")</f>
        <v>Wholesale</v>
      </c>
      <c r="P864" s="8" t="str">
        <f>_xlfn.XLOOKUP(tblFinancials[[#This Row],[RegionKey]],tblRegions[RegionKey],tblRegions[RegionName],"")</f>
        <v>West</v>
      </c>
    </row>
    <row r="865" spans="1:16">
      <c r="A865">
        <v>20241201</v>
      </c>
      <c r="B865">
        <v>6</v>
      </c>
      <c r="C865">
        <v>1</v>
      </c>
      <c r="D865">
        <v>3</v>
      </c>
      <c r="E865">
        <v>23</v>
      </c>
      <c r="F865" t="s">
        <v>92</v>
      </c>
      <c r="G865">
        <v>-7018.98</v>
      </c>
      <c r="H865">
        <f>_xlfn.XLOOKUP(tblFinancials[[#This Row],[DateKey]],tblCalendar[DateKey],tblCalendar[FullDate],"")</f>
        <v>45627</v>
      </c>
      <c r="I865">
        <f>_xlfn.XLOOKUP(tblFinancials[[#This Row],[AccountKey]],tblAccounts[AccountKey],tblAccounts[AccountNumber],"")</f>
        <v>6800</v>
      </c>
      <c r="J865" t="str">
        <f>_xlfn.XLOOKUP(tblFinancials[[#This Row],[AccountKey]],tblAccounts[AccountKey],tblAccounts[AccountName],"")</f>
        <v>Travel Expense</v>
      </c>
      <c r="K865" s="8" t="str">
        <f>_xlfn.XLOOKUP(tblFinancials[[#This Row],[AccountKey]],tblAccounts[AccountKey],tblAccounts[FinancialStatement],"")</f>
        <v>Income Statement</v>
      </c>
      <c r="L865" s="8" t="str">
        <f>_xlfn.XLOOKUP(tblFinancials[[#This Row],[AccountKey]],tblAccounts[AccountKey],tblAccounts[AccountCategory],"")</f>
        <v>Operating Expense</v>
      </c>
      <c r="M865" s="8" t="str">
        <f>_xlfn.XLOOKUP(tblFinancials[[#This Row],[AccountKey]],tblAccounts[AccountKey],tblAccounts[NormalBalance],"")</f>
        <v>Debit</v>
      </c>
      <c r="N865" s="8" t="str">
        <f>_xlfn.XLOOKUP(tblFinancials[[#This Row],[DepartmentKey]],tblDepartments[DepartmentKey],tblDepartments[DepartmentName],"")</f>
        <v>Operations</v>
      </c>
      <c r="O865" s="8" t="str">
        <f>_xlfn.XLOOKUP(tblFinancials[[#This Row],[BusinessUnitKey]],tblBusinessUnits[BusinessUnitKey],tblBusinessUnits[BusinessUnitName],"")</f>
        <v xml:space="preserve">Manufacturing </v>
      </c>
      <c r="P865" s="8" t="str">
        <f>_xlfn.XLOOKUP(tblFinancials[[#This Row],[RegionKey]],tblRegions[RegionKey],tblRegions[RegionName],"")</f>
        <v>South</v>
      </c>
    </row>
    <row r="866" spans="1:16">
      <c r="A866">
        <v>20250101</v>
      </c>
      <c r="B866">
        <v>8</v>
      </c>
      <c r="C866">
        <v>4</v>
      </c>
      <c r="D866">
        <v>1</v>
      </c>
      <c r="E866">
        <v>12</v>
      </c>
      <c r="F866" t="s">
        <v>92</v>
      </c>
      <c r="G866">
        <v>28400.02</v>
      </c>
      <c r="H866">
        <f>_xlfn.XLOOKUP(tblFinancials[[#This Row],[DateKey]],tblCalendar[DateKey],tblCalendar[FullDate],"")</f>
        <v>45658</v>
      </c>
      <c r="I866">
        <f>_xlfn.XLOOKUP(tblFinancials[[#This Row],[AccountKey]],tblAccounts[AccountKey],tblAccounts[AccountNumber],"")</f>
        <v>4010</v>
      </c>
      <c r="J866" t="str">
        <f>_xlfn.XLOOKUP(tblFinancials[[#This Row],[AccountKey]],tblAccounts[AccountKey],tblAccounts[AccountName],"")</f>
        <v>Service Revenue</v>
      </c>
      <c r="K866" s="8" t="str">
        <f>_xlfn.XLOOKUP(tblFinancials[[#This Row],[AccountKey]],tblAccounts[AccountKey],tblAccounts[FinancialStatement],"")</f>
        <v>Income Statement</v>
      </c>
      <c r="L866" s="8" t="str">
        <f>_xlfn.XLOOKUP(tblFinancials[[#This Row],[AccountKey]],tblAccounts[AccountKey],tblAccounts[AccountCategory],"")</f>
        <v>Revenue</v>
      </c>
      <c r="M866" s="8" t="str">
        <f>_xlfn.XLOOKUP(tblFinancials[[#This Row],[AccountKey]],tblAccounts[AccountKey],tblAccounts[NormalBalance],"")</f>
        <v>Credit</v>
      </c>
      <c r="N866" s="8" t="str">
        <f>_xlfn.XLOOKUP(tblFinancials[[#This Row],[DepartmentKey]],tblDepartments[DepartmentKey],tblDepartments[DepartmentName],"")</f>
        <v>Customer Service</v>
      </c>
      <c r="O866" s="8" t="str">
        <f>_xlfn.XLOOKUP(tblFinancials[[#This Row],[BusinessUnitKey]],tblBusinessUnits[BusinessUnitKey],tblBusinessUnits[BusinessUnitName],"")</f>
        <v>E-Commerce</v>
      </c>
      <c r="P866" s="8" t="str">
        <f>_xlfn.XLOOKUP(tblFinancials[[#This Row],[RegionKey]],tblRegions[RegionKey],tblRegions[RegionName],"")</f>
        <v>West</v>
      </c>
    </row>
    <row r="867" spans="1:16">
      <c r="A867">
        <v>20250101</v>
      </c>
      <c r="B867">
        <v>1</v>
      </c>
      <c r="C867">
        <v>4</v>
      </c>
      <c r="D867">
        <v>4</v>
      </c>
      <c r="E867">
        <v>11</v>
      </c>
      <c r="F867" t="s">
        <v>92</v>
      </c>
      <c r="G867">
        <v>29655.09</v>
      </c>
      <c r="H867">
        <f>_xlfn.XLOOKUP(tblFinancials[[#This Row],[DateKey]],tblCalendar[DateKey],tblCalendar[FullDate],"")</f>
        <v>45658</v>
      </c>
      <c r="I867">
        <f>_xlfn.XLOOKUP(tblFinancials[[#This Row],[AccountKey]],tblAccounts[AccountKey],tblAccounts[AccountNumber],"")</f>
        <v>4000</v>
      </c>
      <c r="J867" t="str">
        <f>_xlfn.XLOOKUP(tblFinancials[[#This Row],[AccountKey]],tblAccounts[AccountKey],tblAccounts[AccountName],"")</f>
        <v>Product Revenue</v>
      </c>
      <c r="K867" s="8" t="str">
        <f>_xlfn.XLOOKUP(tblFinancials[[#This Row],[AccountKey]],tblAccounts[AccountKey],tblAccounts[FinancialStatement],"")</f>
        <v>Income Statement</v>
      </c>
      <c r="L867" s="8" t="str">
        <f>_xlfn.XLOOKUP(tblFinancials[[#This Row],[AccountKey]],tblAccounts[AccountKey],tblAccounts[AccountCategory],"")</f>
        <v>Revenue</v>
      </c>
      <c r="M867" s="8" t="str">
        <f>_xlfn.XLOOKUP(tblFinancials[[#This Row],[AccountKey]],tblAccounts[AccountKey],tblAccounts[NormalBalance],"")</f>
        <v>Credit</v>
      </c>
      <c r="N867" s="8" t="str">
        <f>_xlfn.XLOOKUP(tblFinancials[[#This Row],[DepartmentKey]],tblDepartments[DepartmentKey],tblDepartments[DepartmentName],"")</f>
        <v>Executive</v>
      </c>
      <c r="O867" s="8" t="str">
        <f>_xlfn.XLOOKUP(tblFinancials[[#This Row],[BusinessUnitKey]],tblBusinessUnits[BusinessUnitKey],tblBusinessUnits[BusinessUnitName],"")</f>
        <v>E-Commerce</v>
      </c>
      <c r="P867" s="8" t="str">
        <f>_xlfn.XLOOKUP(tblFinancials[[#This Row],[RegionKey]],tblRegions[RegionKey],tblRegions[RegionName],"")</f>
        <v>East</v>
      </c>
    </row>
    <row r="868" spans="1:16">
      <c r="A868">
        <v>20250101</v>
      </c>
      <c r="B868">
        <v>4</v>
      </c>
      <c r="C868">
        <v>1</v>
      </c>
      <c r="D868">
        <v>4</v>
      </c>
      <c r="E868">
        <v>13</v>
      </c>
      <c r="F868" t="s">
        <v>92</v>
      </c>
      <c r="G868">
        <v>28684.2</v>
      </c>
      <c r="H868">
        <f>_xlfn.XLOOKUP(tblFinancials[[#This Row],[DateKey]],tblCalendar[DateKey],tblCalendar[FullDate],"")</f>
        <v>45658</v>
      </c>
      <c r="I868">
        <f>_xlfn.XLOOKUP(tblFinancials[[#This Row],[AccountKey]],tblAccounts[AccountKey],tblAccounts[AccountNumber],"")</f>
        <v>4020</v>
      </c>
      <c r="J868" t="str">
        <f>_xlfn.XLOOKUP(tblFinancials[[#This Row],[AccountKey]],tblAccounts[AccountKey],tblAccounts[AccountName],"")</f>
        <v>Online Revenue</v>
      </c>
      <c r="K868" s="8" t="str">
        <f>_xlfn.XLOOKUP(tblFinancials[[#This Row],[AccountKey]],tblAccounts[AccountKey],tblAccounts[FinancialStatement],"")</f>
        <v>Income Statement</v>
      </c>
      <c r="L868" s="8" t="str">
        <f>_xlfn.XLOOKUP(tblFinancials[[#This Row],[AccountKey]],tblAccounts[AccountKey],tblAccounts[AccountCategory],"")</f>
        <v>Revenue</v>
      </c>
      <c r="M868" s="8" t="str">
        <f>_xlfn.XLOOKUP(tblFinancials[[#This Row],[AccountKey]],tblAccounts[AccountKey],tblAccounts[NormalBalance],"")</f>
        <v>Credit</v>
      </c>
      <c r="N868" s="8" t="str">
        <f>_xlfn.XLOOKUP(tblFinancials[[#This Row],[DepartmentKey]],tblDepartments[DepartmentKey],tblDepartments[DepartmentName],"")</f>
        <v>Sales</v>
      </c>
      <c r="O868" s="8" t="str">
        <f>_xlfn.XLOOKUP(tblFinancials[[#This Row],[BusinessUnitKey]],tblBusinessUnits[BusinessUnitKey],tblBusinessUnits[BusinessUnitName],"")</f>
        <v xml:space="preserve">Manufacturing </v>
      </c>
      <c r="P868" s="8" t="str">
        <f>_xlfn.XLOOKUP(tblFinancials[[#This Row],[RegionKey]],tblRegions[RegionKey],tblRegions[RegionName],"")</f>
        <v>East</v>
      </c>
    </row>
    <row r="869" spans="1:16">
      <c r="A869">
        <v>20250101</v>
      </c>
      <c r="B869">
        <v>6</v>
      </c>
      <c r="C869">
        <v>2</v>
      </c>
      <c r="D869">
        <v>3</v>
      </c>
      <c r="E869">
        <v>12</v>
      </c>
      <c r="F869" t="s">
        <v>92</v>
      </c>
      <c r="G869">
        <v>30470.5</v>
      </c>
      <c r="H869">
        <f>_xlfn.XLOOKUP(tblFinancials[[#This Row],[DateKey]],tblCalendar[DateKey],tblCalendar[FullDate],"")</f>
        <v>45658</v>
      </c>
      <c r="I869">
        <f>_xlfn.XLOOKUP(tblFinancials[[#This Row],[AccountKey]],tblAccounts[AccountKey],tblAccounts[AccountNumber],"")</f>
        <v>4010</v>
      </c>
      <c r="J869" t="str">
        <f>_xlfn.XLOOKUP(tblFinancials[[#This Row],[AccountKey]],tblAccounts[AccountKey],tblAccounts[AccountName],"")</f>
        <v>Service Revenue</v>
      </c>
      <c r="K869" s="8" t="str">
        <f>_xlfn.XLOOKUP(tblFinancials[[#This Row],[AccountKey]],tblAccounts[AccountKey],tblAccounts[FinancialStatement],"")</f>
        <v>Income Statement</v>
      </c>
      <c r="L869" s="8" t="str">
        <f>_xlfn.XLOOKUP(tblFinancials[[#This Row],[AccountKey]],tblAccounts[AccountKey],tblAccounts[AccountCategory],"")</f>
        <v>Revenue</v>
      </c>
      <c r="M869" s="8" t="str">
        <f>_xlfn.XLOOKUP(tblFinancials[[#This Row],[AccountKey]],tblAccounts[AccountKey],tblAccounts[NormalBalance],"")</f>
        <v>Credit</v>
      </c>
      <c r="N869" s="8" t="str">
        <f>_xlfn.XLOOKUP(tblFinancials[[#This Row],[DepartmentKey]],tblDepartments[DepartmentKey],tblDepartments[DepartmentName],"")</f>
        <v>Operations</v>
      </c>
      <c r="O869" s="8" t="str">
        <f>_xlfn.XLOOKUP(tblFinancials[[#This Row],[BusinessUnitKey]],tblBusinessUnits[BusinessUnitKey],tblBusinessUnits[BusinessUnitName],"")</f>
        <v>Wholesale</v>
      </c>
      <c r="P869" s="8" t="str">
        <f>_xlfn.XLOOKUP(tblFinancials[[#This Row],[RegionKey]],tblRegions[RegionKey],tblRegions[RegionName],"")</f>
        <v>South</v>
      </c>
    </row>
    <row r="870" spans="1:16">
      <c r="A870">
        <v>20250101</v>
      </c>
      <c r="B870">
        <v>7</v>
      </c>
      <c r="C870">
        <v>3</v>
      </c>
      <c r="D870">
        <v>4</v>
      </c>
      <c r="E870">
        <v>11</v>
      </c>
      <c r="F870" t="s">
        <v>92</v>
      </c>
      <c r="G870">
        <v>29748.86</v>
      </c>
      <c r="H870">
        <f>_xlfn.XLOOKUP(tblFinancials[[#This Row],[DateKey]],tblCalendar[DateKey],tblCalendar[FullDate],"")</f>
        <v>45658</v>
      </c>
      <c r="I870">
        <f>_xlfn.XLOOKUP(tblFinancials[[#This Row],[AccountKey]],tblAccounts[AccountKey],tblAccounts[AccountNumber],"")</f>
        <v>4000</v>
      </c>
      <c r="J870" t="str">
        <f>_xlfn.XLOOKUP(tblFinancials[[#This Row],[AccountKey]],tblAccounts[AccountKey],tblAccounts[AccountName],"")</f>
        <v>Product Revenue</v>
      </c>
      <c r="K870" s="8" t="str">
        <f>_xlfn.XLOOKUP(tblFinancials[[#This Row],[AccountKey]],tblAccounts[AccountKey],tblAccounts[FinancialStatement],"")</f>
        <v>Income Statement</v>
      </c>
      <c r="L870" s="8" t="str">
        <f>_xlfn.XLOOKUP(tblFinancials[[#This Row],[AccountKey]],tblAccounts[AccountKey],tblAccounts[AccountCategory],"")</f>
        <v>Revenue</v>
      </c>
      <c r="M870" s="8" t="str">
        <f>_xlfn.XLOOKUP(tblFinancials[[#This Row],[AccountKey]],tblAccounts[AccountKey],tblAccounts[NormalBalance],"")</f>
        <v>Credit</v>
      </c>
      <c r="N870" s="8" t="str">
        <f>_xlfn.XLOOKUP(tblFinancials[[#This Row],[DepartmentKey]],tblDepartments[DepartmentKey],tblDepartments[DepartmentName],"")</f>
        <v>Information Technology</v>
      </c>
      <c r="O870" s="8" t="str">
        <f>_xlfn.XLOOKUP(tblFinancials[[#This Row],[BusinessUnitKey]],tblBusinessUnits[BusinessUnitKey],tblBusinessUnits[BusinessUnitName],"")</f>
        <v>Retail</v>
      </c>
      <c r="P870" s="8" t="str">
        <f>_xlfn.XLOOKUP(tblFinancials[[#This Row],[RegionKey]],tblRegions[RegionKey],tblRegions[RegionName],"")</f>
        <v>East</v>
      </c>
    </row>
    <row r="871" spans="1:16">
      <c r="A871">
        <v>20250101</v>
      </c>
      <c r="B871">
        <v>4</v>
      </c>
      <c r="C871">
        <v>3</v>
      </c>
      <c r="D871">
        <v>4</v>
      </c>
      <c r="E871">
        <v>12</v>
      </c>
      <c r="F871" t="s">
        <v>92</v>
      </c>
      <c r="G871">
        <v>30333.41</v>
      </c>
      <c r="H871">
        <f>_xlfn.XLOOKUP(tblFinancials[[#This Row],[DateKey]],tblCalendar[DateKey],tblCalendar[FullDate],"")</f>
        <v>45658</v>
      </c>
      <c r="I871">
        <f>_xlfn.XLOOKUP(tblFinancials[[#This Row],[AccountKey]],tblAccounts[AccountKey],tblAccounts[AccountNumber],"")</f>
        <v>4010</v>
      </c>
      <c r="J871" t="str">
        <f>_xlfn.XLOOKUP(tblFinancials[[#This Row],[AccountKey]],tblAccounts[AccountKey],tblAccounts[AccountName],"")</f>
        <v>Service Revenue</v>
      </c>
      <c r="K871" s="8" t="str">
        <f>_xlfn.XLOOKUP(tblFinancials[[#This Row],[AccountKey]],tblAccounts[AccountKey],tblAccounts[FinancialStatement],"")</f>
        <v>Income Statement</v>
      </c>
      <c r="L871" s="8" t="str">
        <f>_xlfn.XLOOKUP(tblFinancials[[#This Row],[AccountKey]],tblAccounts[AccountKey],tblAccounts[AccountCategory],"")</f>
        <v>Revenue</v>
      </c>
      <c r="M871" s="8" t="str">
        <f>_xlfn.XLOOKUP(tblFinancials[[#This Row],[AccountKey]],tblAccounts[AccountKey],tblAccounts[NormalBalance],"")</f>
        <v>Credit</v>
      </c>
      <c r="N871" s="8" t="str">
        <f>_xlfn.XLOOKUP(tblFinancials[[#This Row],[DepartmentKey]],tblDepartments[DepartmentKey],tblDepartments[DepartmentName],"")</f>
        <v>Sales</v>
      </c>
      <c r="O871" s="8" t="str">
        <f>_xlfn.XLOOKUP(tblFinancials[[#This Row],[BusinessUnitKey]],tblBusinessUnits[BusinessUnitKey],tblBusinessUnits[BusinessUnitName],"")</f>
        <v>Retail</v>
      </c>
      <c r="P871" s="8" t="str">
        <f>_xlfn.XLOOKUP(tblFinancials[[#This Row],[RegionKey]],tblRegions[RegionKey],tblRegions[RegionName],"")</f>
        <v>East</v>
      </c>
    </row>
    <row r="872" spans="1:16">
      <c r="A872">
        <v>20250101</v>
      </c>
      <c r="B872">
        <v>5</v>
      </c>
      <c r="C872">
        <v>4</v>
      </c>
      <c r="D872">
        <v>2</v>
      </c>
      <c r="E872">
        <v>12</v>
      </c>
      <c r="F872" t="s">
        <v>92</v>
      </c>
      <c r="G872">
        <v>29041.360000000001</v>
      </c>
      <c r="H872">
        <f>_xlfn.XLOOKUP(tblFinancials[[#This Row],[DateKey]],tblCalendar[DateKey],tblCalendar[FullDate],"")</f>
        <v>45658</v>
      </c>
      <c r="I872">
        <f>_xlfn.XLOOKUP(tblFinancials[[#This Row],[AccountKey]],tblAccounts[AccountKey],tblAccounts[AccountNumber],"")</f>
        <v>4010</v>
      </c>
      <c r="J872" t="str">
        <f>_xlfn.XLOOKUP(tblFinancials[[#This Row],[AccountKey]],tblAccounts[AccountKey],tblAccounts[AccountName],"")</f>
        <v>Service Revenue</v>
      </c>
      <c r="K872" s="8" t="str">
        <f>_xlfn.XLOOKUP(tblFinancials[[#This Row],[AccountKey]],tblAccounts[AccountKey],tblAccounts[FinancialStatement],"")</f>
        <v>Income Statement</v>
      </c>
      <c r="L872" s="8" t="str">
        <f>_xlfn.XLOOKUP(tblFinancials[[#This Row],[AccountKey]],tblAccounts[AccountKey],tblAccounts[AccountCategory],"")</f>
        <v>Revenue</v>
      </c>
      <c r="M872" s="8" t="str">
        <f>_xlfn.XLOOKUP(tblFinancials[[#This Row],[AccountKey]],tblAccounts[AccountKey],tblAccounts[NormalBalance],"")</f>
        <v>Credit</v>
      </c>
      <c r="N872" s="8" t="str">
        <f>_xlfn.XLOOKUP(tblFinancials[[#This Row],[DepartmentKey]],tblDepartments[DepartmentKey],tblDepartments[DepartmentName],"")</f>
        <v>Marketing</v>
      </c>
      <c r="O872" s="8" t="str">
        <f>_xlfn.XLOOKUP(tblFinancials[[#This Row],[BusinessUnitKey]],tblBusinessUnits[BusinessUnitKey],tblBusinessUnits[BusinessUnitName],"")</f>
        <v>E-Commerce</v>
      </c>
      <c r="P872" s="8" t="str">
        <f>_xlfn.XLOOKUP(tblFinancials[[#This Row],[RegionKey]],tblRegions[RegionKey],tblRegions[RegionName],"")</f>
        <v>Midwest</v>
      </c>
    </row>
    <row r="873" spans="1:16">
      <c r="A873">
        <v>20250101</v>
      </c>
      <c r="B873">
        <v>5</v>
      </c>
      <c r="C873">
        <v>3</v>
      </c>
      <c r="D873">
        <v>2</v>
      </c>
      <c r="E873">
        <v>11</v>
      </c>
      <c r="F873" t="s">
        <v>92</v>
      </c>
      <c r="G873">
        <v>30177.49</v>
      </c>
      <c r="H873">
        <f>_xlfn.XLOOKUP(tblFinancials[[#This Row],[DateKey]],tblCalendar[DateKey],tblCalendar[FullDate],"")</f>
        <v>45658</v>
      </c>
      <c r="I873">
        <f>_xlfn.XLOOKUP(tblFinancials[[#This Row],[AccountKey]],tblAccounts[AccountKey],tblAccounts[AccountNumber],"")</f>
        <v>4000</v>
      </c>
      <c r="J873" t="str">
        <f>_xlfn.XLOOKUP(tblFinancials[[#This Row],[AccountKey]],tblAccounts[AccountKey],tblAccounts[AccountName],"")</f>
        <v>Product Revenue</v>
      </c>
      <c r="K873" s="8" t="str">
        <f>_xlfn.XLOOKUP(tblFinancials[[#This Row],[AccountKey]],tblAccounts[AccountKey],tblAccounts[FinancialStatement],"")</f>
        <v>Income Statement</v>
      </c>
      <c r="L873" s="8" t="str">
        <f>_xlfn.XLOOKUP(tblFinancials[[#This Row],[AccountKey]],tblAccounts[AccountKey],tblAccounts[AccountCategory],"")</f>
        <v>Revenue</v>
      </c>
      <c r="M873" s="8" t="str">
        <f>_xlfn.XLOOKUP(tblFinancials[[#This Row],[AccountKey]],tblAccounts[AccountKey],tblAccounts[NormalBalance],"")</f>
        <v>Credit</v>
      </c>
      <c r="N873" s="8" t="str">
        <f>_xlfn.XLOOKUP(tblFinancials[[#This Row],[DepartmentKey]],tblDepartments[DepartmentKey],tblDepartments[DepartmentName],"")</f>
        <v>Marketing</v>
      </c>
      <c r="O873" s="8" t="str">
        <f>_xlfn.XLOOKUP(tblFinancials[[#This Row],[BusinessUnitKey]],tblBusinessUnits[BusinessUnitKey],tblBusinessUnits[BusinessUnitName],"")</f>
        <v>Retail</v>
      </c>
      <c r="P873" s="8" t="str">
        <f>_xlfn.XLOOKUP(tblFinancials[[#This Row],[RegionKey]],tblRegions[RegionKey],tblRegions[RegionName],"")</f>
        <v>Midwest</v>
      </c>
    </row>
    <row r="874" spans="1:16">
      <c r="A874">
        <v>20250101</v>
      </c>
      <c r="B874">
        <v>4</v>
      </c>
      <c r="C874">
        <v>1</v>
      </c>
      <c r="D874">
        <v>3</v>
      </c>
      <c r="E874">
        <v>11</v>
      </c>
      <c r="F874" t="s">
        <v>92</v>
      </c>
      <c r="G874">
        <v>30560.82</v>
      </c>
      <c r="H874">
        <f>_xlfn.XLOOKUP(tblFinancials[[#This Row],[DateKey]],tblCalendar[DateKey],tblCalendar[FullDate],"")</f>
        <v>45658</v>
      </c>
      <c r="I874">
        <f>_xlfn.XLOOKUP(tblFinancials[[#This Row],[AccountKey]],tblAccounts[AccountKey],tblAccounts[AccountNumber],"")</f>
        <v>4000</v>
      </c>
      <c r="J874" t="str">
        <f>_xlfn.XLOOKUP(tblFinancials[[#This Row],[AccountKey]],tblAccounts[AccountKey],tblAccounts[AccountName],"")</f>
        <v>Product Revenue</v>
      </c>
      <c r="K874" s="8" t="str">
        <f>_xlfn.XLOOKUP(tblFinancials[[#This Row],[AccountKey]],tblAccounts[AccountKey],tblAccounts[FinancialStatement],"")</f>
        <v>Income Statement</v>
      </c>
      <c r="L874" s="8" t="str">
        <f>_xlfn.XLOOKUP(tblFinancials[[#This Row],[AccountKey]],tblAccounts[AccountKey],tblAccounts[AccountCategory],"")</f>
        <v>Revenue</v>
      </c>
      <c r="M874" s="8" t="str">
        <f>_xlfn.XLOOKUP(tblFinancials[[#This Row],[AccountKey]],tblAccounts[AccountKey],tblAccounts[NormalBalance],"")</f>
        <v>Credit</v>
      </c>
      <c r="N874" s="8" t="str">
        <f>_xlfn.XLOOKUP(tblFinancials[[#This Row],[DepartmentKey]],tblDepartments[DepartmentKey],tblDepartments[DepartmentName],"")</f>
        <v>Sales</v>
      </c>
      <c r="O874" s="8" t="str">
        <f>_xlfn.XLOOKUP(tblFinancials[[#This Row],[BusinessUnitKey]],tblBusinessUnits[BusinessUnitKey],tblBusinessUnits[BusinessUnitName],"")</f>
        <v xml:space="preserve">Manufacturing </v>
      </c>
      <c r="P874" s="8" t="str">
        <f>_xlfn.XLOOKUP(tblFinancials[[#This Row],[RegionKey]],tblRegions[RegionKey],tblRegions[RegionName],"")</f>
        <v>South</v>
      </c>
    </row>
    <row r="875" spans="1:16">
      <c r="A875">
        <v>20250101</v>
      </c>
      <c r="B875">
        <v>2</v>
      </c>
      <c r="C875">
        <v>4</v>
      </c>
      <c r="D875">
        <v>4</v>
      </c>
      <c r="E875">
        <v>12</v>
      </c>
      <c r="F875" t="s">
        <v>92</v>
      </c>
      <c r="G875">
        <v>29708.73</v>
      </c>
      <c r="H875">
        <f>_xlfn.XLOOKUP(tblFinancials[[#This Row],[DateKey]],tblCalendar[DateKey],tblCalendar[FullDate],"")</f>
        <v>45658</v>
      </c>
      <c r="I875">
        <f>_xlfn.XLOOKUP(tblFinancials[[#This Row],[AccountKey]],tblAccounts[AccountKey],tblAccounts[AccountNumber],"")</f>
        <v>4010</v>
      </c>
      <c r="J875" t="str">
        <f>_xlfn.XLOOKUP(tblFinancials[[#This Row],[AccountKey]],tblAccounts[AccountKey],tblAccounts[AccountName],"")</f>
        <v>Service Revenue</v>
      </c>
      <c r="K875" s="8" t="str">
        <f>_xlfn.XLOOKUP(tblFinancials[[#This Row],[AccountKey]],tblAccounts[AccountKey],tblAccounts[FinancialStatement],"")</f>
        <v>Income Statement</v>
      </c>
      <c r="L875" s="8" t="str">
        <f>_xlfn.XLOOKUP(tblFinancials[[#This Row],[AccountKey]],tblAccounts[AccountKey],tblAccounts[AccountCategory],"")</f>
        <v>Revenue</v>
      </c>
      <c r="M875" s="8" t="str">
        <f>_xlfn.XLOOKUP(tblFinancials[[#This Row],[AccountKey]],tblAccounts[AccountKey],tblAccounts[NormalBalance],"")</f>
        <v>Credit</v>
      </c>
      <c r="N875" s="8" t="str">
        <f>_xlfn.XLOOKUP(tblFinancials[[#This Row],[DepartmentKey]],tblDepartments[DepartmentKey],tblDepartments[DepartmentName],"")</f>
        <v>Finance</v>
      </c>
      <c r="O875" s="8" t="str">
        <f>_xlfn.XLOOKUP(tblFinancials[[#This Row],[BusinessUnitKey]],tblBusinessUnits[BusinessUnitKey],tblBusinessUnits[BusinessUnitName],"")</f>
        <v>E-Commerce</v>
      </c>
      <c r="P875" s="8" t="str">
        <f>_xlfn.XLOOKUP(tblFinancials[[#This Row],[RegionKey]],tblRegions[RegionKey],tblRegions[RegionName],"")</f>
        <v>East</v>
      </c>
    </row>
    <row r="876" spans="1:16">
      <c r="A876">
        <v>20250101</v>
      </c>
      <c r="B876">
        <v>1</v>
      </c>
      <c r="C876">
        <v>3</v>
      </c>
      <c r="D876">
        <v>3</v>
      </c>
      <c r="E876">
        <v>13</v>
      </c>
      <c r="F876" t="s">
        <v>92</v>
      </c>
      <c r="G876">
        <v>28971.45</v>
      </c>
      <c r="H876">
        <f>_xlfn.XLOOKUP(tblFinancials[[#This Row],[DateKey]],tblCalendar[DateKey],tblCalendar[FullDate],"")</f>
        <v>45658</v>
      </c>
      <c r="I876">
        <f>_xlfn.XLOOKUP(tblFinancials[[#This Row],[AccountKey]],tblAccounts[AccountKey],tblAccounts[AccountNumber],"")</f>
        <v>4020</v>
      </c>
      <c r="J876" t="str">
        <f>_xlfn.XLOOKUP(tblFinancials[[#This Row],[AccountKey]],tblAccounts[AccountKey],tblAccounts[AccountName],"")</f>
        <v>Online Revenue</v>
      </c>
      <c r="K876" s="8" t="str">
        <f>_xlfn.XLOOKUP(tblFinancials[[#This Row],[AccountKey]],tblAccounts[AccountKey],tblAccounts[FinancialStatement],"")</f>
        <v>Income Statement</v>
      </c>
      <c r="L876" s="8" t="str">
        <f>_xlfn.XLOOKUP(tblFinancials[[#This Row],[AccountKey]],tblAccounts[AccountKey],tblAccounts[AccountCategory],"")</f>
        <v>Revenue</v>
      </c>
      <c r="M876" s="8" t="str">
        <f>_xlfn.XLOOKUP(tblFinancials[[#This Row],[AccountKey]],tblAccounts[AccountKey],tblAccounts[NormalBalance],"")</f>
        <v>Credit</v>
      </c>
      <c r="N876" s="8" t="str">
        <f>_xlfn.XLOOKUP(tblFinancials[[#This Row],[DepartmentKey]],tblDepartments[DepartmentKey],tblDepartments[DepartmentName],"")</f>
        <v>Executive</v>
      </c>
      <c r="O876" s="8" t="str">
        <f>_xlfn.XLOOKUP(tblFinancials[[#This Row],[BusinessUnitKey]],tblBusinessUnits[BusinessUnitKey],tblBusinessUnits[BusinessUnitName],"")</f>
        <v>Retail</v>
      </c>
      <c r="P876" s="8" t="str">
        <f>_xlfn.XLOOKUP(tblFinancials[[#This Row],[RegionKey]],tblRegions[RegionKey],tblRegions[RegionName],"")</f>
        <v>South</v>
      </c>
    </row>
    <row r="877" spans="1:16">
      <c r="A877">
        <v>20250101</v>
      </c>
      <c r="B877">
        <v>4</v>
      </c>
      <c r="C877">
        <v>2</v>
      </c>
      <c r="D877">
        <v>4</v>
      </c>
      <c r="E877">
        <v>13</v>
      </c>
      <c r="F877" t="s">
        <v>92</v>
      </c>
      <c r="G877">
        <v>27980.11</v>
      </c>
      <c r="H877">
        <f>_xlfn.XLOOKUP(tblFinancials[[#This Row],[DateKey]],tblCalendar[DateKey],tblCalendar[FullDate],"")</f>
        <v>45658</v>
      </c>
      <c r="I877">
        <f>_xlfn.XLOOKUP(tblFinancials[[#This Row],[AccountKey]],tblAccounts[AccountKey],tblAccounts[AccountNumber],"")</f>
        <v>4020</v>
      </c>
      <c r="J877" t="str">
        <f>_xlfn.XLOOKUP(tblFinancials[[#This Row],[AccountKey]],tblAccounts[AccountKey],tblAccounts[AccountName],"")</f>
        <v>Online Revenue</v>
      </c>
      <c r="K877" s="8" t="str">
        <f>_xlfn.XLOOKUP(tblFinancials[[#This Row],[AccountKey]],tblAccounts[AccountKey],tblAccounts[FinancialStatement],"")</f>
        <v>Income Statement</v>
      </c>
      <c r="L877" s="8" t="str">
        <f>_xlfn.XLOOKUP(tblFinancials[[#This Row],[AccountKey]],tblAccounts[AccountKey],tblAccounts[AccountCategory],"")</f>
        <v>Revenue</v>
      </c>
      <c r="M877" s="8" t="str">
        <f>_xlfn.XLOOKUP(tblFinancials[[#This Row],[AccountKey]],tblAccounts[AccountKey],tblAccounts[NormalBalance],"")</f>
        <v>Credit</v>
      </c>
      <c r="N877" s="8" t="str">
        <f>_xlfn.XLOOKUP(tblFinancials[[#This Row],[DepartmentKey]],tblDepartments[DepartmentKey],tblDepartments[DepartmentName],"")</f>
        <v>Sales</v>
      </c>
      <c r="O877" s="8" t="str">
        <f>_xlfn.XLOOKUP(tblFinancials[[#This Row],[BusinessUnitKey]],tblBusinessUnits[BusinessUnitKey],tblBusinessUnits[BusinessUnitName],"")</f>
        <v>Wholesale</v>
      </c>
      <c r="P877" s="8" t="str">
        <f>_xlfn.XLOOKUP(tblFinancials[[#This Row],[RegionKey]],tblRegions[RegionKey],tblRegions[RegionName],"")</f>
        <v>East</v>
      </c>
    </row>
    <row r="878" spans="1:16">
      <c r="A878">
        <v>20250101</v>
      </c>
      <c r="B878">
        <v>1</v>
      </c>
      <c r="C878">
        <v>3</v>
      </c>
      <c r="D878">
        <v>1</v>
      </c>
      <c r="E878">
        <v>14</v>
      </c>
      <c r="F878" t="s">
        <v>92</v>
      </c>
      <c r="G878">
        <v>-16419.66</v>
      </c>
      <c r="H878">
        <f>_xlfn.XLOOKUP(tblFinancials[[#This Row],[DateKey]],tblCalendar[DateKey],tblCalendar[FullDate],"")</f>
        <v>45658</v>
      </c>
      <c r="I878">
        <f>_xlfn.XLOOKUP(tblFinancials[[#This Row],[AccountKey]],tblAccounts[AccountKey],tblAccounts[AccountNumber],"")</f>
        <v>5000</v>
      </c>
      <c r="J878" t="str">
        <f>_xlfn.XLOOKUP(tblFinancials[[#This Row],[AccountKey]],tblAccounts[AccountKey],tblAccounts[AccountName],"")</f>
        <v>Cost of Goods Sold</v>
      </c>
      <c r="K878" s="8" t="str">
        <f>_xlfn.XLOOKUP(tblFinancials[[#This Row],[AccountKey]],tblAccounts[AccountKey],tblAccounts[FinancialStatement],"")</f>
        <v>Income Statement</v>
      </c>
      <c r="L878" s="8" t="str">
        <f>_xlfn.XLOOKUP(tblFinancials[[#This Row],[AccountKey]],tblAccounts[AccountKey],tblAccounts[AccountCategory],"")</f>
        <v>Cost of Sales</v>
      </c>
      <c r="M878" s="8" t="str">
        <f>_xlfn.XLOOKUP(tblFinancials[[#This Row],[AccountKey]],tblAccounts[AccountKey],tblAccounts[NormalBalance],"")</f>
        <v>Debit</v>
      </c>
      <c r="N878" s="8" t="str">
        <f>_xlfn.XLOOKUP(tblFinancials[[#This Row],[DepartmentKey]],tblDepartments[DepartmentKey],tblDepartments[DepartmentName],"")</f>
        <v>Executive</v>
      </c>
      <c r="O878" s="8" t="str">
        <f>_xlfn.XLOOKUP(tblFinancials[[#This Row],[BusinessUnitKey]],tblBusinessUnits[BusinessUnitKey],tblBusinessUnits[BusinessUnitName],"")</f>
        <v>Retail</v>
      </c>
      <c r="P878" s="8" t="str">
        <f>_xlfn.XLOOKUP(tblFinancials[[#This Row],[RegionKey]],tblRegions[RegionKey],tblRegions[RegionName],"")</f>
        <v>West</v>
      </c>
    </row>
    <row r="879" spans="1:16">
      <c r="A879">
        <v>20250101</v>
      </c>
      <c r="B879">
        <v>8</v>
      </c>
      <c r="C879">
        <v>2</v>
      </c>
      <c r="D879">
        <v>4</v>
      </c>
      <c r="E879">
        <v>14</v>
      </c>
      <c r="F879" t="s">
        <v>92</v>
      </c>
      <c r="G879">
        <v>-16981.05</v>
      </c>
      <c r="H879">
        <f>_xlfn.XLOOKUP(tblFinancials[[#This Row],[DateKey]],tblCalendar[DateKey],tblCalendar[FullDate],"")</f>
        <v>45658</v>
      </c>
      <c r="I879">
        <f>_xlfn.XLOOKUP(tblFinancials[[#This Row],[AccountKey]],tblAccounts[AccountKey],tblAccounts[AccountNumber],"")</f>
        <v>5000</v>
      </c>
      <c r="J879" t="str">
        <f>_xlfn.XLOOKUP(tblFinancials[[#This Row],[AccountKey]],tblAccounts[AccountKey],tblAccounts[AccountName],"")</f>
        <v>Cost of Goods Sold</v>
      </c>
      <c r="K879" s="8" t="str">
        <f>_xlfn.XLOOKUP(tblFinancials[[#This Row],[AccountKey]],tblAccounts[AccountKey],tblAccounts[FinancialStatement],"")</f>
        <v>Income Statement</v>
      </c>
      <c r="L879" s="8" t="str">
        <f>_xlfn.XLOOKUP(tblFinancials[[#This Row],[AccountKey]],tblAccounts[AccountKey],tblAccounts[AccountCategory],"")</f>
        <v>Cost of Sales</v>
      </c>
      <c r="M879" s="8" t="str">
        <f>_xlfn.XLOOKUP(tblFinancials[[#This Row],[AccountKey]],tblAccounts[AccountKey],tblAccounts[NormalBalance],"")</f>
        <v>Debit</v>
      </c>
      <c r="N879" s="8" t="str">
        <f>_xlfn.XLOOKUP(tblFinancials[[#This Row],[DepartmentKey]],tblDepartments[DepartmentKey],tblDepartments[DepartmentName],"")</f>
        <v>Customer Service</v>
      </c>
      <c r="O879" s="8" t="str">
        <f>_xlfn.XLOOKUP(tblFinancials[[#This Row],[BusinessUnitKey]],tblBusinessUnits[BusinessUnitKey],tblBusinessUnits[BusinessUnitName],"")</f>
        <v>Wholesale</v>
      </c>
      <c r="P879" s="8" t="str">
        <f>_xlfn.XLOOKUP(tblFinancials[[#This Row],[RegionKey]],tblRegions[RegionKey],tblRegions[RegionName],"")</f>
        <v>East</v>
      </c>
    </row>
    <row r="880" spans="1:16">
      <c r="A880">
        <v>20250101</v>
      </c>
      <c r="B880">
        <v>3</v>
      </c>
      <c r="C880">
        <v>3</v>
      </c>
      <c r="D880">
        <v>2</v>
      </c>
      <c r="E880">
        <v>14</v>
      </c>
      <c r="F880" t="s">
        <v>92</v>
      </c>
      <c r="G880">
        <v>-16919.189999999999</v>
      </c>
      <c r="H880">
        <f>_xlfn.XLOOKUP(tblFinancials[[#This Row],[DateKey]],tblCalendar[DateKey],tblCalendar[FullDate],"")</f>
        <v>45658</v>
      </c>
      <c r="I880">
        <f>_xlfn.XLOOKUP(tblFinancials[[#This Row],[AccountKey]],tblAccounts[AccountKey],tblAccounts[AccountNumber],"")</f>
        <v>5000</v>
      </c>
      <c r="J880" t="str">
        <f>_xlfn.XLOOKUP(tblFinancials[[#This Row],[AccountKey]],tblAccounts[AccountKey],tblAccounts[AccountName],"")</f>
        <v>Cost of Goods Sold</v>
      </c>
      <c r="K880" s="8" t="str">
        <f>_xlfn.XLOOKUP(tblFinancials[[#This Row],[AccountKey]],tblAccounts[AccountKey],tblAccounts[FinancialStatement],"")</f>
        <v>Income Statement</v>
      </c>
      <c r="L880" s="8" t="str">
        <f>_xlfn.XLOOKUP(tblFinancials[[#This Row],[AccountKey]],tblAccounts[AccountKey],tblAccounts[AccountCategory],"")</f>
        <v>Cost of Sales</v>
      </c>
      <c r="M880" s="8" t="str">
        <f>_xlfn.XLOOKUP(tblFinancials[[#This Row],[AccountKey]],tblAccounts[AccountKey],tblAccounts[NormalBalance],"")</f>
        <v>Debit</v>
      </c>
      <c r="N880" s="8" t="str">
        <f>_xlfn.XLOOKUP(tblFinancials[[#This Row],[DepartmentKey]],tblDepartments[DepartmentKey],tblDepartments[DepartmentName],"")</f>
        <v>Human Resources</v>
      </c>
      <c r="O880" s="8" t="str">
        <f>_xlfn.XLOOKUP(tblFinancials[[#This Row],[BusinessUnitKey]],tblBusinessUnits[BusinessUnitKey],tblBusinessUnits[BusinessUnitName],"")</f>
        <v>Retail</v>
      </c>
      <c r="P880" s="8" t="str">
        <f>_xlfn.XLOOKUP(tblFinancials[[#This Row],[RegionKey]],tblRegions[RegionKey],tblRegions[RegionName],"")</f>
        <v>Midwest</v>
      </c>
    </row>
    <row r="881" spans="1:16">
      <c r="A881">
        <v>20250101</v>
      </c>
      <c r="B881">
        <v>7</v>
      </c>
      <c r="C881">
        <v>1</v>
      </c>
      <c r="D881">
        <v>4</v>
      </c>
      <c r="E881">
        <v>14</v>
      </c>
      <c r="F881" t="s">
        <v>92</v>
      </c>
      <c r="G881">
        <v>-17545.810000000001</v>
      </c>
      <c r="H881">
        <f>_xlfn.XLOOKUP(tblFinancials[[#This Row],[DateKey]],tblCalendar[DateKey],tblCalendar[FullDate],"")</f>
        <v>45658</v>
      </c>
      <c r="I881">
        <f>_xlfn.XLOOKUP(tblFinancials[[#This Row],[AccountKey]],tblAccounts[AccountKey],tblAccounts[AccountNumber],"")</f>
        <v>5000</v>
      </c>
      <c r="J881" t="str">
        <f>_xlfn.XLOOKUP(tblFinancials[[#This Row],[AccountKey]],tblAccounts[AccountKey],tblAccounts[AccountName],"")</f>
        <v>Cost of Goods Sold</v>
      </c>
      <c r="K881" s="8" t="str">
        <f>_xlfn.XLOOKUP(tblFinancials[[#This Row],[AccountKey]],tblAccounts[AccountKey],tblAccounts[FinancialStatement],"")</f>
        <v>Income Statement</v>
      </c>
      <c r="L881" s="8" t="str">
        <f>_xlfn.XLOOKUP(tblFinancials[[#This Row],[AccountKey]],tblAccounts[AccountKey],tblAccounts[AccountCategory],"")</f>
        <v>Cost of Sales</v>
      </c>
      <c r="M881" s="8" t="str">
        <f>_xlfn.XLOOKUP(tblFinancials[[#This Row],[AccountKey]],tblAccounts[AccountKey],tblAccounts[NormalBalance],"")</f>
        <v>Debit</v>
      </c>
      <c r="N881" s="8" t="str">
        <f>_xlfn.XLOOKUP(tblFinancials[[#This Row],[DepartmentKey]],tblDepartments[DepartmentKey],tblDepartments[DepartmentName],"")</f>
        <v>Information Technology</v>
      </c>
      <c r="O881" s="8" t="str">
        <f>_xlfn.XLOOKUP(tblFinancials[[#This Row],[BusinessUnitKey]],tblBusinessUnits[BusinessUnitKey],tblBusinessUnits[BusinessUnitName],"")</f>
        <v xml:space="preserve">Manufacturing </v>
      </c>
      <c r="P881" s="8" t="str">
        <f>_xlfn.XLOOKUP(tblFinancials[[#This Row],[RegionKey]],tblRegions[RegionKey],tblRegions[RegionName],"")</f>
        <v>East</v>
      </c>
    </row>
    <row r="882" spans="1:16">
      <c r="A882">
        <v>20250101</v>
      </c>
      <c r="B882">
        <v>2</v>
      </c>
      <c r="C882">
        <v>4</v>
      </c>
      <c r="D882">
        <v>1</v>
      </c>
      <c r="E882">
        <v>14</v>
      </c>
      <c r="F882" t="s">
        <v>92</v>
      </c>
      <c r="G882">
        <v>-18149.580000000002</v>
      </c>
      <c r="H882">
        <f>_xlfn.XLOOKUP(tblFinancials[[#This Row],[DateKey]],tblCalendar[DateKey],tblCalendar[FullDate],"")</f>
        <v>45658</v>
      </c>
      <c r="I882">
        <f>_xlfn.XLOOKUP(tblFinancials[[#This Row],[AccountKey]],tblAccounts[AccountKey],tblAccounts[AccountNumber],"")</f>
        <v>5000</v>
      </c>
      <c r="J882" t="str">
        <f>_xlfn.XLOOKUP(tblFinancials[[#This Row],[AccountKey]],tblAccounts[AccountKey],tblAccounts[AccountName],"")</f>
        <v>Cost of Goods Sold</v>
      </c>
      <c r="K882" s="8" t="str">
        <f>_xlfn.XLOOKUP(tblFinancials[[#This Row],[AccountKey]],tblAccounts[AccountKey],tblAccounts[FinancialStatement],"")</f>
        <v>Income Statement</v>
      </c>
      <c r="L882" s="8" t="str">
        <f>_xlfn.XLOOKUP(tblFinancials[[#This Row],[AccountKey]],tblAccounts[AccountKey],tblAccounts[AccountCategory],"")</f>
        <v>Cost of Sales</v>
      </c>
      <c r="M882" s="8" t="str">
        <f>_xlfn.XLOOKUP(tblFinancials[[#This Row],[AccountKey]],tblAccounts[AccountKey],tblAccounts[NormalBalance],"")</f>
        <v>Debit</v>
      </c>
      <c r="N882" s="8" t="str">
        <f>_xlfn.XLOOKUP(tblFinancials[[#This Row],[DepartmentKey]],tblDepartments[DepartmentKey],tblDepartments[DepartmentName],"")</f>
        <v>Finance</v>
      </c>
      <c r="O882" s="8" t="str">
        <f>_xlfn.XLOOKUP(tblFinancials[[#This Row],[BusinessUnitKey]],tblBusinessUnits[BusinessUnitKey],tblBusinessUnits[BusinessUnitName],"")</f>
        <v>E-Commerce</v>
      </c>
      <c r="P882" s="8" t="str">
        <f>_xlfn.XLOOKUP(tblFinancials[[#This Row],[RegionKey]],tblRegions[RegionKey],tblRegions[RegionName],"")</f>
        <v>West</v>
      </c>
    </row>
    <row r="883" spans="1:16">
      <c r="A883">
        <v>20250101</v>
      </c>
      <c r="B883">
        <v>2</v>
      </c>
      <c r="C883">
        <v>2</v>
      </c>
      <c r="D883">
        <v>2</v>
      </c>
      <c r="E883">
        <v>14</v>
      </c>
      <c r="F883" t="s">
        <v>92</v>
      </c>
      <c r="G883">
        <v>-17600.2</v>
      </c>
      <c r="H883">
        <f>_xlfn.XLOOKUP(tblFinancials[[#This Row],[DateKey]],tblCalendar[DateKey],tblCalendar[FullDate],"")</f>
        <v>45658</v>
      </c>
      <c r="I883">
        <f>_xlfn.XLOOKUP(tblFinancials[[#This Row],[AccountKey]],tblAccounts[AccountKey],tblAccounts[AccountNumber],"")</f>
        <v>5000</v>
      </c>
      <c r="J883" t="str">
        <f>_xlfn.XLOOKUP(tblFinancials[[#This Row],[AccountKey]],tblAccounts[AccountKey],tblAccounts[AccountName],"")</f>
        <v>Cost of Goods Sold</v>
      </c>
      <c r="K883" s="8" t="str">
        <f>_xlfn.XLOOKUP(tblFinancials[[#This Row],[AccountKey]],tblAccounts[AccountKey],tblAccounts[FinancialStatement],"")</f>
        <v>Income Statement</v>
      </c>
      <c r="L883" s="8" t="str">
        <f>_xlfn.XLOOKUP(tblFinancials[[#This Row],[AccountKey]],tblAccounts[AccountKey],tblAccounts[AccountCategory],"")</f>
        <v>Cost of Sales</v>
      </c>
      <c r="M883" s="8" t="str">
        <f>_xlfn.XLOOKUP(tblFinancials[[#This Row],[AccountKey]],tblAccounts[AccountKey],tblAccounts[NormalBalance],"")</f>
        <v>Debit</v>
      </c>
      <c r="N883" s="8" t="str">
        <f>_xlfn.XLOOKUP(tblFinancials[[#This Row],[DepartmentKey]],tblDepartments[DepartmentKey],tblDepartments[DepartmentName],"")</f>
        <v>Finance</v>
      </c>
      <c r="O883" s="8" t="str">
        <f>_xlfn.XLOOKUP(tblFinancials[[#This Row],[BusinessUnitKey]],tblBusinessUnits[BusinessUnitKey],tblBusinessUnits[BusinessUnitName],"")</f>
        <v>Wholesale</v>
      </c>
      <c r="P883" s="8" t="str">
        <f>_xlfn.XLOOKUP(tblFinancials[[#This Row],[RegionKey]],tblRegions[RegionKey],tblRegions[RegionName],"")</f>
        <v>Midwest</v>
      </c>
    </row>
    <row r="884" spans="1:16">
      <c r="A884">
        <v>20250101</v>
      </c>
      <c r="B884">
        <v>5</v>
      </c>
      <c r="C884">
        <v>2</v>
      </c>
      <c r="D884">
        <v>2</v>
      </c>
      <c r="E884">
        <v>14</v>
      </c>
      <c r="F884" t="s">
        <v>92</v>
      </c>
      <c r="G884">
        <v>-17939.18</v>
      </c>
      <c r="H884">
        <f>_xlfn.XLOOKUP(tblFinancials[[#This Row],[DateKey]],tblCalendar[DateKey],tblCalendar[FullDate],"")</f>
        <v>45658</v>
      </c>
      <c r="I884">
        <f>_xlfn.XLOOKUP(tblFinancials[[#This Row],[AccountKey]],tblAccounts[AccountKey],tblAccounts[AccountNumber],"")</f>
        <v>5000</v>
      </c>
      <c r="J884" t="str">
        <f>_xlfn.XLOOKUP(tblFinancials[[#This Row],[AccountKey]],tblAccounts[AccountKey],tblAccounts[AccountName],"")</f>
        <v>Cost of Goods Sold</v>
      </c>
      <c r="K884" s="8" t="str">
        <f>_xlfn.XLOOKUP(tblFinancials[[#This Row],[AccountKey]],tblAccounts[AccountKey],tblAccounts[FinancialStatement],"")</f>
        <v>Income Statement</v>
      </c>
      <c r="L884" s="8" t="str">
        <f>_xlfn.XLOOKUP(tblFinancials[[#This Row],[AccountKey]],tblAccounts[AccountKey],tblAccounts[AccountCategory],"")</f>
        <v>Cost of Sales</v>
      </c>
      <c r="M884" s="8" t="str">
        <f>_xlfn.XLOOKUP(tblFinancials[[#This Row],[AccountKey]],tblAccounts[AccountKey],tblAccounts[NormalBalance],"")</f>
        <v>Debit</v>
      </c>
      <c r="N884" s="8" t="str">
        <f>_xlfn.XLOOKUP(tblFinancials[[#This Row],[DepartmentKey]],tblDepartments[DepartmentKey],tblDepartments[DepartmentName],"")</f>
        <v>Marketing</v>
      </c>
      <c r="O884" s="8" t="str">
        <f>_xlfn.XLOOKUP(tblFinancials[[#This Row],[BusinessUnitKey]],tblBusinessUnits[BusinessUnitKey],tblBusinessUnits[BusinessUnitName],"")</f>
        <v>Wholesale</v>
      </c>
      <c r="P884" s="8" t="str">
        <f>_xlfn.XLOOKUP(tblFinancials[[#This Row],[RegionKey]],tblRegions[RegionKey],tblRegions[RegionName],"")</f>
        <v>Midwest</v>
      </c>
    </row>
    <row r="885" spans="1:16">
      <c r="A885">
        <v>20250101</v>
      </c>
      <c r="B885">
        <v>1</v>
      </c>
      <c r="C885">
        <v>1</v>
      </c>
      <c r="D885">
        <v>1</v>
      </c>
      <c r="E885">
        <v>14</v>
      </c>
      <c r="F885" t="s">
        <v>92</v>
      </c>
      <c r="G885">
        <v>-18286.53</v>
      </c>
      <c r="H885">
        <f>_xlfn.XLOOKUP(tblFinancials[[#This Row],[DateKey]],tblCalendar[DateKey],tblCalendar[FullDate],"")</f>
        <v>45658</v>
      </c>
      <c r="I885">
        <f>_xlfn.XLOOKUP(tblFinancials[[#This Row],[AccountKey]],tblAccounts[AccountKey],tblAccounts[AccountNumber],"")</f>
        <v>5000</v>
      </c>
      <c r="J885" t="str">
        <f>_xlfn.XLOOKUP(tblFinancials[[#This Row],[AccountKey]],tblAccounts[AccountKey],tblAccounts[AccountName],"")</f>
        <v>Cost of Goods Sold</v>
      </c>
      <c r="K885" s="8" t="str">
        <f>_xlfn.XLOOKUP(tblFinancials[[#This Row],[AccountKey]],tblAccounts[AccountKey],tblAccounts[FinancialStatement],"")</f>
        <v>Income Statement</v>
      </c>
      <c r="L885" s="8" t="str">
        <f>_xlfn.XLOOKUP(tblFinancials[[#This Row],[AccountKey]],tblAccounts[AccountKey],tblAccounts[AccountCategory],"")</f>
        <v>Cost of Sales</v>
      </c>
      <c r="M885" s="8" t="str">
        <f>_xlfn.XLOOKUP(tblFinancials[[#This Row],[AccountKey]],tblAccounts[AccountKey],tblAccounts[NormalBalance],"")</f>
        <v>Debit</v>
      </c>
      <c r="N885" s="8" t="str">
        <f>_xlfn.XLOOKUP(tblFinancials[[#This Row],[DepartmentKey]],tblDepartments[DepartmentKey],tblDepartments[DepartmentName],"")</f>
        <v>Executive</v>
      </c>
      <c r="O885" s="8" t="str">
        <f>_xlfn.XLOOKUP(tblFinancials[[#This Row],[BusinessUnitKey]],tblBusinessUnits[BusinessUnitKey],tblBusinessUnits[BusinessUnitName],"")</f>
        <v xml:space="preserve">Manufacturing </v>
      </c>
      <c r="P885" s="8" t="str">
        <f>_xlfn.XLOOKUP(tblFinancials[[#This Row],[RegionKey]],tblRegions[RegionKey],tblRegions[RegionName],"")</f>
        <v>West</v>
      </c>
    </row>
    <row r="886" spans="1:16">
      <c r="A886">
        <v>20250101</v>
      </c>
      <c r="B886">
        <v>2</v>
      </c>
      <c r="C886">
        <v>2</v>
      </c>
      <c r="D886">
        <v>1</v>
      </c>
      <c r="E886">
        <v>14</v>
      </c>
      <c r="F886" t="s">
        <v>92</v>
      </c>
      <c r="G886">
        <v>-16582.84</v>
      </c>
      <c r="H886">
        <f>_xlfn.XLOOKUP(tblFinancials[[#This Row],[DateKey]],tblCalendar[DateKey],tblCalendar[FullDate],"")</f>
        <v>45658</v>
      </c>
      <c r="I886">
        <f>_xlfn.XLOOKUP(tblFinancials[[#This Row],[AccountKey]],tblAccounts[AccountKey],tblAccounts[AccountNumber],"")</f>
        <v>5000</v>
      </c>
      <c r="J886" t="str">
        <f>_xlfn.XLOOKUP(tblFinancials[[#This Row],[AccountKey]],tblAccounts[AccountKey],tblAccounts[AccountName],"")</f>
        <v>Cost of Goods Sold</v>
      </c>
      <c r="K886" s="8" t="str">
        <f>_xlfn.XLOOKUP(tblFinancials[[#This Row],[AccountKey]],tblAccounts[AccountKey],tblAccounts[FinancialStatement],"")</f>
        <v>Income Statement</v>
      </c>
      <c r="L886" s="8" t="str">
        <f>_xlfn.XLOOKUP(tblFinancials[[#This Row],[AccountKey]],tblAccounts[AccountKey],tblAccounts[AccountCategory],"")</f>
        <v>Cost of Sales</v>
      </c>
      <c r="M886" s="8" t="str">
        <f>_xlfn.XLOOKUP(tblFinancials[[#This Row],[AccountKey]],tblAccounts[AccountKey],tblAccounts[NormalBalance],"")</f>
        <v>Debit</v>
      </c>
      <c r="N886" s="8" t="str">
        <f>_xlfn.XLOOKUP(tblFinancials[[#This Row],[DepartmentKey]],tblDepartments[DepartmentKey],tblDepartments[DepartmentName],"")</f>
        <v>Finance</v>
      </c>
      <c r="O886" s="8" t="str">
        <f>_xlfn.XLOOKUP(tblFinancials[[#This Row],[BusinessUnitKey]],tblBusinessUnits[BusinessUnitKey],tblBusinessUnits[BusinessUnitName],"")</f>
        <v>Wholesale</v>
      </c>
      <c r="P886" s="8" t="str">
        <f>_xlfn.XLOOKUP(tblFinancials[[#This Row],[RegionKey]],tblRegions[RegionKey],tblRegions[RegionName],"")</f>
        <v>West</v>
      </c>
    </row>
    <row r="887" spans="1:16">
      <c r="A887">
        <v>20250101</v>
      </c>
      <c r="B887">
        <v>4</v>
      </c>
      <c r="C887">
        <v>3</v>
      </c>
      <c r="D887">
        <v>4</v>
      </c>
      <c r="E887">
        <v>14</v>
      </c>
      <c r="F887" t="s">
        <v>92</v>
      </c>
      <c r="G887">
        <v>-16304.44</v>
      </c>
      <c r="H887">
        <f>_xlfn.XLOOKUP(tblFinancials[[#This Row],[DateKey]],tblCalendar[DateKey],tblCalendar[FullDate],"")</f>
        <v>45658</v>
      </c>
      <c r="I887">
        <f>_xlfn.XLOOKUP(tblFinancials[[#This Row],[AccountKey]],tblAccounts[AccountKey],tblAccounts[AccountNumber],"")</f>
        <v>5000</v>
      </c>
      <c r="J887" t="str">
        <f>_xlfn.XLOOKUP(tblFinancials[[#This Row],[AccountKey]],tblAccounts[AccountKey],tblAccounts[AccountName],"")</f>
        <v>Cost of Goods Sold</v>
      </c>
      <c r="K887" s="8" t="str">
        <f>_xlfn.XLOOKUP(tblFinancials[[#This Row],[AccountKey]],tblAccounts[AccountKey],tblAccounts[FinancialStatement],"")</f>
        <v>Income Statement</v>
      </c>
      <c r="L887" s="8" t="str">
        <f>_xlfn.XLOOKUP(tblFinancials[[#This Row],[AccountKey]],tblAccounts[AccountKey],tblAccounts[AccountCategory],"")</f>
        <v>Cost of Sales</v>
      </c>
      <c r="M887" s="8" t="str">
        <f>_xlfn.XLOOKUP(tblFinancials[[#This Row],[AccountKey]],tblAccounts[AccountKey],tblAccounts[NormalBalance],"")</f>
        <v>Debit</v>
      </c>
      <c r="N887" s="8" t="str">
        <f>_xlfn.XLOOKUP(tblFinancials[[#This Row],[DepartmentKey]],tblDepartments[DepartmentKey],tblDepartments[DepartmentName],"")</f>
        <v>Sales</v>
      </c>
      <c r="O887" s="8" t="str">
        <f>_xlfn.XLOOKUP(tblFinancials[[#This Row],[BusinessUnitKey]],tblBusinessUnits[BusinessUnitKey],tblBusinessUnits[BusinessUnitName],"")</f>
        <v>Retail</v>
      </c>
      <c r="P887" s="8" t="str">
        <f>_xlfn.XLOOKUP(tblFinancials[[#This Row],[RegionKey]],tblRegions[RegionKey],tblRegions[RegionName],"")</f>
        <v>East</v>
      </c>
    </row>
    <row r="888" spans="1:16">
      <c r="A888">
        <v>20250101</v>
      </c>
      <c r="B888">
        <v>4</v>
      </c>
      <c r="C888">
        <v>4</v>
      </c>
      <c r="D888">
        <v>4</v>
      </c>
      <c r="E888">
        <v>14</v>
      </c>
      <c r="F888" t="s">
        <v>92</v>
      </c>
      <c r="G888">
        <v>-16806.41</v>
      </c>
      <c r="H888">
        <f>_xlfn.XLOOKUP(tblFinancials[[#This Row],[DateKey]],tblCalendar[DateKey],tblCalendar[FullDate],"")</f>
        <v>45658</v>
      </c>
      <c r="I888">
        <f>_xlfn.XLOOKUP(tblFinancials[[#This Row],[AccountKey]],tblAccounts[AccountKey],tblAccounts[AccountNumber],"")</f>
        <v>5000</v>
      </c>
      <c r="J888" t="str">
        <f>_xlfn.XLOOKUP(tblFinancials[[#This Row],[AccountKey]],tblAccounts[AccountKey],tblAccounts[AccountName],"")</f>
        <v>Cost of Goods Sold</v>
      </c>
      <c r="K888" s="8" t="str">
        <f>_xlfn.XLOOKUP(tblFinancials[[#This Row],[AccountKey]],tblAccounts[AccountKey],tblAccounts[FinancialStatement],"")</f>
        <v>Income Statement</v>
      </c>
      <c r="L888" s="8" t="str">
        <f>_xlfn.XLOOKUP(tblFinancials[[#This Row],[AccountKey]],tblAccounts[AccountKey],tblAccounts[AccountCategory],"")</f>
        <v>Cost of Sales</v>
      </c>
      <c r="M888" s="8" t="str">
        <f>_xlfn.XLOOKUP(tblFinancials[[#This Row],[AccountKey]],tblAccounts[AccountKey],tblAccounts[NormalBalance],"")</f>
        <v>Debit</v>
      </c>
      <c r="N888" s="8" t="str">
        <f>_xlfn.XLOOKUP(tblFinancials[[#This Row],[DepartmentKey]],tblDepartments[DepartmentKey],tblDepartments[DepartmentName],"")</f>
        <v>Sales</v>
      </c>
      <c r="O888" s="8" t="str">
        <f>_xlfn.XLOOKUP(tblFinancials[[#This Row],[BusinessUnitKey]],tblBusinessUnits[BusinessUnitKey],tblBusinessUnits[BusinessUnitName],"")</f>
        <v>E-Commerce</v>
      </c>
      <c r="P888" s="8" t="str">
        <f>_xlfn.XLOOKUP(tblFinancials[[#This Row],[RegionKey]],tblRegions[RegionKey],tblRegions[RegionName],"")</f>
        <v>East</v>
      </c>
    </row>
    <row r="889" spans="1:16">
      <c r="A889">
        <v>20250101</v>
      </c>
      <c r="B889">
        <v>3</v>
      </c>
      <c r="C889">
        <v>1</v>
      </c>
      <c r="D889">
        <v>4</v>
      </c>
      <c r="E889">
        <v>14</v>
      </c>
      <c r="F889" t="s">
        <v>92</v>
      </c>
      <c r="G889">
        <v>-17398.349999999999</v>
      </c>
      <c r="H889">
        <f>_xlfn.XLOOKUP(tblFinancials[[#This Row],[DateKey]],tblCalendar[DateKey],tblCalendar[FullDate],"")</f>
        <v>45658</v>
      </c>
      <c r="I889">
        <f>_xlfn.XLOOKUP(tblFinancials[[#This Row],[AccountKey]],tblAccounts[AccountKey],tblAccounts[AccountNumber],"")</f>
        <v>5000</v>
      </c>
      <c r="J889" t="str">
        <f>_xlfn.XLOOKUP(tblFinancials[[#This Row],[AccountKey]],tblAccounts[AccountKey],tblAccounts[AccountName],"")</f>
        <v>Cost of Goods Sold</v>
      </c>
      <c r="K889" s="8" t="str">
        <f>_xlfn.XLOOKUP(tblFinancials[[#This Row],[AccountKey]],tblAccounts[AccountKey],tblAccounts[FinancialStatement],"")</f>
        <v>Income Statement</v>
      </c>
      <c r="L889" s="8" t="str">
        <f>_xlfn.XLOOKUP(tblFinancials[[#This Row],[AccountKey]],tblAccounts[AccountKey],tblAccounts[AccountCategory],"")</f>
        <v>Cost of Sales</v>
      </c>
      <c r="M889" s="8" t="str">
        <f>_xlfn.XLOOKUP(tblFinancials[[#This Row],[AccountKey]],tblAccounts[AccountKey],tblAccounts[NormalBalance],"")</f>
        <v>Debit</v>
      </c>
      <c r="N889" s="8" t="str">
        <f>_xlfn.XLOOKUP(tblFinancials[[#This Row],[DepartmentKey]],tblDepartments[DepartmentKey],tblDepartments[DepartmentName],"")</f>
        <v>Human Resources</v>
      </c>
      <c r="O889" s="8" t="str">
        <f>_xlfn.XLOOKUP(tblFinancials[[#This Row],[BusinessUnitKey]],tblBusinessUnits[BusinessUnitKey],tblBusinessUnits[BusinessUnitName],"")</f>
        <v xml:space="preserve">Manufacturing </v>
      </c>
      <c r="P889" s="8" t="str">
        <f>_xlfn.XLOOKUP(tblFinancials[[#This Row],[RegionKey]],tblRegions[RegionKey],tblRegions[RegionName],"")</f>
        <v>East</v>
      </c>
    </row>
    <row r="890" spans="1:16">
      <c r="A890">
        <v>20250101</v>
      </c>
      <c r="B890">
        <v>5</v>
      </c>
      <c r="C890">
        <v>3</v>
      </c>
      <c r="D890">
        <v>1</v>
      </c>
      <c r="E890">
        <v>25</v>
      </c>
      <c r="F890" t="s">
        <v>92</v>
      </c>
      <c r="G890">
        <v>-7775.22</v>
      </c>
      <c r="H890">
        <f>_xlfn.XLOOKUP(tblFinancials[[#This Row],[DateKey]],tblCalendar[DateKey],tblCalendar[FullDate],"")</f>
        <v>45658</v>
      </c>
      <c r="I890">
        <f>_xlfn.XLOOKUP(tblFinancials[[#This Row],[AccountKey]],tblAccounts[AccountKey],tblAccounts[AccountNumber],"")</f>
        <v>8200</v>
      </c>
      <c r="J890" t="str">
        <f>_xlfn.XLOOKUP(tblFinancials[[#This Row],[AccountKey]],tblAccounts[AccountKey],tblAccounts[AccountName],"")</f>
        <v>Income Tax Expense</v>
      </c>
      <c r="K890" s="8" t="str">
        <f>_xlfn.XLOOKUP(tblFinancials[[#This Row],[AccountKey]],tblAccounts[AccountKey],tblAccounts[FinancialStatement],"")</f>
        <v>Income Statement</v>
      </c>
      <c r="L890" s="8" t="str">
        <f>_xlfn.XLOOKUP(tblFinancials[[#This Row],[AccountKey]],tblAccounts[AccountKey],tblAccounts[AccountCategory],"")</f>
        <v>Tax Expense</v>
      </c>
      <c r="M890" s="8" t="str">
        <f>_xlfn.XLOOKUP(tblFinancials[[#This Row],[AccountKey]],tblAccounts[AccountKey],tblAccounts[NormalBalance],"")</f>
        <v>Debit</v>
      </c>
      <c r="N890" s="8" t="str">
        <f>_xlfn.XLOOKUP(tblFinancials[[#This Row],[DepartmentKey]],tblDepartments[DepartmentKey],tblDepartments[DepartmentName],"")</f>
        <v>Marketing</v>
      </c>
      <c r="O890" s="8" t="str">
        <f>_xlfn.XLOOKUP(tblFinancials[[#This Row],[BusinessUnitKey]],tblBusinessUnits[BusinessUnitKey],tblBusinessUnits[BusinessUnitName],"")</f>
        <v>Retail</v>
      </c>
      <c r="P890" s="8" t="str">
        <f>_xlfn.XLOOKUP(tblFinancials[[#This Row],[RegionKey]],tblRegions[RegionKey],tblRegions[RegionName],"")</f>
        <v>West</v>
      </c>
    </row>
    <row r="891" spans="1:16">
      <c r="A891">
        <v>20250101</v>
      </c>
      <c r="B891">
        <v>1</v>
      </c>
      <c r="C891">
        <v>3</v>
      </c>
      <c r="D891">
        <v>3</v>
      </c>
      <c r="E891">
        <v>17</v>
      </c>
      <c r="F891" t="s">
        <v>92</v>
      </c>
      <c r="G891">
        <v>-7790.56</v>
      </c>
      <c r="H891">
        <f>_xlfn.XLOOKUP(tblFinancials[[#This Row],[DateKey]],tblCalendar[DateKey],tblCalendar[FullDate],"")</f>
        <v>45658</v>
      </c>
      <c r="I891">
        <f>_xlfn.XLOOKUP(tblFinancials[[#This Row],[AccountKey]],tblAccounts[AccountKey],tblAccounts[AccountNumber],"")</f>
        <v>6120</v>
      </c>
      <c r="J891" t="str">
        <f>_xlfn.XLOOKUP(tblFinancials[[#This Row],[AccountKey]],tblAccounts[AccountKey],tblAccounts[AccountName],"")</f>
        <v>Employee Benefits</v>
      </c>
      <c r="K891" s="8" t="str">
        <f>_xlfn.XLOOKUP(tblFinancials[[#This Row],[AccountKey]],tblAccounts[AccountKey],tblAccounts[FinancialStatement],"")</f>
        <v>Income Statement</v>
      </c>
      <c r="L891" s="8" t="str">
        <f>_xlfn.XLOOKUP(tblFinancials[[#This Row],[AccountKey]],tblAccounts[AccountKey],tblAccounts[AccountCategory],"")</f>
        <v>Operating Expense</v>
      </c>
      <c r="M891" s="8" t="str">
        <f>_xlfn.XLOOKUP(tblFinancials[[#This Row],[AccountKey]],tblAccounts[AccountKey],tblAccounts[NormalBalance],"")</f>
        <v>Debit</v>
      </c>
      <c r="N891" s="8" t="str">
        <f>_xlfn.XLOOKUP(tblFinancials[[#This Row],[DepartmentKey]],tblDepartments[DepartmentKey],tblDepartments[DepartmentName],"")</f>
        <v>Executive</v>
      </c>
      <c r="O891" s="8" t="str">
        <f>_xlfn.XLOOKUP(tblFinancials[[#This Row],[BusinessUnitKey]],tblBusinessUnits[BusinessUnitKey],tblBusinessUnits[BusinessUnitName],"")</f>
        <v>Retail</v>
      </c>
      <c r="P891" s="8" t="str">
        <f>_xlfn.XLOOKUP(tblFinancials[[#This Row],[RegionKey]],tblRegions[RegionKey],tblRegions[RegionName],"")</f>
        <v>South</v>
      </c>
    </row>
    <row r="892" spans="1:16">
      <c r="A892">
        <v>20250101</v>
      </c>
      <c r="B892">
        <v>3</v>
      </c>
      <c r="C892">
        <v>1</v>
      </c>
      <c r="D892">
        <v>1</v>
      </c>
      <c r="E892">
        <v>15</v>
      </c>
      <c r="F892" t="s">
        <v>92</v>
      </c>
      <c r="G892">
        <v>-6110.85</v>
      </c>
      <c r="H892">
        <f>_xlfn.XLOOKUP(tblFinancials[[#This Row],[DateKey]],tblCalendar[DateKey],tblCalendar[FullDate],"")</f>
        <v>45658</v>
      </c>
      <c r="I892">
        <f>_xlfn.XLOOKUP(tblFinancials[[#This Row],[AccountKey]],tblAccounts[AccountKey],tblAccounts[AccountNumber],"")</f>
        <v>6100</v>
      </c>
      <c r="J892" t="str">
        <f>_xlfn.XLOOKUP(tblFinancials[[#This Row],[AccountKey]],tblAccounts[AccountKey],tblAccounts[AccountName],"")</f>
        <v>Salaries Expense</v>
      </c>
      <c r="K892" s="8" t="str">
        <f>_xlfn.XLOOKUP(tblFinancials[[#This Row],[AccountKey]],tblAccounts[AccountKey],tblAccounts[FinancialStatement],"")</f>
        <v>Income Statement</v>
      </c>
      <c r="L892" s="8" t="str">
        <f>_xlfn.XLOOKUP(tblFinancials[[#This Row],[AccountKey]],tblAccounts[AccountKey],tblAccounts[AccountCategory],"")</f>
        <v>Operating Expense</v>
      </c>
      <c r="M892" s="8" t="str">
        <f>_xlfn.XLOOKUP(tblFinancials[[#This Row],[AccountKey]],tblAccounts[AccountKey],tblAccounts[NormalBalance],"")</f>
        <v>Debit</v>
      </c>
      <c r="N892" s="8" t="str">
        <f>_xlfn.XLOOKUP(tblFinancials[[#This Row],[DepartmentKey]],tblDepartments[DepartmentKey],tblDepartments[DepartmentName],"")</f>
        <v>Human Resources</v>
      </c>
      <c r="O892" s="8" t="str">
        <f>_xlfn.XLOOKUP(tblFinancials[[#This Row],[BusinessUnitKey]],tblBusinessUnits[BusinessUnitKey],tblBusinessUnits[BusinessUnitName],"")</f>
        <v xml:space="preserve">Manufacturing </v>
      </c>
      <c r="P892" s="8" t="str">
        <f>_xlfn.XLOOKUP(tblFinancials[[#This Row],[RegionKey]],tblRegions[RegionKey],tblRegions[RegionName],"")</f>
        <v>West</v>
      </c>
    </row>
    <row r="893" spans="1:16">
      <c r="A893">
        <v>20250101</v>
      </c>
      <c r="B893">
        <v>7</v>
      </c>
      <c r="C893">
        <v>3</v>
      </c>
      <c r="D893">
        <v>2</v>
      </c>
      <c r="E893">
        <v>18</v>
      </c>
      <c r="F893" t="s">
        <v>92</v>
      </c>
      <c r="G893">
        <v>-6933.36</v>
      </c>
      <c r="H893">
        <f>_xlfn.XLOOKUP(tblFinancials[[#This Row],[DateKey]],tblCalendar[DateKey],tblCalendar[FullDate],"")</f>
        <v>45658</v>
      </c>
      <c r="I893">
        <f>_xlfn.XLOOKUP(tblFinancials[[#This Row],[AccountKey]],tblAccounts[AccountKey],tblAccounts[AccountNumber],"")</f>
        <v>6200</v>
      </c>
      <c r="J893" t="str">
        <f>_xlfn.XLOOKUP(tblFinancials[[#This Row],[AccountKey]],tblAccounts[AccountKey],tblAccounts[AccountName],"")</f>
        <v>Marketing Expense</v>
      </c>
      <c r="K893" s="8" t="str">
        <f>_xlfn.XLOOKUP(tblFinancials[[#This Row],[AccountKey]],tblAccounts[AccountKey],tblAccounts[FinancialStatement],"")</f>
        <v>Income Statement</v>
      </c>
      <c r="L893" s="8" t="str">
        <f>_xlfn.XLOOKUP(tblFinancials[[#This Row],[AccountKey]],tblAccounts[AccountKey],tblAccounts[AccountCategory],"")</f>
        <v>Operating Expense</v>
      </c>
      <c r="M893" s="8" t="str">
        <f>_xlfn.XLOOKUP(tblFinancials[[#This Row],[AccountKey]],tblAccounts[AccountKey],tblAccounts[NormalBalance],"")</f>
        <v>Debit</v>
      </c>
      <c r="N893" s="8" t="str">
        <f>_xlfn.XLOOKUP(tblFinancials[[#This Row],[DepartmentKey]],tblDepartments[DepartmentKey],tblDepartments[DepartmentName],"")</f>
        <v>Information Technology</v>
      </c>
      <c r="O893" s="8" t="str">
        <f>_xlfn.XLOOKUP(tblFinancials[[#This Row],[BusinessUnitKey]],tblBusinessUnits[BusinessUnitKey],tblBusinessUnits[BusinessUnitName],"")</f>
        <v>Retail</v>
      </c>
      <c r="P893" s="8" t="str">
        <f>_xlfn.XLOOKUP(tblFinancials[[#This Row],[RegionKey]],tblRegions[RegionKey],tblRegions[RegionName],"")</f>
        <v>Midwest</v>
      </c>
    </row>
    <row r="894" spans="1:16">
      <c r="A894">
        <v>20250101</v>
      </c>
      <c r="B894">
        <v>4</v>
      </c>
      <c r="C894">
        <v>2</v>
      </c>
      <c r="D894">
        <v>1</v>
      </c>
      <c r="E894">
        <v>17</v>
      </c>
      <c r="F894" t="s">
        <v>92</v>
      </c>
      <c r="G894">
        <v>-6155.71</v>
      </c>
      <c r="H894">
        <f>_xlfn.XLOOKUP(tblFinancials[[#This Row],[DateKey]],tblCalendar[DateKey],tblCalendar[FullDate],"")</f>
        <v>45658</v>
      </c>
      <c r="I894">
        <f>_xlfn.XLOOKUP(tblFinancials[[#This Row],[AccountKey]],tblAccounts[AccountKey],tblAccounts[AccountNumber],"")</f>
        <v>6120</v>
      </c>
      <c r="J894" t="str">
        <f>_xlfn.XLOOKUP(tblFinancials[[#This Row],[AccountKey]],tblAccounts[AccountKey],tblAccounts[AccountName],"")</f>
        <v>Employee Benefits</v>
      </c>
      <c r="K894" s="8" t="str">
        <f>_xlfn.XLOOKUP(tblFinancials[[#This Row],[AccountKey]],tblAccounts[AccountKey],tblAccounts[FinancialStatement],"")</f>
        <v>Income Statement</v>
      </c>
      <c r="L894" s="8" t="str">
        <f>_xlfn.XLOOKUP(tblFinancials[[#This Row],[AccountKey]],tblAccounts[AccountKey],tblAccounts[AccountCategory],"")</f>
        <v>Operating Expense</v>
      </c>
      <c r="M894" s="8" t="str">
        <f>_xlfn.XLOOKUP(tblFinancials[[#This Row],[AccountKey]],tblAccounts[AccountKey],tblAccounts[NormalBalance],"")</f>
        <v>Debit</v>
      </c>
      <c r="N894" s="8" t="str">
        <f>_xlfn.XLOOKUP(tblFinancials[[#This Row],[DepartmentKey]],tblDepartments[DepartmentKey],tblDepartments[DepartmentName],"")</f>
        <v>Sales</v>
      </c>
      <c r="O894" s="8" t="str">
        <f>_xlfn.XLOOKUP(tblFinancials[[#This Row],[BusinessUnitKey]],tblBusinessUnits[BusinessUnitKey],tblBusinessUnits[BusinessUnitName],"")</f>
        <v>Wholesale</v>
      </c>
      <c r="P894" s="8" t="str">
        <f>_xlfn.XLOOKUP(tblFinancials[[#This Row],[RegionKey]],tblRegions[RegionKey],tblRegions[RegionName],"")</f>
        <v>West</v>
      </c>
    </row>
    <row r="895" spans="1:16">
      <c r="A895">
        <v>20250101</v>
      </c>
      <c r="B895">
        <v>8</v>
      </c>
      <c r="C895">
        <v>4</v>
      </c>
      <c r="D895">
        <v>4</v>
      </c>
      <c r="E895">
        <v>16</v>
      </c>
      <c r="F895" t="s">
        <v>92</v>
      </c>
      <c r="G895">
        <v>-6490.53</v>
      </c>
      <c r="H895">
        <f>_xlfn.XLOOKUP(tblFinancials[[#This Row],[DateKey]],tblCalendar[DateKey],tblCalendar[FullDate],"")</f>
        <v>45658</v>
      </c>
      <c r="I895">
        <f>_xlfn.XLOOKUP(tblFinancials[[#This Row],[AccountKey]],tblAccounts[AccountKey],tblAccounts[AccountNumber],"")</f>
        <v>6110</v>
      </c>
      <c r="J895" t="str">
        <f>_xlfn.XLOOKUP(tblFinancials[[#This Row],[AccountKey]],tblAccounts[AccountKey],tblAccounts[AccountName],"")</f>
        <v>Payroll Taxes</v>
      </c>
      <c r="K895" s="8" t="str">
        <f>_xlfn.XLOOKUP(tblFinancials[[#This Row],[AccountKey]],tblAccounts[AccountKey],tblAccounts[FinancialStatement],"")</f>
        <v>Income Statement</v>
      </c>
      <c r="L895" s="8" t="str">
        <f>_xlfn.XLOOKUP(tblFinancials[[#This Row],[AccountKey]],tblAccounts[AccountKey],tblAccounts[AccountCategory],"")</f>
        <v>Operating Expense</v>
      </c>
      <c r="M895" s="8" t="str">
        <f>_xlfn.XLOOKUP(tblFinancials[[#This Row],[AccountKey]],tblAccounts[AccountKey],tblAccounts[NormalBalance],"")</f>
        <v>Debit</v>
      </c>
      <c r="N895" s="8" t="str">
        <f>_xlfn.XLOOKUP(tblFinancials[[#This Row],[DepartmentKey]],tblDepartments[DepartmentKey],tblDepartments[DepartmentName],"")</f>
        <v>Customer Service</v>
      </c>
      <c r="O895" s="8" t="str">
        <f>_xlfn.XLOOKUP(tblFinancials[[#This Row],[BusinessUnitKey]],tblBusinessUnits[BusinessUnitKey],tblBusinessUnits[BusinessUnitName],"")</f>
        <v>E-Commerce</v>
      </c>
      <c r="P895" s="8" t="str">
        <f>_xlfn.XLOOKUP(tblFinancials[[#This Row],[RegionKey]],tblRegions[RegionKey],tblRegions[RegionName],"")</f>
        <v>East</v>
      </c>
    </row>
    <row r="896" spans="1:16">
      <c r="A896">
        <v>20250101</v>
      </c>
      <c r="B896">
        <v>3</v>
      </c>
      <c r="C896">
        <v>4</v>
      </c>
      <c r="D896">
        <v>2</v>
      </c>
      <c r="E896">
        <v>17</v>
      </c>
      <c r="F896" t="s">
        <v>92</v>
      </c>
      <c r="G896">
        <v>-7842.65</v>
      </c>
      <c r="H896">
        <f>_xlfn.XLOOKUP(tblFinancials[[#This Row],[DateKey]],tblCalendar[DateKey],tblCalendar[FullDate],"")</f>
        <v>45658</v>
      </c>
      <c r="I896">
        <f>_xlfn.XLOOKUP(tblFinancials[[#This Row],[AccountKey]],tblAccounts[AccountKey],tblAccounts[AccountNumber],"")</f>
        <v>6120</v>
      </c>
      <c r="J896" t="str">
        <f>_xlfn.XLOOKUP(tblFinancials[[#This Row],[AccountKey]],tblAccounts[AccountKey],tblAccounts[AccountName],"")</f>
        <v>Employee Benefits</v>
      </c>
      <c r="K896" s="8" t="str">
        <f>_xlfn.XLOOKUP(tblFinancials[[#This Row],[AccountKey]],tblAccounts[AccountKey],tblAccounts[FinancialStatement],"")</f>
        <v>Income Statement</v>
      </c>
      <c r="L896" s="8" t="str">
        <f>_xlfn.XLOOKUP(tblFinancials[[#This Row],[AccountKey]],tblAccounts[AccountKey],tblAccounts[AccountCategory],"")</f>
        <v>Operating Expense</v>
      </c>
      <c r="M896" s="8" t="str">
        <f>_xlfn.XLOOKUP(tblFinancials[[#This Row],[AccountKey]],tblAccounts[AccountKey],tblAccounts[NormalBalance],"")</f>
        <v>Debit</v>
      </c>
      <c r="N896" s="8" t="str">
        <f>_xlfn.XLOOKUP(tblFinancials[[#This Row],[DepartmentKey]],tblDepartments[DepartmentKey],tblDepartments[DepartmentName],"")</f>
        <v>Human Resources</v>
      </c>
      <c r="O896" s="8" t="str">
        <f>_xlfn.XLOOKUP(tblFinancials[[#This Row],[BusinessUnitKey]],tblBusinessUnits[BusinessUnitKey],tblBusinessUnits[BusinessUnitName],"")</f>
        <v>E-Commerce</v>
      </c>
      <c r="P896" s="8" t="str">
        <f>_xlfn.XLOOKUP(tblFinancials[[#This Row],[RegionKey]],tblRegions[RegionKey],tblRegions[RegionName],"")</f>
        <v>Midwest</v>
      </c>
    </row>
    <row r="897" spans="1:16">
      <c r="A897">
        <v>20250101</v>
      </c>
      <c r="B897">
        <v>2</v>
      </c>
      <c r="C897">
        <v>1</v>
      </c>
      <c r="D897">
        <v>2</v>
      </c>
      <c r="E897">
        <v>18</v>
      </c>
      <c r="F897" t="s">
        <v>92</v>
      </c>
      <c r="G897">
        <v>-6896.46</v>
      </c>
      <c r="H897">
        <f>_xlfn.XLOOKUP(tblFinancials[[#This Row],[DateKey]],tblCalendar[DateKey],tblCalendar[FullDate],"")</f>
        <v>45658</v>
      </c>
      <c r="I897">
        <f>_xlfn.XLOOKUP(tblFinancials[[#This Row],[AccountKey]],tblAccounts[AccountKey],tblAccounts[AccountNumber],"")</f>
        <v>6200</v>
      </c>
      <c r="J897" t="str">
        <f>_xlfn.XLOOKUP(tblFinancials[[#This Row],[AccountKey]],tblAccounts[AccountKey],tblAccounts[AccountName],"")</f>
        <v>Marketing Expense</v>
      </c>
      <c r="K897" s="8" t="str">
        <f>_xlfn.XLOOKUP(tblFinancials[[#This Row],[AccountKey]],tblAccounts[AccountKey],tblAccounts[FinancialStatement],"")</f>
        <v>Income Statement</v>
      </c>
      <c r="L897" s="8" t="str">
        <f>_xlfn.XLOOKUP(tblFinancials[[#This Row],[AccountKey]],tblAccounts[AccountKey],tblAccounts[AccountCategory],"")</f>
        <v>Operating Expense</v>
      </c>
      <c r="M897" s="8" t="str">
        <f>_xlfn.XLOOKUP(tblFinancials[[#This Row],[AccountKey]],tblAccounts[AccountKey],tblAccounts[NormalBalance],"")</f>
        <v>Debit</v>
      </c>
      <c r="N897" s="8" t="str">
        <f>_xlfn.XLOOKUP(tblFinancials[[#This Row],[DepartmentKey]],tblDepartments[DepartmentKey],tblDepartments[DepartmentName],"")</f>
        <v>Finance</v>
      </c>
      <c r="O897" s="8" t="str">
        <f>_xlfn.XLOOKUP(tblFinancials[[#This Row],[BusinessUnitKey]],tblBusinessUnits[BusinessUnitKey],tblBusinessUnits[BusinessUnitName],"")</f>
        <v xml:space="preserve">Manufacturing </v>
      </c>
      <c r="P897" s="8" t="str">
        <f>_xlfn.XLOOKUP(tblFinancials[[#This Row],[RegionKey]],tblRegions[RegionKey],tblRegions[RegionName],"")</f>
        <v>Midwest</v>
      </c>
    </row>
    <row r="898" spans="1:16">
      <c r="A898">
        <v>20250101</v>
      </c>
      <c r="B898">
        <v>1</v>
      </c>
      <c r="C898">
        <v>3</v>
      </c>
      <c r="D898">
        <v>3</v>
      </c>
      <c r="E898">
        <v>23</v>
      </c>
      <c r="F898" t="s">
        <v>92</v>
      </c>
      <c r="G898">
        <v>-5943.51</v>
      </c>
      <c r="H898">
        <f>_xlfn.XLOOKUP(tblFinancials[[#This Row],[DateKey]],tblCalendar[DateKey],tblCalendar[FullDate],"")</f>
        <v>45658</v>
      </c>
      <c r="I898">
        <f>_xlfn.XLOOKUP(tblFinancials[[#This Row],[AccountKey]],tblAccounts[AccountKey],tblAccounts[AccountNumber],"")</f>
        <v>6800</v>
      </c>
      <c r="J898" t="str">
        <f>_xlfn.XLOOKUP(tblFinancials[[#This Row],[AccountKey]],tblAccounts[AccountKey],tblAccounts[AccountName],"")</f>
        <v>Travel Expense</v>
      </c>
      <c r="K898" s="8" t="str">
        <f>_xlfn.XLOOKUP(tblFinancials[[#This Row],[AccountKey]],tblAccounts[AccountKey],tblAccounts[FinancialStatement],"")</f>
        <v>Income Statement</v>
      </c>
      <c r="L898" s="8" t="str">
        <f>_xlfn.XLOOKUP(tblFinancials[[#This Row],[AccountKey]],tblAccounts[AccountKey],tblAccounts[AccountCategory],"")</f>
        <v>Operating Expense</v>
      </c>
      <c r="M898" s="8" t="str">
        <f>_xlfn.XLOOKUP(tblFinancials[[#This Row],[AccountKey]],tblAccounts[AccountKey],tblAccounts[NormalBalance],"")</f>
        <v>Debit</v>
      </c>
      <c r="N898" s="8" t="str">
        <f>_xlfn.XLOOKUP(tblFinancials[[#This Row],[DepartmentKey]],tblDepartments[DepartmentKey],tblDepartments[DepartmentName],"")</f>
        <v>Executive</v>
      </c>
      <c r="O898" s="8" t="str">
        <f>_xlfn.XLOOKUP(tblFinancials[[#This Row],[BusinessUnitKey]],tblBusinessUnits[BusinessUnitKey],tblBusinessUnits[BusinessUnitName],"")</f>
        <v>Retail</v>
      </c>
      <c r="P898" s="8" t="str">
        <f>_xlfn.XLOOKUP(tblFinancials[[#This Row],[RegionKey]],tblRegions[RegionKey],tblRegions[RegionName],"")</f>
        <v>South</v>
      </c>
    </row>
    <row r="899" spans="1:16">
      <c r="A899">
        <v>20250101</v>
      </c>
      <c r="B899">
        <v>7</v>
      </c>
      <c r="C899">
        <v>4</v>
      </c>
      <c r="D899">
        <v>1</v>
      </c>
      <c r="E899">
        <v>18</v>
      </c>
      <c r="F899" t="s">
        <v>92</v>
      </c>
      <c r="G899">
        <v>-7574.74</v>
      </c>
      <c r="H899">
        <f>_xlfn.XLOOKUP(tblFinancials[[#This Row],[DateKey]],tblCalendar[DateKey],tblCalendar[FullDate],"")</f>
        <v>45658</v>
      </c>
      <c r="I899">
        <f>_xlfn.XLOOKUP(tblFinancials[[#This Row],[AccountKey]],tblAccounts[AccountKey],tblAccounts[AccountNumber],"")</f>
        <v>6200</v>
      </c>
      <c r="J899" t="str">
        <f>_xlfn.XLOOKUP(tblFinancials[[#This Row],[AccountKey]],tblAccounts[AccountKey],tblAccounts[AccountName],"")</f>
        <v>Marketing Expense</v>
      </c>
      <c r="K899" s="8" t="str">
        <f>_xlfn.XLOOKUP(tblFinancials[[#This Row],[AccountKey]],tblAccounts[AccountKey],tblAccounts[FinancialStatement],"")</f>
        <v>Income Statement</v>
      </c>
      <c r="L899" s="8" t="str">
        <f>_xlfn.XLOOKUP(tblFinancials[[#This Row],[AccountKey]],tblAccounts[AccountKey],tblAccounts[AccountCategory],"")</f>
        <v>Operating Expense</v>
      </c>
      <c r="M899" s="8" t="str">
        <f>_xlfn.XLOOKUP(tblFinancials[[#This Row],[AccountKey]],tblAccounts[AccountKey],tblAccounts[NormalBalance],"")</f>
        <v>Debit</v>
      </c>
      <c r="N899" s="8" t="str">
        <f>_xlfn.XLOOKUP(tblFinancials[[#This Row],[DepartmentKey]],tblDepartments[DepartmentKey],tblDepartments[DepartmentName],"")</f>
        <v>Information Technology</v>
      </c>
      <c r="O899" s="8" t="str">
        <f>_xlfn.XLOOKUP(tblFinancials[[#This Row],[BusinessUnitKey]],tblBusinessUnits[BusinessUnitKey],tblBusinessUnits[BusinessUnitName],"")</f>
        <v>E-Commerce</v>
      </c>
      <c r="P899" s="8" t="str">
        <f>_xlfn.XLOOKUP(tblFinancials[[#This Row],[RegionKey]],tblRegions[RegionKey],tblRegions[RegionName],"")</f>
        <v>West</v>
      </c>
    </row>
    <row r="900" spans="1:16">
      <c r="A900">
        <v>20250101</v>
      </c>
      <c r="B900">
        <v>2</v>
      </c>
      <c r="C900">
        <v>1</v>
      </c>
      <c r="D900">
        <v>3</v>
      </c>
      <c r="E900">
        <v>23</v>
      </c>
      <c r="F900" t="s">
        <v>92</v>
      </c>
      <c r="G900">
        <v>-7529.33</v>
      </c>
      <c r="H900">
        <f>_xlfn.XLOOKUP(tblFinancials[[#This Row],[DateKey]],tblCalendar[DateKey],tblCalendar[FullDate],"")</f>
        <v>45658</v>
      </c>
      <c r="I900">
        <f>_xlfn.XLOOKUP(tblFinancials[[#This Row],[AccountKey]],tblAccounts[AccountKey],tblAccounts[AccountNumber],"")</f>
        <v>6800</v>
      </c>
      <c r="J900" t="str">
        <f>_xlfn.XLOOKUP(tblFinancials[[#This Row],[AccountKey]],tblAccounts[AccountKey],tblAccounts[AccountName],"")</f>
        <v>Travel Expense</v>
      </c>
      <c r="K900" s="8" t="str">
        <f>_xlfn.XLOOKUP(tblFinancials[[#This Row],[AccountKey]],tblAccounts[AccountKey],tblAccounts[FinancialStatement],"")</f>
        <v>Income Statement</v>
      </c>
      <c r="L900" s="8" t="str">
        <f>_xlfn.XLOOKUP(tblFinancials[[#This Row],[AccountKey]],tblAccounts[AccountKey],tblAccounts[AccountCategory],"")</f>
        <v>Operating Expense</v>
      </c>
      <c r="M900" s="8" t="str">
        <f>_xlfn.XLOOKUP(tblFinancials[[#This Row],[AccountKey]],tblAccounts[AccountKey],tblAccounts[NormalBalance],"")</f>
        <v>Debit</v>
      </c>
      <c r="N900" s="8" t="str">
        <f>_xlfn.XLOOKUP(tblFinancials[[#This Row],[DepartmentKey]],tblDepartments[DepartmentKey],tblDepartments[DepartmentName],"")</f>
        <v>Finance</v>
      </c>
      <c r="O900" s="8" t="str">
        <f>_xlfn.XLOOKUP(tblFinancials[[#This Row],[BusinessUnitKey]],tblBusinessUnits[BusinessUnitKey],tblBusinessUnits[BusinessUnitName],"")</f>
        <v xml:space="preserve">Manufacturing </v>
      </c>
      <c r="P900" s="8" t="str">
        <f>_xlfn.XLOOKUP(tblFinancials[[#This Row],[RegionKey]],tblRegions[RegionKey],tblRegions[RegionName],"")</f>
        <v>South</v>
      </c>
    </row>
    <row r="901" spans="1:16">
      <c r="A901">
        <v>20250101</v>
      </c>
      <c r="B901">
        <v>7</v>
      </c>
      <c r="C901">
        <v>1</v>
      </c>
      <c r="D901">
        <v>4</v>
      </c>
      <c r="E901">
        <v>15</v>
      </c>
      <c r="F901" t="s">
        <v>92</v>
      </c>
      <c r="G901">
        <v>-6084.11</v>
      </c>
      <c r="H901">
        <f>_xlfn.XLOOKUP(tblFinancials[[#This Row],[DateKey]],tblCalendar[DateKey],tblCalendar[FullDate],"")</f>
        <v>45658</v>
      </c>
      <c r="I901">
        <f>_xlfn.XLOOKUP(tblFinancials[[#This Row],[AccountKey]],tblAccounts[AccountKey],tblAccounts[AccountNumber],"")</f>
        <v>6100</v>
      </c>
      <c r="J901" t="str">
        <f>_xlfn.XLOOKUP(tblFinancials[[#This Row],[AccountKey]],tblAccounts[AccountKey],tblAccounts[AccountName],"")</f>
        <v>Salaries Expense</v>
      </c>
      <c r="K901" s="8" t="str">
        <f>_xlfn.XLOOKUP(tblFinancials[[#This Row],[AccountKey]],tblAccounts[AccountKey],tblAccounts[FinancialStatement],"")</f>
        <v>Income Statement</v>
      </c>
      <c r="L901" s="8" t="str">
        <f>_xlfn.XLOOKUP(tblFinancials[[#This Row],[AccountKey]],tblAccounts[AccountKey],tblAccounts[AccountCategory],"")</f>
        <v>Operating Expense</v>
      </c>
      <c r="M901" s="8" t="str">
        <f>_xlfn.XLOOKUP(tblFinancials[[#This Row],[AccountKey]],tblAccounts[AccountKey],tblAccounts[NormalBalance],"")</f>
        <v>Debit</v>
      </c>
      <c r="N901" s="8" t="str">
        <f>_xlfn.XLOOKUP(tblFinancials[[#This Row],[DepartmentKey]],tblDepartments[DepartmentKey],tblDepartments[DepartmentName],"")</f>
        <v>Information Technology</v>
      </c>
      <c r="O901" s="8" t="str">
        <f>_xlfn.XLOOKUP(tblFinancials[[#This Row],[BusinessUnitKey]],tblBusinessUnits[BusinessUnitKey],tblBusinessUnits[BusinessUnitName],"")</f>
        <v xml:space="preserve">Manufacturing </v>
      </c>
      <c r="P901" s="8" t="str">
        <f>_xlfn.XLOOKUP(tblFinancials[[#This Row],[RegionKey]],tblRegions[RegionKey],tblRegions[RegionName],"")</f>
        <v>East</v>
      </c>
    </row>
    <row r="902" spans="1:16">
      <c r="A902">
        <v>20250201</v>
      </c>
      <c r="B902">
        <v>4</v>
      </c>
      <c r="C902">
        <v>4</v>
      </c>
      <c r="D902">
        <v>1</v>
      </c>
      <c r="E902">
        <v>12</v>
      </c>
      <c r="F902" t="s">
        <v>92</v>
      </c>
      <c r="G902">
        <v>28906.94</v>
      </c>
      <c r="H902">
        <f>_xlfn.XLOOKUP(tblFinancials[[#This Row],[DateKey]],tblCalendar[DateKey],tblCalendar[FullDate],"")</f>
        <v>45689</v>
      </c>
      <c r="I902">
        <f>_xlfn.XLOOKUP(tblFinancials[[#This Row],[AccountKey]],tblAccounts[AccountKey],tblAccounts[AccountNumber],"")</f>
        <v>4010</v>
      </c>
      <c r="J902" t="str">
        <f>_xlfn.XLOOKUP(tblFinancials[[#This Row],[AccountKey]],tblAccounts[AccountKey],tblAccounts[AccountName],"")</f>
        <v>Service Revenue</v>
      </c>
      <c r="K902" s="8" t="str">
        <f>_xlfn.XLOOKUP(tblFinancials[[#This Row],[AccountKey]],tblAccounts[AccountKey],tblAccounts[FinancialStatement],"")</f>
        <v>Income Statement</v>
      </c>
      <c r="L902" s="8" t="str">
        <f>_xlfn.XLOOKUP(tblFinancials[[#This Row],[AccountKey]],tblAccounts[AccountKey],tblAccounts[AccountCategory],"")</f>
        <v>Revenue</v>
      </c>
      <c r="M902" s="8" t="str">
        <f>_xlfn.XLOOKUP(tblFinancials[[#This Row],[AccountKey]],tblAccounts[AccountKey],tblAccounts[NormalBalance],"")</f>
        <v>Credit</v>
      </c>
      <c r="N902" s="8" t="str">
        <f>_xlfn.XLOOKUP(tblFinancials[[#This Row],[DepartmentKey]],tblDepartments[DepartmentKey],tblDepartments[DepartmentName],"")</f>
        <v>Sales</v>
      </c>
      <c r="O902" s="8" t="str">
        <f>_xlfn.XLOOKUP(tblFinancials[[#This Row],[BusinessUnitKey]],tblBusinessUnits[BusinessUnitKey],tblBusinessUnits[BusinessUnitName],"")</f>
        <v>E-Commerce</v>
      </c>
      <c r="P902" s="8" t="str">
        <f>_xlfn.XLOOKUP(tblFinancials[[#This Row],[RegionKey]],tblRegions[RegionKey],tblRegions[RegionName],"")</f>
        <v>West</v>
      </c>
    </row>
    <row r="903" spans="1:16">
      <c r="A903">
        <v>20250201</v>
      </c>
      <c r="B903">
        <v>8</v>
      </c>
      <c r="C903">
        <v>4</v>
      </c>
      <c r="D903">
        <v>4</v>
      </c>
      <c r="E903">
        <v>12</v>
      </c>
      <c r="F903" t="s">
        <v>92</v>
      </c>
      <c r="G903">
        <v>28721.84</v>
      </c>
      <c r="H903">
        <f>_xlfn.XLOOKUP(tblFinancials[[#This Row],[DateKey]],tblCalendar[DateKey],tblCalendar[FullDate],"")</f>
        <v>45689</v>
      </c>
      <c r="I903">
        <f>_xlfn.XLOOKUP(tblFinancials[[#This Row],[AccountKey]],tblAccounts[AccountKey],tblAccounts[AccountNumber],"")</f>
        <v>4010</v>
      </c>
      <c r="J903" t="str">
        <f>_xlfn.XLOOKUP(tblFinancials[[#This Row],[AccountKey]],tblAccounts[AccountKey],tblAccounts[AccountName],"")</f>
        <v>Service Revenue</v>
      </c>
      <c r="K903" s="8" t="str">
        <f>_xlfn.XLOOKUP(tblFinancials[[#This Row],[AccountKey]],tblAccounts[AccountKey],tblAccounts[FinancialStatement],"")</f>
        <v>Income Statement</v>
      </c>
      <c r="L903" s="8" t="str">
        <f>_xlfn.XLOOKUP(tblFinancials[[#This Row],[AccountKey]],tblAccounts[AccountKey],tblAccounts[AccountCategory],"")</f>
        <v>Revenue</v>
      </c>
      <c r="M903" s="8" t="str">
        <f>_xlfn.XLOOKUP(tblFinancials[[#This Row],[AccountKey]],tblAccounts[AccountKey],tblAccounts[NormalBalance],"")</f>
        <v>Credit</v>
      </c>
      <c r="N903" s="8" t="str">
        <f>_xlfn.XLOOKUP(tblFinancials[[#This Row],[DepartmentKey]],tblDepartments[DepartmentKey],tblDepartments[DepartmentName],"")</f>
        <v>Customer Service</v>
      </c>
      <c r="O903" s="8" t="str">
        <f>_xlfn.XLOOKUP(tblFinancials[[#This Row],[BusinessUnitKey]],tblBusinessUnits[BusinessUnitKey],tblBusinessUnits[BusinessUnitName],"")</f>
        <v>E-Commerce</v>
      </c>
      <c r="P903" s="8" t="str">
        <f>_xlfn.XLOOKUP(tblFinancials[[#This Row],[RegionKey]],tblRegions[RegionKey],tblRegions[RegionName],"")</f>
        <v>East</v>
      </c>
    </row>
    <row r="904" spans="1:16">
      <c r="A904">
        <v>20250201</v>
      </c>
      <c r="B904">
        <v>7</v>
      </c>
      <c r="C904">
        <v>3</v>
      </c>
      <c r="D904">
        <v>2</v>
      </c>
      <c r="E904">
        <v>12</v>
      </c>
      <c r="F904" t="s">
        <v>92</v>
      </c>
      <c r="G904">
        <v>29333.99</v>
      </c>
      <c r="H904">
        <f>_xlfn.XLOOKUP(tblFinancials[[#This Row],[DateKey]],tblCalendar[DateKey],tblCalendar[FullDate],"")</f>
        <v>45689</v>
      </c>
      <c r="I904">
        <f>_xlfn.XLOOKUP(tblFinancials[[#This Row],[AccountKey]],tblAccounts[AccountKey],tblAccounts[AccountNumber],"")</f>
        <v>4010</v>
      </c>
      <c r="J904" t="str">
        <f>_xlfn.XLOOKUP(tblFinancials[[#This Row],[AccountKey]],tblAccounts[AccountKey],tblAccounts[AccountName],"")</f>
        <v>Service Revenue</v>
      </c>
      <c r="K904" s="8" t="str">
        <f>_xlfn.XLOOKUP(tblFinancials[[#This Row],[AccountKey]],tblAccounts[AccountKey],tblAccounts[FinancialStatement],"")</f>
        <v>Income Statement</v>
      </c>
      <c r="L904" s="8" t="str">
        <f>_xlfn.XLOOKUP(tblFinancials[[#This Row],[AccountKey]],tblAccounts[AccountKey],tblAccounts[AccountCategory],"")</f>
        <v>Revenue</v>
      </c>
      <c r="M904" s="8" t="str">
        <f>_xlfn.XLOOKUP(tblFinancials[[#This Row],[AccountKey]],tblAccounts[AccountKey],tblAccounts[NormalBalance],"")</f>
        <v>Credit</v>
      </c>
      <c r="N904" s="8" t="str">
        <f>_xlfn.XLOOKUP(tblFinancials[[#This Row],[DepartmentKey]],tblDepartments[DepartmentKey],tblDepartments[DepartmentName],"")</f>
        <v>Information Technology</v>
      </c>
      <c r="O904" s="8" t="str">
        <f>_xlfn.XLOOKUP(tblFinancials[[#This Row],[BusinessUnitKey]],tblBusinessUnits[BusinessUnitKey],tblBusinessUnits[BusinessUnitName],"")</f>
        <v>Retail</v>
      </c>
      <c r="P904" s="8" t="str">
        <f>_xlfn.XLOOKUP(tblFinancials[[#This Row],[RegionKey]],tblRegions[RegionKey],tblRegions[RegionName],"")</f>
        <v>Midwest</v>
      </c>
    </row>
    <row r="905" spans="1:16">
      <c r="A905">
        <v>20250201</v>
      </c>
      <c r="B905">
        <v>7</v>
      </c>
      <c r="C905">
        <v>3</v>
      </c>
      <c r="D905">
        <v>3</v>
      </c>
      <c r="E905">
        <v>11</v>
      </c>
      <c r="F905" t="s">
        <v>92</v>
      </c>
      <c r="G905">
        <v>28459.98</v>
      </c>
      <c r="H905">
        <f>_xlfn.XLOOKUP(tblFinancials[[#This Row],[DateKey]],tblCalendar[DateKey],tblCalendar[FullDate],"")</f>
        <v>45689</v>
      </c>
      <c r="I905">
        <f>_xlfn.XLOOKUP(tblFinancials[[#This Row],[AccountKey]],tblAccounts[AccountKey],tblAccounts[AccountNumber],"")</f>
        <v>4000</v>
      </c>
      <c r="J905" t="str">
        <f>_xlfn.XLOOKUP(tblFinancials[[#This Row],[AccountKey]],tblAccounts[AccountKey],tblAccounts[AccountName],"")</f>
        <v>Product Revenue</v>
      </c>
      <c r="K905" s="8" t="str">
        <f>_xlfn.XLOOKUP(tblFinancials[[#This Row],[AccountKey]],tblAccounts[AccountKey],tblAccounts[FinancialStatement],"")</f>
        <v>Income Statement</v>
      </c>
      <c r="L905" s="8" t="str">
        <f>_xlfn.XLOOKUP(tblFinancials[[#This Row],[AccountKey]],tblAccounts[AccountKey],tblAccounts[AccountCategory],"")</f>
        <v>Revenue</v>
      </c>
      <c r="M905" s="8" t="str">
        <f>_xlfn.XLOOKUP(tblFinancials[[#This Row],[AccountKey]],tblAccounts[AccountKey],tblAccounts[NormalBalance],"")</f>
        <v>Credit</v>
      </c>
      <c r="N905" s="8" t="str">
        <f>_xlfn.XLOOKUP(tblFinancials[[#This Row],[DepartmentKey]],tblDepartments[DepartmentKey],tblDepartments[DepartmentName],"")</f>
        <v>Information Technology</v>
      </c>
      <c r="O905" s="8" t="str">
        <f>_xlfn.XLOOKUP(tblFinancials[[#This Row],[BusinessUnitKey]],tblBusinessUnits[BusinessUnitKey],tblBusinessUnits[BusinessUnitName],"")</f>
        <v>Retail</v>
      </c>
      <c r="P905" s="8" t="str">
        <f>_xlfn.XLOOKUP(tblFinancials[[#This Row],[RegionKey]],tblRegions[RegionKey],tblRegions[RegionName],"")</f>
        <v>South</v>
      </c>
    </row>
    <row r="906" spans="1:16">
      <c r="A906">
        <v>20250201</v>
      </c>
      <c r="B906">
        <v>8</v>
      </c>
      <c r="C906">
        <v>3</v>
      </c>
      <c r="D906">
        <v>4</v>
      </c>
      <c r="E906">
        <v>13</v>
      </c>
      <c r="F906" t="s">
        <v>92</v>
      </c>
      <c r="G906">
        <v>28404.43</v>
      </c>
      <c r="H906">
        <f>_xlfn.XLOOKUP(tblFinancials[[#This Row],[DateKey]],tblCalendar[DateKey],tblCalendar[FullDate],"")</f>
        <v>45689</v>
      </c>
      <c r="I906">
        <f>_xlfn.XLOOKUP(tblFinancials[[#This Row],[AccountKey]],tblAccounts[AccountKey],tblAccounts[AccountNumber],"")</f>
        <v>4020</v>
      </c>
      <c r="J906" t="str">
        <f>_xlfn.XLOOKUP(tblFinancials[[#This Row],[AccountKey]],tblAccounts[AccountKey],tblAccounts[AccountName],"")</f>
        <v>Online Revenue</v>
      </c>
      <c r="K906" s="8" t="str">
        <f>_xlfn.XLOOKUP(tblFinancials[[#This Row],[AccountKey]],tblAccounts[AccountKey],tblAccounts[FinancialStatement],"")</f>
        <v>Income Statement</v>
      </c>
      <c r="L906" s="8" t="str">
        <f>_xlfn.XLOOKUP(tblFinancials[[#This Row],[AccountKey]],tblAccounts[AccountKey],tblAccounts[AccountCategory],"")</f>
        <v>Revenue</v>
      </c>
      <c r="M906" s="8" t="str">
        <f>_xlfn.XLOOKUP(tblFinancials[[#This Row],[AccountKey]],tblAccounts[AccountKey],tblAccounts[NormalBalance],"")</f>
        <v>Credit</v>
      </c>
      <c r="N906" s="8" t="str">
        <f>_xlfn.XLOOKUP(tblFinancials[[#This Row],[DepartmentKey]],tblDepartments[DepartmentKey],tblDepartments[DepartmentName],"")</f>
        <v>Customer Service</v>
      </c>
      <c r="O906" s="8" t="str">
        <f>_xlfn.XLOOKUP(tblFinancials[[#This Row],[BusinessUnitKey]],tblBusinessUnits[BusinessUnitKey],tblBusinessUnits[BusinessUnitName],"")</f>
        <v>Retail</v>
      </c>
      <c r="P906" s="8" t="str">
        <f>_xlfn.XLOOKUP(tblFinancials[[#This Row],[RegionKey]],tblRegions[RegionKey],tblRegions[RegionName],"")</f>
        <v>East</v>
      </c>
    </row>
    <row r="907" spans="1:16">
      <c r="A907">
        <v>20250201</v>
      </c>
      <c r="B907">
        <v>7</v>
      </c>
      <c r="C907">
        <v>2</v>
      </c>
      <c r="D907">
        <v>3</v>
      </c>
      <c r="E907">
        <v>11</v>
      </c>
      <c r="F907" t="s">
        <v>92</v>
      </c>
      <c r="G907">
        <v>27654.63</v>
      </c>
      <c r="H907">
        <f>_xlfn.XLOOKUP(tblFinancials[[#This Row],[DateKey]],tblCalendar[DateKey],tblCalendar[FullDate],"")</f>
        <v>45689</v>
      </c>
      <c r="I907">
        <f>_xlfn.XLOOKUP(tblFinancials[[#This Row],[AccountKey]],tblAccounts[AccountKey],tblAccounts[AccountNumber],"")</f>
        <v>4000</v>
      </c>
      <c r="J907" t="str">
        <f>_xlfn.XLOOKUP(tblFinancials[[#This Row],[AccountKey]],tblAccounts[AccountKey],tblAccounts[AccountName],"")</f>
        <v>Product Revenue</v>
      </c>
      <c r="K907" s="8" t="str">
        <f>_xlfn.XLOOKUP(tblFinancials[[#This Row],[AccountKey]],tblAccounts[AccountKey],tblAccounts[FinancialStatement],"")</f>
        <v>Income Statement</v>
      </c>
      <c r="L907" s="8" t="str">
        <f>_xlfn.XLOOKUP(tblFinancials[[#This Row],[AccountKey]],tblAccounts[AccountKey],tblAccounts[AccountCategory],"")</f>
        <v>Revenue</v>
      </c>
      <c r="M907" s="8" t="str">
        <f>_xlfn.XLOOKUP(tblFinancials[[#This Row],[AccountKey]],tblAccounts[AccountKey],tblAccounts[NormalBalance],"")</f>
        <v>Credit</v>
      </c>
      <c r="N907" s="8" t="str">
        <f>_xlfn.XLOOKUP(tblFinancials[[#This Row],[DepartmentKey]],tblDepartments[DepartmentKey],tblDepartments[DepartmentName],"")</f>
        <v>Information Technology</v>
      </c>
      <c r="O907" s="8" t="str">
        <f>_xlfn.XLOOKUP(tblFinancials[[#This Row],[BusinessUnitKey]],tblBusinessUnits[BusinessUnitKey],tblBusinessUnits[BusinessUnitName],"")</f>
        <v>Wholesale</v>
      </c>
      <c r="P907" s="8" t="str">
        <f>_xlfn.XLOOKUP(tblFinancials[[#This Row],[RegionKey]],tblRegions[RegionKey],tblRegions[RegionName],"")</f>
        <v>South</v>
      </c>
    </row>
    <row r="908" spans="1:16">
      <c r="A908">
        <v>20250201</v>
      </c>
      <c r="B908">
        <v>8</v>
      </c>
      <c r="C908">
        <v>1</v>
      </c>
      <c r="D908">
        <v>1</v>
      </c>
      <c r="E908">
        <v>12</v>
      </c>
      <c r="F908" t="s">
        <v>92</v>
      </c>
      <c r="G908">
        <v>29238.04</v>
      </c>
      <c r="H908">
        <f>_xlfn.XLOOKUP(tblFinancials[[#This Row],[DateKey]],tblCalendar[DateKey],tblCalendar[FullDate],"")</f>
        <v>45689</v>
      </c>
      <c r="I908">
        <f>_xlfn.XLOOKUP(tblFinancials[[#This Row],[AccountKey]],tblAccounts[AccountKey],tblAccounts[AccountNumber],"")</f>
        <v>4010</v>
      </c>
      <c r="J908" t="str">
        <f>_xlfn.XLOOKUP(tblFinancials[[#This Row],[AccountKey]],tblAccounts[AccountKey],tblAccounts[AccountName],"")</f>
        <v>Service Revenue</v>
      </c>
      <c r="K908" s="8" t="str">
        <f>_xlfn.XLOOKUP(tblFinancials[[#This Row],[AccountKey]],tblAccounts[AccountKey],tblAccounts[FinancialStatement],"")</f>
        <v>Income Statement</v>
      </c>
      <c r="L908" s="8" t="str">
        <f>_xlfn.XLOOKUP(tblFinancials[[#This Row],[AccountKey]],tblAccounts[AccountKey],tblAccounts[AccountCategory],"")</f>
        <v>Revenue</v>
      </c>
      <c r="M908" s="8" t="str">
        <f>_xlfn.XLOOKUP(tblFinancials[[#This Row],[AccountKey]],tblAccounts[AccountKey],tblAccounts[NormalBalance],"")</f>
        <v>Credit</v>
      </c>
      <c r="N908" s="8" t="str">
        <f>_xlfn.XLOOKUP(tblFinancials[[#This Row],[DepartmentKey]],tblDepartments[DepartmentKey],tblDepartments[DepartmentName],"")</f>
        <v>Customer Service</v>
      </c>
      <c r="O908" s="8" t="str">
        <f>_xlfn.XLOOKUP(tblFinancials[[#This Row],[BusinessUnitKey]],tblBusinessUnits[BusinessUnitKey],tblBusinessUnits[BusinessUnitName],"")</f>
        <v xml:space="preserve">Manufacturing </v>
      </c>
      <c r="P908" s="8" t="str">
        <f>_xlfn.XLOOKUP(tblFinancials[[#This Row],[RegionKey]],tblRegions[RegionKey],tblRegions[RegionName],"")</f>
        <v>West</v>
      </c>
    </row>
    <row r="909" spans="1:16">
      <c r="A909">
        <v>20250201</v>
      </c>
      <c r="B909">
        <v>2</v>
      </c>
      <c r="C909">
        <v>3</v>
      </c>
      <c r="D909">
        <v>2</v>
      </c>
      <c r="E909">
        <v>13</v>
      </c>
      <c r="F909" t="s">
        <v>92</v>
      </c>
      <c r="G909">
        <v>27697.96</v>
      </c>
      <c r="H909">
        <f>_xlfn.XLOOKUP(tblFinancials[[#This Row],[DateKey]],tblCalendar[DateKey],tblCalendar[FullDate],"")</f>
        <v>45689</v>
      </c>
      <c r="I909">
        <f>_xlfn.XLOOKUP(tblFinancials[[#This Row],[AccountKey]],tblAccounts[AccountKey],tblAccounts[AccountNumber],"")</f>
        <v>4020</v>
      </c>
      <c r="J909" t="str">
        <f>_xlfn.XLOOKUP(tblFinancials[[#This Row],[AccountKey]],tblAccounts[AccountKey],tblAccounts[AccountName],"")</f>
        <v>Online Revenue</v>
      </c>
      <c r="K909" s="8" t="str">
        <f>_xlfn.XLOOKUP(tblFinancials[[#This Row],[AccountKey]],tblAccounts[AccountKey],tblAccounts[FinancialStatement],"")</f>
        <v>Income Statement</v>
      </c>
      <c r="L909" s="8" t="str">
        <f>_xlfn.XLOOKUP(tblFinancials[[#This Row],[AccountKey]],tblAccounts[AccountKey],tblAccounts[AccountCategory],"")</f>
        <v>Revenue</v>
      </c>
      <c r="M909" s="8" t="str">
        <f>_xlfn.XLOOKUP(tblFinancials[[#This Row],[AccountKey]],tblAccounts[AccountKey],tblAccounts[NormalBalance],"")</f>
        <v>Credit</v>
      </c>
      <c r="N909" s="8" t="str">
        <f>_xlfn.XLOOKUP(tblFinancials[[#This Row],[DepartmentKey]],tblDepartments[DepartmentKey],tblDepartments[DepartmentName],"")</f>
        <v>Finance</v>
      </c>
      <c r="O909" s="8" t="str">
        <f>_xlfn.XLOOKUP(tblFinancials[[#This Row],[BusinessUnitKey]],tblBusinessUnits[BusinessUnitKey],tblBusinessUnits[BusinessUnitName],"")</f>
        <v>Retail</v>
      </c>
      <c r="P909" s="8" t="str">
        <f>_xlfn.XLOOKUP(tblFinancials[[#This Row],[RegionKey]],tblRegions[RegionKey],tblRegions[RegionName],"")</f>
        <v>Midwest</v>
      </c>
    </row>
    <row r="910" spans="1:16">
      <c r="A910">
        <v>20250201</v>
      </c>
      <c r="B910">
        <v>8</v>
      </c>
      <c r="C910">
        <v>1</v>
      </c>
      <c r="D910">
        <v>2</v>
      </c>
      <c r="E910">
        <v>11</v>
      </c>
      <c r="F910" t="s">
        <v>92</v>
      </c>
      <c r="G910">
        <v>28255.119999999999</v>
      </c>
      <c r="H910">
        <f>_xlfn.XLOOKUP(tblFinancials[[#This Row],[DateKey]],tblCalendar[DateKey],tblCalendar[FullDate],"")</f>
        <v>45689</v>
      </c>
      <c r="I910">
        <f>_xlfn.XLOOKUP(tblFinancials[[#This Row],[AccountKey]],tblAccounts[AccountKey],tblAccounts[AccountNumber],"")</f>
        <v>4000</v>
      </c>
      <c r="J910" t="str">
        <f>_xlfn.XLOOKUP(tblFinancials[[#This Row],[AccountKey]],tblAccounts[AccountKey],tblAccounts[AccountName],"")</f>
        <v>Product Revenue</v>
      </c>
      <c r="K910" s="8" t="str">
        <f>_xlfn.XLOOKUP(tblFinancials[[#This Row],[AccountKey]],tblAccounts[AccountKey],tblAccounts[FinancialStatement],"")</f>
        <v>Income Statement</v>
      </c>
      <c r="L910" s="8" t="str">
        <f>_xlfn.XLOOKUP(tblFinancials[[#This Row],[AccountKey]],tblAccounts[AccountKey],tblAccounts[AccountCategory],"")</f>
        <v>Revenue</v>
      </c>
      <c r="M910" s="8" t="str">
        <f>_xlfn.XLOOKUP(tblFinancials[[#This Row],[AccountKey]],tblAccounts[AccountKey],tblAccounts[NormalBalance],"")</f>
        <v>Credit</v>
      </c>
      <c r="N910" s="8" t="str">
        <f>_xlfn.XLOOKUP(tblFinancials[[#This Row],[DepartmentKey]],tblDepartments[DepartmentKey],tblDepartments[DepartmentName],"")</f>
        <v>Customer Service</v>
      </c>
      <c r="O910" s="8" t="str">
        <f>_xlfn.XLOOKUP(tblFinancials[[#This Row],[BusinessUnitKey]],tblBusinessUnits[BusinessUnitKey],tblBusinessUnits[BusinessUnitName],"")</f>
        <v xml:space="preserve">Manufacturing </v>
      </c>
      <c r="P910" s="8" t="str">
        <f>_xlfn.XLOOKUP(tblFinancials[[#This Row],[RegionKey]],tblRegions[RegionKey],tblRegions[RegionName],"")</f>
        <v>Midwest</v>
      </c>
    </row>
    <row r="911" spans="1:16">
      <c r="A911">
        <v>20250201</v>
      </c>
      <c r="B911">
        <v>2</v>
      </c>
      <c r="C911">
        <v>4</v>
      </c>
      <c r="D911">
        <v>1</v>
      </c>
      <c r="E911">
        <v>12</v>
      </c>
      <c r="F911" t="s">
        <v>92</v>
      </c>
      <c r="G911">
        <v>28607.61</v>
      </c>
      <c r="H911">
        <f>_xlfn.XLOOKUP(tblFinancials[[#This Row],[DateKey]],tblCalendar[DateKey],tblCalendar[FullDate],"")</f>
        <v>45689</v>
      </c>
      <c r="I911">
        <f>_xlfn.XLOOKUP(tblFinancials[[#This Row],[AccountKey]],tblAccounts[AccountKey],tblAccounts[AccountNumber],"")</f>
        <v>4010</v>
      </c>
      <c r="J911" t="str">
        <f>_xlfn.XLOOKUP(tblFinancials[[#This Row],[AccountKey]],tblAccounts[AccountKey],tblAccounts[AccountName],"")</f>
        <v>Service Revenue</v>
      </c>
      <c r="K911" s="8" t="str">
        <f>_xlfn.XLOOKUP(tblFinancials[[#This Row],[AccountKey]],tblAccounts[AccountKey],tblAccounts[FinancialStatement],"")</f>
        <v>Income Statement</v>
      </c>
      <c r="L911" s="8" t="str">
        <f>_xlfn.XLOOKUP(tblFinancials[[#This Row],[AccountKey]],tblAccounts[AccountKey],tblAccounts[AccountCategory],"")</f>
        <v>Revenue</v>
      </c>
      <c r="M911" s="8" t="str">
        <f>_xlfn.XLOOKUP(tblFinancials[[#This Row],[AccountKey]],tblAccounts[AccountKey],tblAccounts[NormalBalance],"")</f>
        <v>Credit</v>
      </c>
      <c r="N911" s="8" t="str">
        <f>_xlfn.XLOOKUP(tblFinancials[[#This Row],[DepartmentKey]],tblDepartments[DepartmentKey],tblDepartments[DepartmentName],"")</f>
        <v>Finance</v>
      </c>
      <c r="O911" s="8" t="str">
        <f>_xlfn.XLOOKUP(tblFinancials[[#This Row],[BusinessUnitKey]],tblBusinessUnits[BusinessUnitKey],tblBusinessUnits[BusinessUnitName],"")</f>
        <v>E-Commerce</v>
      </c>
      <c r="P911" s="8" t="str">
        <f>_xlfn.XLOOKUP(tblFinancials[[#This Row],[RegionKey]],tblRegions[RegionKey],tblRegions[RegionName],"")</f>
        <v>West</v>
      </c>
    </row>
    <row r="912" spans="1:16">
      <c r="A912">
        <v>20250201</v>
      </c>
      <c r="B912">
        <v>1</v>
      </c>
      <c r="C912">
        <v>3</v>
      </c>
      <c r="D912">
        <v>1</v>
      </c>
      <c r="E912">
        <v>13</v>
      </c>
      <c r="F912" t="s">
        <v>92</v>
      </c>
      <c r="G912">
        <v>27385.71</v>
      </c>
      <c r="H912">
        <f>_xlfn.XLOOKUP(tblFinancials[[#This Row],[DateKey]],tblCalendar[DateKey],tblCalendar[FullDate],"")</f>
        <v>45689</v>
      </c>
      <c r="I912">
        <f>_xlfn.XLOOKUP(tblFinancials[[#This Row],[AccountKey]],tblAccounts[AccountKey],tblAccounts[AccountNumber],"")</f>
        <v>4020</v>
      </c>
      <c r="J912" t="str">
        <f>_xlfn.XLOOKUP(tblFinancials[[#This Row],[AccountKey]],tblAccounts[AccountKey],tblAccounts[AccountName],"")</f>
        <v>Online Revenue</v>
      </c>
      <c r="K912" s="8" t="str">
        <f>_xlfn.XLOOKUP(tblFinancials[[#This Row],[AccountKey]],tblAccounts[AccountKey],tblAccounts[FinancialStatement],"")</f>
        <v>Income Statement</v>
      </c>
      <c r="L912" s="8" t="str">
        <f>_xlfn.XLOOKUP(tblFinancials[[#This Row],[AccountKey]],tblAccounts[AccountKey],tblAccounts[AccountCategory],"")</f>
        <v>Revenue</v>
      </c>
      <c r="M912" s="8" t="str">
        <f>_xlfn.XLOOKUP(tblFinancials[[#This Row],[AccountKey]],tblAccounts[AccountKey],tblAccounts[NormalBalance],"")</f>
        <v>Credit</v>
      </c>
      <c r="N912" s="8" t="str">
        <f>_xlfn.XLOOKUP(tblFinancials[[#This Row],[DepartmentKey]],tblDepartments[DepartmentKey],tblDepartments[DepartmentName],"")</f>
        <v>Executive</v>
      </c>
      <c r="O912" s="8" t="str">
        <f>_xlfn.XLOOKUP(tblFinancials[[#This Row],[BusinessUnitKey]],tblBusinessUnits[BusinessUnitKey],tblBusinessUnits[BusinessUnitName],"")</f>
        <v>Retail</v>
      </c>
      <c r="P912" s="8" t="str">
        <f>_xlfn.XLOOKUP(tblFinancials[[#This Row],[RegionKey]],tblRegions[RegionKey],tblRegions[RegionName],"")</f>
        <v>West</v>
      </c>
    </row>
    <row r="913" spans="1:16">
      <c r="A913">
        <v>20250201</v>
      </c>
      <c r="B913">
        <v>6</v>
      </c>
      <c r="C913">
        <v>2</v>
      </c>
      <c r="D913">
        <v>2</v>
      </c>
      <c r="E913">
        <v>12</v>
      </c>
      <c r="F913" t="s">
        <v>92</v>
      </c>
      <c r="G913">
        <v>26386.89</v>
      </c>
      <c r="H913">
        <f>_xlfn.XLOOKUP(tblFinancials[[#This Row],[DateKey]],tblCalendar[DateKey],tblCalendar[FullDate],"")</f>
        <v>45689</v>
      </c>
      <c r="I913">
        <f>_xlfn.XLOOKUP(tblFinancials[[#This Row],[AccountKey]],tblAccounts[AccountKey],tblAccounts[AccountNumber],"")</f>
        <v>4010</v>
      </c>
      <c r="J913" t="str">
        <f>_xlfn.XLOOKUP(tblFinancials[[#This Row],[AccountKey]],tblAccounts[AccountKey],tblAccounts[AccountName],"")</f>
        <v>Service Revenue</v>
      </c>
      <c r="K913" s="8" t="str">
        <f>_xlfn.XLOOKUP(tblFinancials[[#This Row],[AccountKey]],tblAccounts[AccountKey],tblAccounts[FinancialStatement],"")</f>
        <v>Income Statement</v>
      </c>
      <c r="L913" s="8" t="str">
        <f>_xlfn.XLOOKUP(tblFinancials[[#This Row],[AccountKey]],tblAccounts[AccountKey],tblAccounts[AccountCategory],"")</f>
        <v>Revenue</v>
      </c>
      <c r="M913" s="8" t="str">
        <f>_xlfn.XLOOKUP(tblFinancials[[#This Row],[AccountKey]],tblAccounts[AccountKey],tblAccounts[NormalBalance],"")</f>
        <v>Credit</v>
      </c>
      <c r="N913" s="8" t="str">
        <f>_xlfn.XLOOKUP(tblFinancials[[#This Row],[DepartmentKey]],tblDepartments[DepartmentKey],tblDepartments[DepartmentName],"")</f>
        <v>Operations</v>
      </c>
      <c r="O913" s="8" t="str">
        <f>_xlfn.XLOOKUP(tblFinancials[[#This Row],[BusinessUnitKey]],tblBusinessUnits[BusinessUnitKey],tblBusinessUnits[BusinessUnitName],"")</f>
        <v>Wholesale</v>
      </c>
      <c r="P913" s="8" t="str">
        <f>_xlfn.XLOOKUP(tblFinancials[[#This Row],[RegionKey]],tblRegions[RegionKey],tblRegions[RegionName],"")</f>
        <v>Midwest</v>
      </c>
    </row>
    <row r="914" spans="1:16">
      <c r="A914">
        <v>20250201</v>
      </c>
      <c r="B914">
        <v>5</v>
      </c>
      <c r="C914">
        <v>3</v>
      </c>
      <c r="D914">
        <v>1</v>
      </c>
      <c r="E914">
        <v>14</v>
      </c>
      <c r="F914" t="s">
        <v>92</v>
      </c>
      <c r="G914">
        <v>-16913.22</v>
      </c>
      <c r="H914">
        <f>_xlfn.XLOOKUP(tblFinancials[[#This Row],[DateKey]],tblCalendar[DateKey],tblCalendar[FullDate],"")</f>
        <v>45689</v>
      </c>
      <c r="I914">
        <f>_xlfn.XLOOKUP(tblFinancials[[#This Row],[AccountKey]],tblAccounts[AccountKey],tblAccounts[AccountNumber],"")</f>
        <v>5000</v>
      </c>
      <c r="J914" t="str">
        <f>_xlfn.XLOOKUP(tblFinancials[[#This Row],[AccountKey]],tblAccounts[AccountKey],tblAccounts[AccountName],"")</f>
        <v>Cost of Goods Sold</v>
      </c>
      <c r="K914" s="8" t="str">
        <f>_xlfn.XLOOKUP(tblFinancials[[#This Row],[AccountKey]],tblAccounts[AccountKey],tblAccounts[FinancialStatement],"")</f>
        <v>Income Statement</v>
      </c>
      <c r="L914" s="8" t="str">
        <f>_xlfn.XLOOKUP(tblFinancials[[#This Row],[AccountKey]],tblAccounts[AccountKey],tblAccounts[AccountCategory],"")</f>
        <v>Cost of Sales</v>
      </c>
      <c r="M914" s="8" t="str">
        <f>_xlfn.XLOOKUP(tblFinancials[[#This Row],[AccountKey]],tblAccounts[AccountKey],tblAccounts[NormalBalance],"")</f>
        <v>Debit</v>
      </c>
      <c r="N914" s="8" t="str">
        <f>_xlfn.XLOOKUP(tblFinancials[[#This Row],[DepartmentKey]],tblDepartments[DepartmentKey],tblDepartments[DepartmentName],"")</f>
        <v>Marketing</v>
      </c>
      <c r="O914" s="8" t="str">
        <f>_xlfn.XLOOKUP(tblFinancials[[#This Row],[BusinessUnitKey]],tblBusinessUnits[BusinessUnitKey],tblBusinessUnits[BusinessUnitName],"")</f>
        <v>Retail</v>
      </c>
      <c r="P914" s="8" t="str">
        <f>_xlfn.XLOOKUP(tblFinancials[[#This Row],[RegionKey]],tblRegions[RegionKey],tblRegions[RegionName],"")</f>
        <v>West</v>
      </c>
    </row>
    <row r="915" spans="1:16">
      <c r="A915">
        <v>20250201</v>
      </c>
      <c r="B915">
        <v>7</v>
      </c>
      <c r="C915">
        <v>4</v>
      </c>
      <c r="D915">
        <v>2</v>
      </c>
      <c r="E915">
        <v>14</v>
      </c>
      <c r="F915" t="s">
        <v>92</v>
      </c>
      <c r="G915">
        <v>-17409.740000000002</v>
      </c>
      <c r="H915">
        <f>_xlfn.XLOOKUP(tblFinancials[[#This Row],[DateKey]],tblCalendar[DateKey],tblCalendar[FullDate],"")</f>
        <v>45689</v>
      </c>
      <c r="I915">
        <f>_xlfn.XLOOKUP(tblFinancials[[#This Row],[AccountKey]],tblAccounts[AccountKey],tblAccounts[AccountNumber],"")</f>
        <v>5000</v>
      </c>
      <c r="J915" t="str">
        <f>_xlfn.XLOOKUP(tblFinancials[[#This Row],[AccountKey]],tblAccounts[AccountKey],tblAccounts[AccountName],"")</f>
        <v>Cost of Goods Sold</v>
      </c>
      <c r="K915" s="8" t="str">
        <f>_xlfn.XLOOKUP(tblFinancials[[#This Row],[AccountKey]],tblAccounts[AccountKey],tblAccounts[FinancialStatement],"")</f>
        <v>Income Statement</v>
      </c>
      <c r="L915" s="8" t="str">
        <f>_xlfn.XLOOKUP(tblFinancials[[#This Row],[AccountKey]],tblAccounts[AccountKey],tblAccounts[AccountCategory],"")</f>
        <v>Cost of Sales</v>
      </c>
      <c r="M915" s="8" t="str">
        <f>_xlfn.XLOOKUP(tblFinancials[[#This Row],[AccountKey]],tblAccounts[AccountKey],tblAccounts[NormalBalance],"")</f>
        <v>Debit</v>
      </c>
      <c r="N915" s="8" t="str">
        <f>_xlfn.XLOOKUP(tblFinancials[[#This Row],[DepartmentKey]],tblDepartments[DepartmentKey],tblDepartments[DepartmentName],"")</f>
        <v>Information Technology</v>
      </c>
      <c r="O915" s="8" t="str">
        <f>_xlfn.XLOOKUP(tblFinancials[[#This Row],[BusinessUnitKey]],tblBusinessUnits[BusinessUnitKey],tblBusinessUnits[BusinessUnitName],"")</f>
        <v>E-Commerce</v>
      </c>
      <c r="P915" s="8" t="str">
        <f>_xlfn.XLOOKUP(tblFinancials[[#This Row],[RegionKey]],tblRegions[RegionKey],tblRegions[RegionName],"")</f>
        <v>Midwest</v>
      </c>
    </row>
    <row r="916" spans="1:16">
      <c r="A916">
        <v>20250201</v>
      </c>
      <c r="B916">
        <v>5</v>
      </c>
      <c r="C916">
        <v>3</v>
      </c>
      <c r="D916">
        <v>4</v>
      </c>
      <c r="E916">
        <v>14</v>
      </c>
      <c r="F916" t="s">
        <v>92</v>
      </c>
      <c r="G916">
        <v>-16507.55</v>
      </c>
      <c r="H916">
        <f>_xlfn.XLOOKUP(tblFinancials[[#This Row],[DateKey]],tblCalendar[DateKey],tblCalendar[FullDate],"")</f>
        <v>45689</v>
      </c>
      <c r="I916">
        <f>_xlfn.XLOOKUP(tblFinancials[[#This Row],[AccountKey]],tblAccounts[AccountKey],tblAccounts[AccountNumber],"")</f>
        <v>5000</v>
      </c>
      <c r="J916" t="str">
        <f>_xlfn.XLOOKUP(tblFinancials[[#This Row],[AccountKey]],tblAccounts[AccountKey],tblAccounts[AccountName],"")</f>
        <v>Cost of Goods Sold</v>
      </c>
      <c r="K916" s="8" t="str">
        <f>_xlfn.XLOOKUP(tblFinancials[[#This Row],[AccountKey]],tblAccounts[AccountKey],tblAccounts[FinancialStatement],"")</f>
        <v>Income Statement</v>
      </c>
      <c r="L916" s="8" t="str">
        <f>_xlfn.XLOOKUP(tblFinancials[[#This Row],[AccountKey]],tblAccounts[AccountKey],tblAccounts[AccountCategory],"")</f>
        <v>Cost of Sales</v>
      </c>
      <c r="M916" s="8" t="str">
        <f>_xlfn.XLOOKUP(tblFinancials[[#This Row],[AccountKey]],tblAccounts[AccountKey],tblAccounts[NormalBalance],"")</f>
        <v>Debit</v>
      </c>
      <c r="N916" s="8" t="str">
        <f>_xlfn.XLOOKUP(tblFinancials[[#This Row],[DepartmentKey]],tblDepartments[DepartmentKey],tblDepartments[DepartmentName],"")</f>
        <v>Marketing</v>
      </c>
      <c r="O916" s="8" t="str">
        <f>_xlfn.XLOOKUP(tblFinancials[[#This Row],[BusinessUnitKey]],tblBusinessUnits[BusinessUnitKey],tblBusinessUnits[BusinessUnitName],"")</f>
        <v>Retail</v>
      </c>
      <c r="P916" s="8" t="str">
        <f>_xlfn.XLOOKUP(tblFinancials[[#This Row],[RegionKey]],tblRegions[RegionKey],tblRegions[RegionName],"")</f>
        <v>East</v>
      </c>
    </row>
    <row r="917" spans="1:16">
      <c r="A917">
        <v>20250201</v>
      </c>
      <c r="B917">
        <v>8</v>
      </c>
      <c r="C917">
        <v>3</v>
      </c>
      <c r="D917">
        <v>2</v>
      </c>
      <c r="E917">
        <v>14</v>
      </c>
      <c r="F917" t="s">
        <v>92</v>
      </c>
      <c r="G917">
        <v>-16572.009999999998</v>
      </c>
      <c r="H917">
        <f>_xlfn.XLOOKUP(tblFinancials[[#This Row],[DateKey]],tblCalendar[DateKey],tblCalendar[FullDate],"")</f>
        <v>45689</v>
      </c>
      <c r="I917">
        <f>_xlfn.XLOOKUP(tblFinancials[[#This Row],[AccountKey]],tblAccounts[AccountKey],tblAccounts[AccountNumber],"")</f>
        <v>5000</v>
      </c>
      <c r="J917" t="str">
        <f>_xlfn.XLOOKUP(tblFinancials[[#This Row],[AccountKey]],tblAccounts[AccountKey],tblAccounts[AccountName],"")</f>
        <v>Cost of Goods Sold</v>
      </c>
      <c r="K917" s="8" t="str">
        <f>_xlfn.XLOOKUP(tblFinancials[[#This Row],[AccountKey]],tblAccounts[AccountKey],tblAccounts[FinancialStatement],"")</f>
        <v>Income Statement</v>
      </c>
      <c r="L917" s="8" t="str">
        <f>_xlfn.XLOOKUP(tblFinancials[[#This Row],[AccountKey]],tblAccounts[AccountKey],tblAccounts[AccountCategory],"")</f>
        <v>Cost of Sales</v>
      </c>
      <c r="M917" s="8" t="str">
        <f>_xlfn.XLOOKUP(tblFinancials[[#This Row],[AccountKey]],tblAccounts[AccountKey],tblAccounts[NormalBalance],"")</f>
        <v>Debit</v>
      </c>
      <c r="N917" s="8" t="str">
        <f>_xlfn.XLOOKUP(tblFinancials[[#This Row],[DepartmentKey]],tblDepartments[DepartmentKey],tblDepartments[DepartmentName],"")</f>
        <v>Customer Service</v>
      </c>
      <c r="O917" s="8" t="str">
        <f>_xlfn.XLOOKUP(tblFinancials[[#This Row],[BusinessUnitKey]],tblBusinessUnits[BusinessUnitKey],tblBusinessUnits[BusinessUnitName],"")</f>
        <v>Retail</v>
      </c>
      <c r="P917" s="8" t="str">
        <f>_xlfn.XLOOKUP(tblFinancials[[#This Row],[RegionKey]],tblRegions[RegionKey],tblRegions[RegionName],"")</f>
        <v>Midwest</v>
      </c>
    </row>
    <row r="918" spans="1:16">
      <c r="A918">
        <v>20250201</v>
      </c>
      <c r="B918">
        <v>2</v>
      </c>
      <c r="C918">
        <v>2</v>
      </c>
      <c r="D918">
        <v>3</v>
      </c>
      <c r="E918">
        <v>14</v>
      </c>
      <c r="F918" t="s">
        <v>92</v>
      </c>
      <c r="G918">
        <v>-15381.1</v>
      </c>
      <c r="H918">
        <f>_xlfn.XLOOKUP(tblFinancials[[#This Row],[DateKey]],tblCalendar[DateKey],tblCalendar[FullDate],"")</f>
        <v>45689</v>
      </c>
      <c r="I918">
        <f>_xlfn.XLOOKUP(tblFinancials[[#This Row],[AccountKey]],tblAccounts[AccountKey],tblAccounts[AccountNumber],"")</f>
        <v>5000</v>
      </c>
      <c r="J918" t="str">
        <f>_xlfn.XLOOKUP(tblFinancials[[#This Row],[AccountKey]],tblAccounts[AccountKey],tblAccounts[AccountName],"")</f>
        <v>Cost of Goods Sold</v>
      </c>
      <c r="K918" s="8" t="str">
        <f>_xlfn.XLOOKUP(tblFinancials[[#This Row],[AccountKey]],tblAccounts[AccountKey],tblAccounts[FinancialStatement],"")</f>
        <v>Income Statement</v>
      </c>
      <c r="L918" s="8" t="str">
        <f>_xlfn.XLOOKUP(tblFinancials[[#This Row],[AccountKey]],tblAccounts[AccountKey],tblAccounts[AccountCategory],"")</f>
        <v>Cost of Sales</v>
      </c>
      <c r="M918" s="8" t="str">
        <f>_xlfn.XLOOKUP(tblFinancials[[#This Row],[AccountKey]],tblAccounts[AccountKey],tblAccounts[NormalBalance],"")</f>
        <v>Debit</v>
      </c>
      <c r="N918" s="8" t="str">
        <f>_xlfn.XLOOKUP(tblFinancials[[#This Row],[DepartmentKey]],tblDepartments[DepartmentKey],tblDepartments[DepartmentName],"")</f>
        <v>Finance</v>
      </c>
      <c r="O918" s="8" t="str">
        <f>_xlfn.XLOOKUP(tblFinancials[[#This Row],[BusinessUnitKey]],tblBusinessUnits[BusinessUnitKey],tblBusinessUnits[BusinessUnitName],"")</f>
        <v>Wholesale</v>
      </c>
      <c r="P918" s="8" t="str">
        <f>_xlfn.XLOOKUP(tblFinancials[[#This Row],[RegionKey]],tblRegions[RegionKey],tblRegions[RegionName],"")</f>
        <v>South</v>
      </c>
    </row>
    <row r="919" spans="1:16">
      <c r="A919">
        <v>20250201</v>
      </c>
      <c r="B919">
        <v>6</v>
      </c>
      <c r="C919">
        <v>4</v>
      </c>
      <c r="D919">
        <v>2</v>
      </c>
      <c r="E919">
        <v>14</v>
      </c>
      <c r="F919" t="s">
        <v>92</v>
      </c>
      <c r="G919">
        <v>-17001.05</v>
      </c>
      <c r="H919">
        <f>_xlfn.XLOOKUP(tblFinancials[[#This Row],[DateKey]],tblCalendar[DateKey],tblCalendar[FullDate],"")</f>
        <v>45689</v>
      </c>
      <c r="I919">
        <f>_xlfn.XLOOKUP(tblFinancials[[#This Row],[AccountKey]],tblAccounts[AccountKey],tblAccounts[AccountNumber],"")</f>
        <v>5000</v>
      </c>
      <c r="J919" t="str">
        <f>_xlfn.XLOOKUP(tblFinancials[[#This Row],[AccountKey]],tblAccounts[AccountKey],tblAccounts[AccountName],"")</f>
        <v>Cost of Goods Sold</v>
      </c>
      <c r="K919" s="8" t="str">
        <f>_xlfn.XLOOKUP(tblFinancials[[#This Row],[AccountKey]],tblAccounts[AccountKey],tblAccounts[FinancialStatement],"")</f>
        <v>Income Statement</v>
      </c>
      <c r="L919" s="8" t="str">
        <f>_xlfn.XLOOKUP(tblFinancials[[#This Row],[AccountKey]],tblAccounts[AccountKey],tblAccounts[AccountCategory],"")</f>
        <v>Cost of Sales</v>
      </c>
      <c r="M919" s="8" t="str">
        <f>_xlfn.XLOOKUP(tblFinancials[[#This Row],[AccountKey]],tblAccounts[AccountKey],tblAccounts[NormalBalance],"")</f>
        <v>Debit</v>
      </c>
      <c r="N919" s="8" t="str">
        <f>_xlfn.XLOOKUP(tblFinancials[[#This Row],[DepartmentKey]],tblDepartments[DepartmentKey],tblDepartments[DepartmentName],"")</f>
        <v>Operations</v>
      </c>
      <c r="O919" s="8" t="str">
        <f>_xlfn.XLOOKUP(tblFinancials[[#This Row],[BusinessUnitKey]],tblBusinessUnits[BusinessUnitKey],tblBusinessUnits[BusinessUnitName],"")</f>
        <v>E-Commerce</v>
      </c>
      <c r="P919" s="8" t="str">
        <f>_xlfn.XLOOKUP(tblFinancials[[#This Row],[RegionKey]],tblRegions[RegionKey],tblRegions[RegionName],"")</f>
        <v>Midwest</v>
      </c>
    </row>
    <row r="920" spans="1:16">
      <c r="A920">
        <v>20250201</v>
      </c>
      <c r="B920">
        <v>7</v>
      </c>
      <c r="C920">
        <v>4</v>
      </c>
      <c r="D920">
        <v>3</v>
      </c>
      <c r="E920">
        <v>14</v>
      </c>
      <c r="F920" t="s">
        <v>92</v>
      </c>
      <c r="G920">
        <v>-16358.4</v>
      </c>
      <c r="H920">
        <f>_xlfn.XLOOKUP(tblFinancials[[#This Row],[DateKey]],tblCalendar[DateKey],tblCalendar[FullDate],"")</f>
        <v>45689</v>
      </c>
      <c r="I920">
        <f>_xlfn.XLOOKUP(tblFinancials[[#This Row],[AccountKey]],tblAccounts[AccountKey],tblAccounts[AccountNumber],"")</f>
        <v>5000</v>
      </c>
      <c r="J920" t="str">
        <f>_xlfn.XLOOKUP(tblFinancials[[#This Row],[AccountKey]],tblAccounts[AccountKey],tblAccounts[AccountName],"")</f>
        <v>Cost of Goods Sold</v>
      </c>
      <c r="K920" s="8" t="str">
        <f>_xlfn.XLOOKUP(tblFinancials[[#This Row],[AccountKey]],tblAccounts[AccountKey],tblAccounts[FinancialStatement],"")</f>
        <v>Income Statement</v>
      </c>
      <c r="L920" s="8" t="str">
        <f>_xlfn.XLOOKUP(tblFinancials[[#This Row],[AccountKey]],tblAccounts[AccountKey],tblAccounts[AccountCategory],"")</f>
        <v>Cost of Sales</v>
      </c>
      <c r="M920" s="8" t="str">
        <f>_xlfn.XLOOKUP(tblFinancials[[#This Row],[AccountKey]],tblAccounts[AccountKey],tblAccounts[NormalBalance],"")</f>
        <v>Debit</v>
      </c>
      <c r="N920" s="8" t="str">
        <f>_xlfn.XLOOKUP(tblFinancials[[#This Row],[DepartmentKey]],tblDepartments[DepartmentKey],tblDepartments[DepartmentName],"")</f>
        <v>Information Technology</v>
      </c>
      <c r="O920" s="8" t="str">
        <f>_xlfn.XLOOKUP(tblFinancials[[#This Row],[BusinessUnitKey]],tblBusinessUnits[BusinessUnitKey],tblBusinessUnits[BusinessUnitName],"")</f>
        <v>E-Commerce</v>
      </c>
      <c r="P920" s="8" t="str">
        <f>_xlfn.XLOOKUP(tblFinancials[[#This Row],[RegionKey]],tblRegions[RegionKey],tblRegions[RegionName],"")</f>
        <v>South</v>
      </c>
    </row>
    <row r="921" spans="1:16">
      <c r="A921">
        <v>20250201</v>
      </c>
      <c r="B921">
        <v>6</v>
      </c>
      <c r="C921">
        <v>1</v>
      </c>
      <c r="D921">
        <v>2</v>
      </c>
      <c r="E921">
        <v>14</v>
      </c>
      <c r="F921" t="s">
        <v>92</v>
      </c>
      <c r="G921">
        <v>-17519.849999999999</v>
      </c>
      <c r="H921">
        <f>_xlfn.XLOOKUP(tblFinancials[[#This Row],[DateKey]],tblCalendar[DateKey],tblCalendar[FullDate],"")</f>
        <v>45689</v>
      </c>
      <c r="I921">
        <f>_xlfn.XLOOKUP(tblFinancials[[#This Row],[AccountKey]],tblAccounts[AccountKey],tblAccounts[AccountNumber],"")</f>
        <v>5000</v>
      </c>
      <c r="J921" t="str">
        <f>_xlfn.XLOOKUP(tblFinancials[[#This Row],[AccountKey]],tblAccounts[AccountKey],tblAccounts[AccountName],"")</f>
        <v>Cost of Goods Sold</v>
      </c>
      <c r="K921" s="8" t="str">
        <f>_xlfn.XLOOKUP(tblFinancials[[#This Row],[AccountKey]],tblAccounts[AccountKey],tblAccounts[FinancialStatement],"")</f>
        <v>Income Statement</v>
      </c>
      <c r="L921" s="8" t="str">
        <f>_xlfn.XLOOKUP(tblFinancials[[#This Row],[AccountKey]],tblAccounts[AccountKey],tblAccounts[AccountCategory],"")</f>
        <v>Cost of Sales</v>
      </c>
      <c r="M921" s="8" t="str">
        <f>_xlfn.XLOOKUP(tblFinancials[[#This Row],[AccountKey]],tblAccounts[AccountKey],tblAccounts[NormalBalance],"")</f>
        <v>Debit</v>
      </c>
      <c r="N921" s="8" t="str">
        <f>_xlfn.XLOOKUP(tblFinancials[[#This Row],[DepartmentKey]],tblDepartments[DepartmentKey],tblDepartments[DepartmentName],"")</f>
        <v>Operations</v>
      </c>
      <c r="O921" s="8" t="str">
        <f>_xlfn.XLOOKUP(tblFinancials[[#This Row],[BusinessUnitKey]],tblBusinessUnits[BusinessUnitKey],tblBusinessUnits[BusinessUnitName],"")</f>
        <v xml:space="preserve">Manufacturing </v>
      </c>
      <c r="P921" s="8" t="str">
        <f>_xlfn.XLOOKUP(tblFinancials[[#This Row],[RegionKey]],tblRegions[RegionKey],tblRegions[RegionName],"")</f>
        <v>Midwest</v>
      </c>
    </row>
    <row r="922" spans="1:16">
      <c r="A922">
        <v>20250201</v>
      </c>
      <c r="B922">
        <v>7</v>
      </c>
      <c r="C922">
        <v>3</v>
      </c>
      <c r="D922">
        <v>4</v>
      </c>
      <c r="E922">
        <v>14</v>
      </c>
      <c r="F922" t="s">
        <v>92</v>
      </c>
      <c r="G922">
        <v>-17444.810000000001</v>
      </c>
      <c r="H922">
        <f>_xlfn.XLOOKUP(tblFinancials[[#This Row],[DateKey]],tblCalendar[DateKey],tblCalendar[FullDate],"")</f>
        <v>45689</v>
      </c>
      <c r="I922">
        <f>_xlfn.XLOOKUP(tblFinancials[[#This Row],[AccountKey]],tblAccounts[AccountKey],tblAccounts[AccountNumber],"")</f>
        <v>5000</v>
      </c>
      <c r="J922" t="str">
        <f>_xlfn.XLOOKUP(tblFinancials[[#This Row],[AccountKey]],tblAccounts[AccountKey],tblAccounts[AccountName],"")</f>
        <v>Cost of Goods Sold</v>
      </c>
      <c r="K922" s="8" t="str">
        <f>_xlfn.XLOOKUP(tblFinancials[[#This Row],[AccountKey]],tblAccounts[AccountKey],tblAccounts[FinancialStatement],"")</f>
        <v>Income Statement</v>
      </c>
      <c r="L922" s="8" t="str">
        <f>_xlfn.XLOOKUP(tblFinancials[[#This Row],[AccountKey]],tblAccounts[AccountKey],tblAccounts[AccountCategory],"")</f>
        <v>Cost of Sales</v>
      </c>
      <c r="M922" s="8" t="str">
        <f>_xlfn.XLOOKUP(tblFinancials[[#This Row],[AccountKey]],tblAccounts[AccountKey],tblAccounts[NormalBalance],"")</f>
        <v>Debit</v>
      </c>
      <c r="N922" s="8" t="str">
        <f>_xlfn.XLOOKUP(tblFinancials[[#This Row],[DepartmentKey]],tblDepartments[DepartmentKey],tblDepartments[DepartmentName],"")</f>
        <v>Information Technology</v>
      </c>
      <c r="O922" s="8" t="str">
        <f>_xlfn.XLOOKUP(tblFinancials[[#This Row],[BusinessUnitKey]],tblBusinessUnits[BusinessUnitKey],tblBusinessUnits[BusinessUnitName],"")</f>
        <v>Retail</v>
      </c>
      <c r="P922" s="8" t="str">
        <f>_xlfn.XLOOKUP(tblFinancials[[#This Row],[RegionKey]],tblRegions[RegionKey],tblRegions[RegionName],"")</f>
        <v>East</v>
      </c>
    </row>
    <row r="923" spans="1:16">
      <c r="A923">
        <v>20250201</v>
      </c>
      <c r="B923">
        <v>5</v>
      </c>
      <c r="C923">
        <v>2</v>
      </c>
      <c r="D923">
        <v>1</v>
      </c>
      <c r="E923">
        <v>14</v>
      </c>
      <c r="F923" t="s">
        <v>92</v>
      </c>
      <c r="G923">
        <v>-16013.09</v>
      </c>
      <c r="H923">
        <f>_xlfn.XLOOKUP(tblFinancials[[#This Row],[DateKey]],tblCalendar[DateKey],tblCalendar[FullDate],"")</f>
        <v>45689</v>
      </c>
      <c r="I923">
        <f>_xlfn.XLOOKUP(tblFinancials[[#This Row],[AccountKey]],tblAccounts[AccountKey],tblAccounts[AccountNumber],"")</f>
        <v>5000</v>
      </c>
      <c r="J923" t="str">
        <f>_xlfn.XLOOKUP(tblFinancials[[#This Row],[AccountKey]],tblAccounts[AccountKey],tblAccounts[AccountName],"")</f>
        <v>Cost of Goods Sold</v>
      </c>
      <c r="K923" s="8" t="str">
        <f>_xlfn.XLOOKUP(tblFinancials[[#This Row],[AccountKey]],tblAccounts[AccountKey],tblAccounts[FinancialStatement],"")</f>
        <v>Income Statement</v>
      </c>
      <c r="L923" s="8" t="str">
        <f>_xlfn.XLOOKUP(tblFinancials[[#This Row],[AccountKey]],tblAccounts[AccountKey],tblAccounts[AccountCategory],"")</f>
        <v>Cost of Sales</v>
      </c>
      <c r="M923" s="8" t="str">
        <f>_xlfn.XLOOKUP(tblFinancials[[#This Row],[AccountKey]],tblAccounts[AccountKey],tblAccounts[NormalBalance],"")</f>
        <v>Debit</v>
      </c>
      <c r="N923" s="8" t="str">
        <f>_xlfn.XLOOKUP(tblFinancials[[#This Row],[DepartmentKey]],tblDepartments[DepartmentKey],tblDepartments[DepartmentName],"")</f>
        <v>Marketing</v>
      </c>
      <c r="O923" s="8" t="str">
        <f>_xlfn.XLOOKUP(tblFinancials[[#This Row],[BusinessUnitKey]],tblBusinessUnits[BusinessUnitKey],tblBusinessUnits[BusinessUnitName],"")</f>
        <v>Wholesale</v>
      </c>
      <c r="P923" s="8" t="str">
        <f>_xlfn.XLOOKUP(tblFinancials[[#This Row],[RegionKey]],tblRegions[RegionKey],tblRegions[RegionName],"")</f>
        <v>West</v>
      </c>
    </row>
    <row r="924" spans="1:16">
      <c r="A924">
        <v>20250201</v>
      </c>
      <c r="B924">
        <v>8</v>
      </c>
      <c r="C924">
        <v>3</v>
      </c>
      <c r="D924">
        <v>4</v>
      </c>
      <c r="E924">
        <v>14</v>
      </c>
      <c r="F924" t="s">
        <v>92</v>
      </c>
      <c r="G924">
        <v>-16133.44</v>
      </c>
      <c r="H924">
        <f>_xlfn.XLOOKUP(tblFinancials[[#This Row],[DateKey]],tblCalendar[DateKey],tblCalendar[FullDate],"")</f>
        <v>45689</v>
      </c>
      <c r="I924">
        <f>_xlfn.XLOOKUP(tblFinancials[[#This Row],[AccountKey]],tblAccounts[AccountKey],tblAccounts[AccountNumber],"")</f>
        <v>5000</v>
      </c>
      <c r="J924" t="str">
        <f>_xlfn.XLOOKUP(tblFinancials[[#This Row],[AccountKey]],tblAccounts[AccountKey],tblAccounts[AccountName],"")</f>
        <v>Cost of Goods Sold</v>
      </c>
      <c r="K924" s="8" t="str">
        <f>_xlfn.XLOOKUP(tblFinancials[[#This Row],[AccountKey]],tblAccounts[AccountKey],tblAccounts[FinancialStatement],"")</f>
        <v>Income Statement</v>
      </c>
      <c r="L924" s="8" t="str">
        <f>_xlfn.XLOOKUP(tblFinancials[[#This Row],[AccountKey]],tblAccounts[AccountKey],tblAccounts[AccountCategory],"")</f>
        <v>Cost of Sales</v>
      </c>
      <c r="M924" s="8" t="str">
        <f>_xlfn.XLOOKUP(tblFinancials[[#This Row],[AccountKey]],tblAccounts[AccountKey],tblAccounts[NormalBalance],"")</f>
        <v>Debit</v>
      </c>
      <c r="N924" s="8" t="str">
        <f>_xlfn.XLOOKUP(tblFinancials[[#This Row],[DepartmentKey]],tblDepartments[DepartmentKey],tblDepartments[DepartmentName],"")</f>
        <v>Customer Service</v>
      </c>
      <c r="O924" s="8" t="str">
        <f>_xlfn.XLOOKUP(tblFinancials[[#This Row],[BusinessUnitKey]],tblBusinessUnits[BusinessUnitKey],tblBusinessUnits[BusinessUnitName],"")</f>
        <v>Retail</v>
      </c>
      <c r="P924" s="8" t="str">
        <f>_xlfn.XLOOKUP(tblFinancials[[#This Row],[RegionKey]],tblRegions[RegionKey],tblRegions[RegionName],"")</f>
        <v>East</v>
      </c>
    </row>
    <row r="925" spans="1:16">
      <c r="A925">
        <v>20250201</v>
      </c>
      <c r="B925">
        <v>8</v>
      </c>
      <c r="C925">
        <v>1</v>
      </c>
      <c r="D925">
        <v>2</v>
      </c>
      <c r="E925">
        <v>14</v>
      </c>
      <c r="F925" t="s">
        <v>92</v>
      </c>
      <c r="G925">
        <v>-15091.83</v>
      </c>
      <c r="H925">
        <f>_xlfn.XLOOKUP(tblFinancials[[#This Row],[DateKey]],tblCalendar[DateKey],tblCalendar[FullDate],"")</f>
        <v>45689</v>
      </c>
      <c r="I925">
        <f>_xlfn.XLOOKUP(tblFinancials[[#This Row],[AccountKey]],tblAccounts[AccountKey],tblAccounts[AccountNumber],"")</f>
        <v>5000</v>
      </c>
      <c r="J925" t="str">
        <f>_xlfn.XLOOKUP(tblFinancials[[#This Row],[AccountKey]],tblAccounts[AccountKey],tblAccounts[AccountName],"")</f>
        <v>Cost of Goods Sold</v>
      </c>
      <c r="K925" s="8" t="str">
        <f>_xlfn.XLOOKUP(tblFinancials[[#This Row],[AccountKey]],tblAccounts[AccountKey],tblAccounts[FinancialStatement],"")</f>
        <v>Income Statement</v>
      </c>
      <c r="L925" s="8" t="str">
        <f>_xlfn.XLOOKUP(tblFinancials[[#This Row],[AccountKey]],tblAccounts[AccountKey],tblAccounts[AccountCategory],"")</f>
        <v>Cost of Sales</v>
      </c>
      <c r="M925" s="8" t="str">
        <f>_xlfn.XLOOKUP(tblFinancials[[#This Row],[AccountKey]],tblAccounts[AccountKey],tblAccounts[NormalBalance],"")</f>
        <v>Debit</v>
      </c>
      <c r="N925" s="8" t="str">
        <f>_xlfn.XLOOKUP(tblFinancials[[#This Row],[DepartmentKey]],tblDepartments[DepartmentKey],tblDepartments[DepartmentName],"")</f>
        <v>Customer Service</v>
      </c>
      <c r="O925" s="8" t="str">
        <f>_xlfn.XLOOKUP(tblFinancials[[#This Row],[BusinessUnitKey]],tblBusinessUnits[BusinessUnitKey],tblBusinessUnits[BusinessUnitName],"")</f>
        <v xml:space="preserve">Manufacturing </v>
      </c>
      <c r="P925" s="8" t="str">
        <f>_xlfn.XLOOKUP(tblFinancials[[#This Row],[RegionKey]],tblRegions[RegionKey],tblRegions[RegionName],"")</f>
        <v>Midwest</v>
      </c>
    </row>
    <row r="926" spans="1:16">
      <c r="A926">
        <v>20250201</v>
      </c>
      <c r="B926">
        <v>7</v>
      </c>
      <c r="C926">
        <v>1</v>
      </c>
      <c r="D926">
        <v>2</v>
      </c>
      <c r="E926">
        <v>22</v>
      </c>
      <c r="F926" t="s">
        <v>92</v>
      </c>
      <c r="G926">
        <v>-5657.38</v>
      </c>
      <c r="H926">
        <f>_xlfn.XLOOKUP(tblFinancials[[#This Row],[DateKey]],tblCalendar[DateKey],tblCalendar[FullDate],"")</f>
        <v>45689</v>
      </c>
      <c r="I926">
        <f>_xlfn.XLOOKUP(tblFinancials[[#This Row],[AccountKey]],tblAccounts[AccountKey],tblAccounts[AccountNumber],"")</f>
        <v>6700</v>
      </c>
      <c r="J926" t="str">
        <f>_xlfn.XLOOKUP(tblFinancials[[#This Row],[AccountKey]],tblAccounts[AccountKey],tblAccounts[AccountName],"")</f>
        <v>Insurance Expense</v>
      </c>
      <c r="K926" s="8" t="str">
        <f>_xlfn.XLOOKUP(tblFinancials[[#This Row],[AccountKey]],tblAccounts[AccountKey],tblAccounts[FinancialStatement],"")</f>
        <v>Income Statement</v>
      </c>
      <c r="L926" s="8" t="str">
        <f>_xlfn.XLOOKUP(tblFinancials[[#This Row],[AccountKey]],tblAccounts[AccountKey],tblAccounts[AccountCategory],"")</f>
        <v>Operating Expense</v>
      </c>
      <c r="M926" s="8" t="str">
        <f>_xlfn.XLOOKUP(tblFinancials[[#This Row],[AccountKey]],tblAccounts[AccountKey],tblAccounts[NormalBalance],"")</f>
        <v>Debit</v>
      </c>
      <c r="N926" s="8" t="str">
        <f>_xlfn.XLOOKUP(tblFinancials[[#This Row],[DepartmentKey]],tblDepartments[DepartmentKey],tblDepartments[DepartmentName],"")</f>
        <v>Information Technology</v>
      </c>
      <c r="O926" s="8" t="str">
        <f>_xlfn.XLOOKUP(tblFinancials[[#This Row],[BusinessUnitKey]],tblBusinessUnits[BusinessUnitKey],tblBusinessUnits[BusinessUnitName],"")</f>
        <v xml:space="preserve">Manufacturing </v>
      </c>
      <c r="P926" s="8" t="str">
        <f>_xlfn.XLOOKUP(tblFinancials[[#This Row],[RegionKey]],tblRegions[RegionKey],tblRegions[RegionName],"")</f>
        <v>Midwest</v>
      </c>
    </row>
    <row r="927" spans="1:16">
      <c r="A927">
        <v>20250201</v>
      </c>
      <c r="B927">
        <v>7</v>
      </c>
      <c r="C927">
        <v>2</v>
      </c>
      <c r="D927">
        <v>3</v>
      </c>
      <c r="E927">
        <v>15</v>
      </c>
      <c r="F927" t="s">
        <v>92</v>
      </c>
      <c r="G927">
        <v>-5525.39</v>
      </c>
      <c r="H927">
        <f>_xlfn.XLOOKUP(tblFinancials[[#This Row],[DateKey]],tblCalendar[DateKey],tblCalendar[FullDate],"")</f>
        <v>45689</v>
      </c>
      <c r="I927">
        <f>_xlfn.XLOOKUP(tblFinancials[[#This Row],[AccountKey]],tblAccounts[AccountKey],tblAccounts[AccountNumber],"")</f>
        <v>6100</v>
      </c>
      <c r="J927" t="str">
        <f>_xlfn.XLOOKUP(tblFinancials[[#This Row],[AccountKey]],tblAccounts[AccountKey],tblAccounts[AccountName],"")</f>
        <v>Salaries Expense</v>
      </c>
      <c r="K927" s="8" t="str">
        <f>_xlfn.XLOOKUP(tblFinancials[[#This Row],[AccountKey]],tblAccounts[AccountKey],tblAccounts[FinancialStatement],"")</f>
        <v>Income Statement</v>
      </c>
      <c r="L927" s="8" t="str">
        <f>_xlfn.XLOOKUP(tblFinancials[[#This Row],[AccountKey]],tblAccounts[AccountKey],tblAccounts[AccountCategory],"")</f>
        <v>Operating Expense</v>
      </c>
      <c r="M927" s="8" t="str">
        <f>_xlfn.XLOOKUP(tblFinancials[[#This Row],[AccountKey]],tblAccounts[AccountKey],tblAccounts[NormalBalance],"")</f>
        <v>Debit</v>
      </c>
      <c r="N927" s="8" t="str">
        <f>_xlfn.XLOOKUP(tblFinancials[[#This Row],[DepartmentKey]],tblDepartments[DepartmentKey],tblDepartments[DepartmentName],"")</f>
        <v>Information Technology</v>
      </c>
      <c r="O927" s="8" t="str">
        <f>_xlfn.XLOOKUP(tblFinancials[[#This Row],[BusinessUnitKey]],tblBusinessUnits[BusinessUnitKey],tblBusinessUnits[BusinessUnitName],"")</f>
        <v>Wholesale</v>
      </c>
      <c r="P927" s="8" t="str">
        <f>_xlfn.XLOOKUP(tblFinancials[[#This Row],[RegionKey]],tblRegions[RegionKey],tblRegions[RegionName],"")</f>
        <v>South</v>
      </c>
    </row>
    <row r="928" spans="1:16">
      <c r="A928">
        <v>20250201</v>
      </c>
      <c r="B928">
        <v>4</v>
      </c>
      <c r="C928">
        <v>2</v>
      </c>
      <c r="D928">
        <v>3</v>
      </c>
      <c r="E928">
        <v>23</v>
      </c>
      <c r="F928" t="s">
        <v>92</v>
      </c>
      <c r="G928">
        <v>-7802.1</v>
      </c>
      <c r="H928">
        <f>_xlfn.XLOOKUP(tblFinancials[[#This Row],[DateKey]],tblCalendar[DateKey],tblCalendar[FullDate],"")</f>
        <v>45689</v>
      </c>
      <c r="I928">
        <f>_xlfn.XLOOKUP(tblFinancials[[#This Row],[AccountKey]],tblAccounts[AccountKey],tblAccounts[AccountNumber],"")</f>
        <v>6800</v>
      </c>
      <c r="J928" t="str">
        <f>_xlfn.XLOOKUP(tblFinancials[[#This Row],[AccountKey]],tblAccounts[AccountKey],tblAccounts[AccountName],"")</f>
        <v>Travel Expense</v>
      </c>
      <c r="K928" s="8" t="str">
        <f>_xlfn.XLOOKUP(tblFinancials[[#This Row],[AccountKey]],tblAccounts[AccountKey],tblAccounts[FinancialStatement],"")</f>
        <v>Income Statement</v>
      </c>
      <c r="L928" s="8" t="str">
        <f>_xlfn.XLOOKUP(tblFinancials[[#This Row],[AccountKey]],tblAccounts[AccountKey],tblAccounts[AccountCategory],"")</f>
        <v>Operating Expense</v>
      </c>
      <c r="M928" s="8" t="str">
        <f>_xlfn.XLOOKUP(tblFinancials[[#This Row],[AccountKey]],tblAccounts[AccountKey],tblAccounts[NormalBalance],"")</f>
        <v>Debit</v>
      </c>
      <c r="N928" s="8" t="str">
        <f>_xlfn.XLOOKUP(tblFinancials[[#This Row],[DepartmentKey]],tblDepartments[DepartmentKey],tblDepartments[DepartmentName],"")</f>
        <v>Sales</v>
      </c>
      <c r="O928" s="8" t="str">
        <f>_xlfn.XLOOKUP(tblFinancials[[#This Row],[BusinessUnitKey]],tblBusinessUnits[BusinessUnitKey],tblBusinessUnits[BusinessUnitName],"")</f>
        <v>Wholesale</v>
      </c>
      <c r="P928" s="8" t="str">
        <f>_xlfn.XLOOKUP(tblFinancials[[#This Row],[RegionKey]],tblRegions[RegionKey],tblRegions[RegionName],"")</f>
        <v>South</v>
      </c>
    </row>
    <row r="929" spans="1:16">
      <c r="A929">
        <v>20250201</v>
      </c>
      <c r="B929">
        <v>5</v>
      </c>
      <c r="C929">
        <v>1</v>
      </c>
      <c r="D929">
        <v>1</v>
      </c>
      <c r="E929">
        <v>17</v>
      </c>
      <c r="F929" t="s">
        <v>92</v>
      </c>
      <c r="G929">
        <v>-6505.08</v>
      </c>
      <c r="H929">
        <f>_xlfn.XLOOKUP(tblFinancials[[#This Row],[DateKey]],tblCalendar[DateKey],tblCalendar[FullDate],"")</f>
        <v>45689</v>
      </c>
      <c r="I929">
        <f>_xlfn.XLOOKUP(tblFinancials[[#This Row],[AccountKey]],tblAccounts[AccountKey],tblAccounts[AccountNumber],"")</f>
        <v>6120</v>
      </c>
      <c r="J929" t="str">
        <f>_xlfn.XLOOKUP(tblFinancials[[#This Row],[AccountKey]],tblAccounts[AccountKey],tblAccounts[AccountName],"")</f>
        <v>Employee Benefits</v>
      </c>
      <c r="K929" s="8" t="str">
        <f>_xlfn.XLOOKUP(tblFinancials[[#This Row],[AccountKey]],tblAccounts[AccountKey],tblAccounts[FinancialStatement],"")</f>
        <v>Income Statement</v>
      </c>
      <c r="L929" s="8" t="str">
        <f>_xlfn.XLOOKUP(tblFinancials[[#This Row],[AccountKey]],tblAccounts[AccountKey],tblAccounts[AccountCategory],"")</f>
        <v>Operating Expense</v>
      </c>
      <c r="M929" s="8" t="str">
        <f>_xlfn.XLOOKUP(tblFinancials[[#This Row],[AccountKey]],tblAccounts[AccountKey],tblAccounts[NormalBalance],"")</f>
        <v>Debit</v>
      </c>
      <c r="N929" s="8" t="str">
        <f>_xlfn.XLOOKUP(tblFinancials[[#This Row],[DepartmentKey]],tblDepartments[DepartmentKey],tblDepartments[DepartmentName],"")</f>
        <v>Marketing</v>
      </c>
      <c r="O929" s="8" t="str">
        <f>_xlfn.XLOOKUP(tblFinancials[[#This Row],[BusinessUnitKey]],tblBusinessUnits[BusinessUnitKey],tblBusinessUnits[BusinessUnitName],"")</f>
        <v xml:space="preserve">Manufacturing </v>
      </c>
      <c r="P929" s="8" t="str">
        <f>_xlfn.XLOOKUP(tblFinancials[[#This Row],[RegionKey]],tblRegions[RegionKey],tblRegions[RegionName],"")</f>
        <v>West</v>
      </c>
    </row>
    <row r="930" spans="1:16">
      <c r="A930">
        <v>20250201</v>
      </c>
      <c r="B930">
        <v>3</v>
      </c>
      <c r="C930">
        <v>2</v>
      </c>
      <c r="D930">
        <v>1</v>
      </c>
      <c r="E930">
        <v>16</v>
      </c>
      <c r="F930" t="s">
        <v>92</v>
      </c>
      <c r="G930">
        <v>-5998.86</v>
      </c>
      <c r="H930">
        <f>_xlfn.XLOOKUP(tblFinancials[[#This Row],[DateKey]],tblCalendar[DateKey],tblCalendar[FullDate],"")</f>
        <v>45689</v>
      </c>
      <c r="I930">
        <f>_xlfn.XLOOKUP(tblFinancials[[#This Row],[AccountKey]],tblAccounts[AccountKey],tblAccounts[AccountNumber],"")</f>
        <v>6110</v>
      </c>
      <c r="J930" t="str">
        <f>_xlfn.XLOOKUP(tblFinancials[[#This Row],[AccountKey]],tblAccounts[AccountKey],tblAccounts[AccountName],"")</f>
        <v>Payroll Taxes</v>
      </c>
      <c r="K930" s="8" t="str">
        <f>_xlfn.XLOOKUP(tblFinancials[[#This Row],[AccountKey]],tblAccounts[AccountKey],tblAccounts[FinancialStatement],"")</f>
        <v>Income Statement</v>
      </c>
      <c r="L930" s="8" t="str">
        <f>_xlfn.XLOOKUP(tblFinancials[[#This Row],[AccountKey]],tblAccounts[AccountKey],tblAccounts[AccountCategory],"")</f>
        <v>Operating Expense</v>
      </c>
      <c r="M930" s="8" t="str">
        <f>_xlfn.XLOOKUP(tblFinancials[[#This Row],[AccountKey]],tblAccounts[AccountKey],tblAccounts[NormalBalance],"")</f>
        <v>Debit</v>
      </c>
      <c r="N930" s="8" t="str">
        <f>_xlfn.XLOOKUP(tblFinancials[[#This Row],[DepartmentKey]],tblDepartments[DepartmentKey],tblDepartments[DepartmentName],"")</f>
        <v>Human Resources</v>
      </c>
      <c r="O930" s="8" t="str">
        <f>_xlfn.XLOOKUP(tblFinancials[[#This Row],[BusinessUnitKey]],tblBusinessUnits[BusinessUnitKey],tblBusinessUnits[BusinessUnitName],"")</f>
        <v>Wholesale</v>
      </c>
      <c r="P930" s="8" t="str">
        <f>_xlfn.XLOOKUP(tblFinancials[[#This Row],[RegionKey]],tblRegions[RegionKey],tblRegions[RegionName],"")</f>
        <v>West</v>
      </c>
    </row>
    <row r="931" spans="1:16">
      <c r="A931">
        <v>20250201</v>
      </c>
      <c r="B931">
        <v>3</v>
      </c>
      <c r="C931">
        <v>4</v>
      </c>
      <c r="D931">
        <v>2</v>
      </c>
      <c r="E931">
        <v>23</v>
      </c>
      <c r="F931" t="s">
        <v>92</v>
      </c>
      <c r="G931">
        <v>-5696.88</v>
      </c>
      <c r="H931">
        <f>_xlfn.XLOOKUP(tblFinancials[[#This Row],[DateKey]],tblCalendar[DateKey],tblCalendar[FullDate],"")</f>
        <v>45689</v>
      </c>
      <c r="I931">
        <f>_xlfn.XLOOKUP(tblFinancials[[#This Row],[AccountKey]],tblAccounts[AccountKey],tblAccounts[AccountNumber],"")</f>
        <v>6800</v>
      </c>
      <c r="J931" t="str">
        <f>_xlfn.XLOOKUP(tblFinancials[[#This Row],[AccountKey]],tblAccounts[AccountKey],tblAccounts[AccountName],"")</f>
        <v>Travel Expense</v>
      </c>
      <c r="K931" s="8" t="str">
        <f>_xlfn.XLOOKUP(tblFinancials[[#This Row],[AccountKey]],tblAccounts[AccountKey],tblAccounts[FinancialStatement],"")</f>
        <v>Income Statement</v>
      </c>
      <c r="L931" s="8" t="str">
        <f>_xlfn.XLOOKUP(tblFinancials[[#This Row],[AccountKey]],tblAccounts[AccountKey],tblAccounts[AccountCategory],"")</f>
        <v>Operating Expense</v>
      </c>
      <c r="M931" s="8" t="str">
        <f>_xlfn.XLOOKUP(tblFinancials[[#This Row],[AccountKey]],tblAccounts[AccountKey],tblAccounts[NormalBalance],"")</f>
        <v>Debit</v>
      </c>
      <c r="N931" s="8" t="str">
        <f>_xlfn.XLOOKUP(tblFinancials[[#This Row],[DepartmentKey]],tblDepartments[DepartmentKey],tblDepartments[DepartmentName],"")</f>
        <v>Human Resources</v>
      </c>
      <c r="O931" s="8" t="str">
        <f>_xlfn.XLOOKUP(tblFinancials[[#This Row],[BusinessUnitKey]],tblBusinessUnits[BusinessUnitKey],tblBusinessUnits[BusinessUnitName],"")</f>
        <v>E-Commerce</v>
      </c>
      <c r="P931" s="8" t="str">
        <f>_xlfn.XLOOKUP(tblFinancials[[#This Row],[RegionKey]],tblRegions[RegionKey],tblRegions[RegionName],"")</f>
        <v>Midwest</v>
      </c>
    </row>
    <row r="932" spans="1:16">
      <c r="A932">
        <v>20250201</v>
      </c>
      <c r="B932">
        <v>1</v>
      </c>
      <c r="C932">
        <v>1</v>
      </c>
      <c r="D932">
        <v>3</v>
      </c>
      <c r="E932">
        <v>17</v>
      </c>
      <c r="F932" t="s">
        <v>92</v>
      </c>
      <c r="G932">
        <v>-7738.21</v>
      </c>
      <c r="H932">
        <f>_xlfn.XLOOKUP(tblFinancials[[#This Row],[DateKey]],tblCalendar[DateKey],tblCalendar[FullDate],"")</f>
        <v>45689</v>
      </c>
      <c r="I932">
        <f>_xlfn.XLOOKUP(tblFinancials[[#This Row],[AccountKey]],tblAccounts[AccountKey],tblAccounts[AccountNumber],"")</f>
        <v>6120</v>
      </c>
      <c r="J932" t="str">
        <f>_xlfn.XLOOKUP(tblFinancials[[#This Row],[AccountKey]],tblAccounts[AccountKey],tblAccounts[AccountName],"")</f>
        <v>Employee Benefits</v>
      </c>
      <c r="K932" s="8" t="str">
        <f>_xlfn.XLOOKUP(tblFinancials[[#This Row],[AccountKey]],tblAccounts[AccountKey],tblAccounts[FinancialStatement],"")</f>
        <v>Income Statement</v>
      </c>
      <c r="L932" s="8" t="str">
        <f>_xlfn.XLOOKUP(tblFinancials[[#This Row],[AccountKey]],tblAccounts[AccountKey],tblAccounts[AccountCategory],"")</f>
        <v>Operating Expense</v>
      </c>
      <c r="M932" s="8" t="str">
        <f>_xlfn.XLOOKUP(tblFinancials[[#This Row],[AccountKey]],tblAccounts[AccountKey],tblAccounts[NormalBalance],"")</f>
        <v>Debit</v>
      </c>
      <c r="N932" s="8" t="str">
        <f>_xlfn.XLOOKUP(tblFinancials[[#This Row],[DepartmentKey]],tblDepartments[DepartmentKey],tblDepartments[DepartmentName],"")</f>
        <v>Executive</v>
      </c>
      <c r="O932" s="8" t="str">
        <f>_xlfn.XLOOKUP(tblFinancials[[#This Row],[BusinessUnitKey]],tblBusinessUnits[BusinessUnitKey],tblBusinessUnits[BusinessUnitName],"")</f>
        <v xml:space="preserve">Manufacturing </v>
      </c>
      <c r="P932" s="8" t="str">
        <f>_xlfn.XLOOKUP(tblFinancials[[#This Row],[RegionKey]],tblRegions[RegionKey],tblRegions[RegionName],"")</f>
        <v>South</v>
      </c>
    </row>
    <row r="933" spans="1:16">
      <c r="A933">
        <v>20250201</v>
      </c>
      <c r="B933">
        <v>4</v>
      </c>
      <c r="C933">
        <v>4</v>
      </c>
      <c r="D933">
        <v>1</v>
      </c>
      <c r="E933">
        <v>21</v>
      </c>
      <c r="F933" t="s">
        <v>92</v>
      </c>
      <c r="G933">
        <v>-7569.18</v>
      </c>
      <c r="H933">
        <f>_xlfn.XLOOKUP(tblFinancials[[#This Row],[DateKey]],tblCalendar[DateKey],tblCalendar[FullDate],"")</f>
        <v>45689</v>
      </c>
      <c r="I933">
        <f>_xlfn.XLOOKUP(tblFinancials[[#This Row],[AccountKey]],tblAccounts[AccountKey],tblAccounts[AccountNumber],"")</f>
        <v>6600</v>
      </c>
      <c r="J933" t="str">
        <f>_xlfn.XLOOKUP(tblFinancials[[#This Row],[AccountKey]],tblAccounts[AccountKey],tblAccounts[AccountName],"")</f>
        <v>Utilities Expense</v>
      </c>
      <c r="K933" s="8" t="str">
        <f>_xlfn.XLOOKUP(tblFinancials[[#This Row],[AccountKey]],tblAccounts[AccountKey],tblAccounts[FinancialStatement],"")</f>
        <v>Income Statement</v>
      </c>
      <c r="L933" s="8" t="str">
        <f>_xlfn.XLOOKUP(tblFinancials[[#This Row],[AccountKey]],tblAccounts[AccountKey],tblAccounts[AccountCategory],"")</f>
        <v>Operating Expense</v>
      </c>
      <c r="M933" s="8" t="str">
        <f>_xlfn.XLOOKUP(tblFinancials[[#This Row],[AccountKey]],tblAccounts[AccountKey],tblAccounts[NormalBalance],"")</f>
        <v>Debit</v>
      </c>
      <c r="N933" s="8" t="str">
        <f>_xlfn.XLOOKUP(tblFinancials[[#This Row],[DepartmentKey]],tblDepartments[DepartmentKey],tblDepartments[DepartmentName],"")</f>
        <v>Sales</v>
      </c>
      <c r="O933" s="8" t="str">
        <f>_xlfn.XLOOKUP(tblFinancials[[#This Row],[BusinessUnitKey]],tblBusinessUnits[BusinessUnitKey],tblBusinessUnits[BusinessUnitName],"")</f>
        <v>E-Commerce</v>
      </c>
      <c r="P933" s="8" t="str">
        <f>_xlfn.XLOOKUP(tblFinancials[[#This Row],[RegionKey]],tblRegions[RegionKey],tblRegions[RegionName],"")</f>
        <v>West</v>
      </c>
    </row>
    <row r="934" spans="1:16">
      <c r="A934">
        <v>20250201</v>
      </c>
      <c r="B934">
        <v>4</v>
      </c>
      <c r="C934">
        <v>4</v>
      </c>
      <c r="D934">
        <v>3</v>
      </c>
      <c r="E934">
        <v>22</v>
      </c>
      <c r="F934" t="s">
        <v>92</v>
      </c>
      <c r="G934">
        <v>-7395.97</v>
      </c>
      <c r="H934">
        <f>_xlfn.XLOOKUP(tblFinancials[[#This Row],[DateKey]],tblCalendar[DateKey],tblCalendar[FullDate],"")</f>
        <v>45689</v>
      </c>
      <c r="I934">
        <f>_xlfn.XLOOKUP(tblFinancials[[#This Row],[AccountKey]],tblAccounts[AccountKey],tblAccounts[AccountNumber],"")</f>
        <v>6700</v>
      </c>
      <c r="J934" t="str">
        <f>_xlfn.XLOOKUP(tblFinancials[[#This Row],[AccountKey]],tblAccounts[AccountKey],tblAccounts[AccountName],"")</f>
        <v>Insurance Expense</v>
      </c>
      <c r="K934" s="8" t="str">
        <f>_xlfn.XLOOKUP(tblFinancials[[#This Row],[AccountKey]],tblAccounts[AccountKey],tblAccounts[FinancialStatement],"")</f>
        <v>Income Statement</v>
      </c>
      <c r="L934" s="8" t="str">
        <f>_xlfn.XLOOKUP(tblFinancials[[#This Row],[AccountKey]],tblAccounts[AccountKey],tblAccounts[AccountCategory],"")</f>
        <v>Operating Expense</v>
      </c>
      <c r="M934" s="8" t="str">
        <f>_xlfn.XLOOKUP(tblFinancials[[#This Row],[AccountKey]],tblAccounts[AccountKey],tblAccounts[NormalBalance],"")</f>
        <v>Debit</v>
      </c>
      <c r="N934" s="8" t="str">
        <f>_xlfn.XLOOKUP(tblFinancials[[#This Row],[DepartmentKey]],tblDepartments[DepartmentKey],tblDepartments[DepartmentName],"")</f>
        <v>Sales</v>
      </c>
      <c r="O934" s="8" t="str">
        <f>_xlfn.XLOOKUP(tblFinancials[[#This Row],[BusinessUnitKey]],tblBusinessUnits[BusinessUnitKey],tblBusinessUnits[BusinessUnitName],"")</f>
        <v>E-Commerce</v>
      </c>
      <c r="P934" s="8" t="str">
        <f>_xlfn.XLOOKUP(tblFinancials[[#This Row],[RegionKey]],tblRegions[RegionKey],tblRegions[RegionName],"")</f>
        <v>South</v>
      </c>
    </row>
    <row r="935" spans="1:16">
      <c r="A935">
        <v>20250201</v>
      </c>
      <c r="B935">
        <v>2</v>
      </c>
      <c r="C935">
        <v>3</v>
      </c>
      <c r="D935">
        <v>4</v>
      </c>
      <c r="E935">
        <v>23</v>
      </c>
      <c r="F935" t="s">
        <v>92</v>
      </c>
      <c r="G935">
        <v>-6268.77</v>
      </c>
      <c r="H935">
        <f>_xlfn.XLOOKUP(tblFinancials[[#This Row],[DateKey]],tblCalendar[DateKey],tblCalendar[FullDate],"")</f>
        <v>45689</v>
      </c>
      <c r="I935">
        <f>_xlfn.XLOOKUP(tblFinancials[[#This Row],[AccountKey]],tblAccounts[AccountKey],tblAccounts[AccountNumber],"")</f>
        <v>6800</v>
      </c>
      <c r="J935" t="str">
        <f>_xlfn.XLOOKUP(tblFinancials[[#This Row],[AccountKey]],tblAccounts[AccountKey],tblAccounts[AccountName],"")</f>
        <v>Travel Expense</v>
      </c>
      <c r="K935" s="8" t="str">
        <f>_xlfn.XLOOKUP(tblFinancials[[#This Row],[AccountKey]],tblAccounts[AccountKey],tblAccounts[FinancialStatement],"")</f>
        <v>Income Statement</v>
      </c>
      <c r="L935" s="8" t="str">
        <f>_xlfn.XLOOKUP(tblFinancials[[#This Row],[AccountKey]],tblAccounts[AccountKey],tblAccounts[AccountCategory],"")</f>
        <v>Operating Expense</v>
      </c>
      <c r="M935" s="8" t="str">
        <f>_xlfn.XLOOKUP(tblFinancials[[#This Row],[AccountKey]],tblAccounts[AccountKey],tblAccounts[NormalBalance],"")</f>
        <v>Debit</v>
      </c>
      <c r="N935" s="8" t="str">
        <f>_xlfn.XLOOKUP(tblFinancials[[#This Row],[DepartmentKey]],tblDepartments[DepartmentKey],tblDepartments[DepartmentName],"")</f>
        <v>Finance</v>
      </c>
      <c r="O935" s="8" t="str">
        <f>_xlfn.XLOOKUP(tblFinancials[[#This Row],[BusinessUnitKey]],tblBusinessUnits[BusinessUnitKey],tblBusinessUnits[BusinessUnitName],"")</f>
        <v>Retail</v>
      </c>
      <c r="P935" s="8" t="str">
        <f>_xlfn.XLOOKUP(tblFinancials[[#This Row],[RegionKey]],tblRegions[RegionKey],tblRegions[RegionName],"")</f>
        <v>East</v>
      </c>
    </row>
    <row r="936" spans="1:16">
      <c r="A936">
        <v>20250201</v>
      </c>
      <c r="B936">
        <v>5</v>
      </c>
      <c r="C936">
        <v>3</v>
      </c>
      <c r="D936">
        <v>3</v>
      </c>
      <c r="E936">
        <v>18</v>
      </c>
      <c r="F936" t="s">
        <v>92</v>
      </c>
      <c r="G936">
        <v>-7556.01</v>
      </c>
      <c r="H936">
        <f>_xlfn.XLOOKUP(tblFinancials[[#This Row],[DateKey]],tblCalendar[DateKey],tblCalendar[FullDate],"")</f>
        <v>45689</v>
      </c>
      <c r="I936">
        <f>_xlfn.XLOOKUP(tblFinancials[[#This Row],[AccountKey]],tblAccounts[AccountKey],tblAccounts[AccountNumber],"")</f>
        <v>6200</v>
      </c>
      <c r="J936" t="str">
        <f>_xlfn.XLOOKUP(tblFinancials[[#This Row],[AccountKey]],tblAccounts[AccountKey],tblAccounts[AccountName],"")</f>
        <v>Marketing Expense</v>
      </c>
      <c r="K936" s="8" t="str">
        <f>_xlfn.XLOOKUP(tblFinancials[[#This Row],[AccountKey]],tblAccounts[AccountKey],tblAccounts[FinancialStatement],"")</f>
        <v>Income Statement</v>
      </c>
      <c r="L936" s="8" t="str">
        <f>_xlfn.XLOOKUP(tblFinancials[[#This Row],[AccountKey]],tblAccounts[AccountKey],tblAccounts[AccountCategory],"")</f>
        <v>Operating Expense</v>
      </c>
      <c r="M936" s="8" t="str">
        <f>_xlfn.XLOOKUP(tblFinancials[[#This Row],[AccountKey]],tblAccounts[AccountKey],tblAccounts[NormalBalance],"")</f>
        <v>Debit</v>
      </c>
      <c r="N936" s="8" t="str">
        <f>_xlfn.XLOOKUP(tblFinancials[[#This Row],[DepartmentKey]],tblDepartments[DepartmentKey],tblDepartments[DepartmentName],"")</f>
        <v>Marketing</v>
      </c>
      <c r="O936" s="8" t="str">
        <f>_xlfn.XLOOKUP(tblFinancials[[#This Row],[BusinessUnitKey]],tblBusinessUnits[BusinessUnitKey],tblBusinessUnits[BusinessUnitName],"")</f>
        <v>Retail</v>
      </c>
      <c r="P936" s="8" t="str">
        <f>_xlfn.XLOOKUP(tblFinancials[[#This Row],[RegionKey]],tblRegions[RegionKey],tblRegions[RegionName],"")</f>
        <v>South</v>
      </c>
    </row>
    <row r="937" spans="1:16">
      <c r="A937">
        <v>20250201</v>
      </c>
      <c r="B937">
        <v>5</v>
      </c>
      <c r="C937">
        <v>3</v>
      </c>
      <c r="D937">
        <v>4</v>
      </c>
      <c r="E937">
        <v>16</v>
      </c>
      <c r="F937" t="s">
        <v>92</v>
      </c>
      <c r="G937">
        <v>-5963.66</v>
      </c>
      <c r="H937">
        <f>_xlfn.XLOOKUP(tblFinancials[[#This Row],[DateKey]],tblCalendar[DateKey],tblCalendar[FullDate],"")</f>
        <v>45689</v>
      </c>
      <c r="I937">
        <f>_xlfn.XLOOKUP(tblFinancials[[#This Row],[AccountKey]],tblAccounts[AccountKey],tblAccounts[AccountNumber],"")</f>
        <v>6110</v>
      </c>
      <c r="J937" t="str">
        <f>_xlfn.XLOOKUP(tblFinancials[[#This Row],[AccountKey]],tblAccounts[AccountKey],tblAccounts[AccountName],"")</f>
        <v>Payroll Taxes</v>
      </c>
      <c r="K937" s="8" t="str">
        <f>_xlfn.XLOOKUP(tblFinancials[[#This Row],[AccountKey]],tblAccounts[AccountKey],tblAccounts[FinancialStatement],"")</f>
        <v>Income Statement</v>
      </c>
      <c r="L937" s="8" t="str">
        <f>_xlfn.XLOOKUP(tblFinancials[[#This Row],[AccountKey]],tblAccounts[AccountKey],tblAccounts[AccountCategory],"")</f>
        <v>Operating Expense</v>
      </c>
      <c r="M937" s="8" t="str">
        <f>_xlfn.XLOOKUP(tblFinancials[[#This Row],[AccountKey]],tblAccounts[AccountKey],tblAccounts[NormalBalance],"")</f>
        <v>Debit</v>
      </c>
      <c r="N937" s="8" t="str">
        <f>_xlfn.XLOOKUP(tblFinancials[[#This Row],[DepartmentKey]],tblDepartments[DepartmentKey],tblDepartments[DepartmentName],"")</f>
        <v>Marketing</v>
      </c>
      <c r="O937" s="8" t="str">
        <f>_xlfn.XLOOKUP(tblFinancials[[#This Row],[BusinessUnitKey]],tblBusinessUnits[BusinessUnitKey],tblBusinessUnits[BusinessUnitName],"")</f>
        <v>Retail</v>
      </c>
      <c r="P937" s="8" t="str">
        <f>_xlfn.XLOOKUP(tblFinancials[[#This Row],[RegionKey]],tblRegions[RegionKey],tblRegions[RegionName],"")</f>
        <v>East</v>
      </c>
    </row>
    <row r="938" spans="1:16">
      <c r="A938">
        <v>20250301</v>
      </c>
      <c r="B938">
        <v>5</v>
      </c>
      <c r="C938">
        <v>4</v>
      </c>
      <c r="D938">
        <v>3</v>
      </c>
      <c r="E938">
        <v>13</v>
      </c>
      <c r="F938" t="s">
        <v>92</v>
      </c>
      <c r="G938">
        <v>31295.17</v>
      </c>
      <c r="H938">
        <f>_xlfn.XLOOKUP(tblFinancials[[#This Row],[DateKey]],tblCalendar[DateKey],tblCalendar[FullDate],"")</f>
        <v>45717</v>
      </c>
      <c r="I938">
        <f>_xlfn.XLOOKUP(tblFinancials[[#This Row],[AccountKey]],tblAccounts[AccountKey],tblAccounts[AccountNumber],"")</f>
        <v>4020</v>
      </c>
      <c r="J938" t="str">
        <f>_xlfn.XLOOKUP(tblFinancials[[#This Row],[AccountKey]],tblAccounts[AccountKey],tblAccounts[AccountName],"")</f>
        <v>Online Revenue</v>
      </c>
      <c r="K938" s="8" t="str">
        <f>_xlfn.XLOOKUP(tblFinancials[[#This Row],[AccountKey]],tblAccounts[AccountKey],tblAccounts[FinancialStatement],"")</f>
        <v>Income Statement</v>
      </c>
      <c r="L938" s="8" t="str">
        <f>_xlfn.XLOOKUP(tblFinancials[[#This Row],[AccountKey]],tblAccounts[AccountKey],tblAccounts[AccountCategory],"")</f>
        <v>Revenue</v>
      </c>
      <c r="M938" s="8" t="str">
        <f>_xlfn.XLOOKUP(tblFinancials[[#This Row],[AccountKey]],tblAccounts[AccountKey],tblAccounts[NormalBalance],"")</f>
        <v>Credit</v>
      </c>
      <c r="N938" s="8" t="str">
        <f>_xlfn.XLOOKUP(tblFinancials[[#This Row],[DepartmentKey]],tblDepartments[DepartmentKey],tblDepartments[DepartmentName],"")</f>
        <v>Marketing</v>
      </c>
      <c r="O938" s="8" t="str">
        <f>_xlfn.XLOOKUP(tblFinancials[[#This Row],[BusinessUnitKey]],tblBusinessUnits[BusinessUnitKey],tblBusinessUnits[BusinessUnitName],"")</f>
        <v>E-Commerce</v>
      </c>
      <c r="P938" s="8" t="str">
        <f>_xlfn.XLOOKUP(tblFinancials[[#This Row],[RegionKey]],tblRegions[RegionKey],tblRegions[RegionName],"")</f>
        <v>South</v>
      </c>
    </row>
    <row r="939" spans="1:16">
      <c r="A939">
        <v>20250301</v>
      </c>
      <c r="B939">
        <v>1</v>
      </c>
      <c r="C939">
        <v>4</v>
      </c>
      <c r="D939">
        <v>2</v>
      </c>
      <c r="E939">
        <v>12</v>
      </c>
      <c r="F939" t="s">
        <v>92</v>
      </c>
      <c r="G939">
        <v>30181.59</v>
      </c>
      <c r="H939">
        <f>_xlfn.XLOOKUP(tblFinancials[[#This Row],[DateKey]],tblCalendar[DateKey],tblCalendar[FullDate],"")</f>
        <v>45717</v>
      </c>
      <c r="I939">
        <f>_xlfn.XLOOKUP(tblFinancials[[#This Row],[AccountKey]],tblAccounts[AccountKey],tblAccounts[AccountNumber],"")</f>
        <v>4010</v>
      </c>
      <c r="J939" t="str">
        <f>_xlfn.XLOOKUP(tblFinancials[[#This Row],[AccountKey]],tblAccounts[AccountKey],tblAccounts[AccountName],"")</f>
        <v>Service Revenue</v>
      </c>
      <c r="K939" s="8" t="str">
        <f>_xlfn.XLOOKUP(tblFinancials[[#This Row],[AccountKey]],tblAccounts[AccountKey],tblAccounts[FinancialStatement],"")</f>
        <v>Income Statement</v>
      </c>
      <c r="L939" s="8" t="str">
        <f>_xlfn.XLOOKUP(tblFinancials[[#This Row],[AccountKey]],tblAccounts[AccountKey],tblAccounts[AccountCategory],"")</f>
        <v>Revenue</v>
      </c>
      <c r="M939" s="8" t="str">
        <f>_xlfn.XLOOKUP(tblFinancials[[#This Row],[AccountKey]],tblAccounts[AccountKey],tblAccounts[NormalBalance],"")</f>
        <v>Credit</v>
      </c>
      <c r="N939" s="8" t="str">
        <f>_xlfn.XLOOKUP(tblFinancials[[#This Row],[DepartmentKey]],tblDepartments[DepartmentKey],tblDepartments[DepartmentName],"")</f>
        <v>Executive</v>
      </c>
      <c r="O939" s="8" t="str">
        <f>_xlfn.XLOOKUP(tblFinancials[[#This Row],[BusinessUnitKey]],tblBusinessUnits[BusinessUnitKey],tblBusinessUnits[BusinessUnitName],"")</f>
        <v>E-Commerce</v>
      </c>
      <c r="P939" s="8" t="str">
        <f>_xlfn.XLOOKUP(tblFinancials[[#This Row],[RegionKey]],tblRegions[RegionKey],tblRegions[RegionName],"")</f>
        <v>Midwest</v>
      </c>
    </row>
    <row r="940" spans="1:16">
      <c r="A940">
        <v>20250301</v>
      </c>
      <c r="B940">
        <v>5</v>
      </c>
      <c r="C940">
        <v>4</v>
      </c>
      <c r="D940">
        <v>4</v>
      </c>
      <c r="E940">
        <v>11</v>
      </c>
      <c r="F940" t="s">
        <v>92</v>
      </c>
      <c r="G940">
        <v>31100.17</v>
      </c>
      <c r="H940">
        <f>_xlfn.XLOOKUP(tblFinancials[[#This Row],[DateKey]],tblCalendar[DateKey],tblCalendar[FullDate],"")</f>
        <v>45717</v>
      </c>
      <c r="I940">
        <f>_xlfn.XLOOKUP(tblFinancials[[#This Row],[AccountKey]],tblAccounts[AccountKey],tblAccounts[AccountNumber],"")</f>
        <v>4000</v>
      </c>
      <c r="J940" t="str">
        <f>_xlfn.XLOOKUP(tblFinancials[[#This Row],[AccountKey]],tblAccounts[AccountKey],tblAccounts[AccountName],"")</f>
        <v>Product Revenue</v>
      </c>
      <c r="K940" s="8" t="str">
        <f>_xlfn.XLOOKUP(tblFinancials[[#This Row],[AccountKey]],tblAccounts[AccountKey],tblAccounts[FinancialStatement],"")</f>
        <v>Income Statement</v>
      </c>
      <c r="L940" s="8" t="str">
        <f>_xlfn.XLOOKUP(tblFinancials[[#This Row],[AccountKey]],tblAccounts[AccountKey],tblAccounts[AccountCategory],"")</f>
        <v>Revenue</v>
      </c>
      <c r="M940" s="8" t="str">
        <f>_xlfn.XLOOKUP(tblFinancials[[#This Row],[AccountKey]],tblAccounts[AccountKey],tblAccounts[NormalBalance],"")</f>
        <v>Credit</v>
      </c>
      <c r="N940" s="8" t="str">
        <f>_xlfn.XLOOKUP(tblFinancials[[#This Row],[DepartmentKey]],tblDepartments[DepartmentKey],tblDepartments[DepartmentName],"")</f>
        <v>Marketing</v>
      </c>
      <c r="O940" s="8" t="str">
        <f>_xlfn.XLOOKUP(tblFinancials[[#This Row],[BusinessUnitKey]],tblBusinessUnits[BusinessUnitKey],tblBusinessUnits[BusinessUnitName],"")</f>
        <v>E-Commerce</v>
      </c>
      <c r="P940" s="8" t="str">
        <f>_xlfn.XLOOKUP(tblFinancials[[#This Row],[RegionKey]],tblRegions[RegionKey],tblRegions[RegionName],"")</f>
        <v>East</v>
      </c>
    </row>
    <row r="941" spans="1:16">
      <c r="A941">
        <v>20250301</v>
      </c>
      <c r="B941">
        <v>1</v>
      </c>
      <c r="C941">
        <v>2</v>
      </c>
      <c r="D941">
        <v>4</v>
      </c>
      <c r="E941">
        <v>13</v>
      </c>
      <c r="F941" t="s">
        <v>92</v>
      </c>
      <c r="G941">
        <v>31906.13</v>
      </c>
      <c r="H941">
        <f>_xlfn.XLOOKUP(tblFinancials[[#This Row],[DateKey]],tblCalendar[DateKey],tblCalendar[FullDate],"")</f>
        <v>45717</v>
      </c>
      <c r="I941">
        <f>_xlfn.XLOOKUP(tblFinancials[[#This Row],[AccountKey]],tblAccounts[AccountKey],tblAccounts[AccountNumber],"")</f>
        <v>4020</v>
      </c>
      <c r="J941" t="str">
        <f>_xlfn.XLOOKUP(tblFinancials[[#This Row],[AccountKey]],tblAccounts[AccountKey],tblAccounts[AccountName],"")</f>
        <v>Online Revenue</v>
      </c>
      <c r="K941" s="8" t="str">
        <f>_xlfn.XLOOKUP(tblFinancials[[#This Row],[AccountKey]],tblAccounts[AccountKey],tblAccounts[FinancialStatement],"")</f>
        <v>Income Statement</v>
      </c>
      <c r="L941" s="8" t="str">
        <f>_xlfn.XLOOKUP(tblFinancials[[#This Row],[AccountKey]],tblAccounts[AccountKey],tblAccounts[AccountCategory],"")</f>
        <v>Revenue</v>
      </c>
      <c r="M941" s="8" t="str">
        <f>_xlfn.XLOOKUP(tblFinancials[[#This Row],[AccountKey]],tblAccounts[AccountKey],tblAccounts[NormalBalance],"")</f>
        <v>Credit</v>
      </c>
      <c r="N941" s="8" t="str">
        <f>_xlfn.XLOOKUP(tblFinancials[[#This Row],[DepartmentKey]],tblDepartments[DepartmentKey],tblDepartments[DepartmentName],"")</f>
        <v>Executive</v>
      </c>
      <c r="O941" s="8" t="str">
        <f>_xlfn.XLOOKUP(tblFinancials[[#This Row],[BusinessUnitKey]],tblBusinessUnits[BusinessUnitKey],tblBusinessUnits[BusinessUnitName],"")</f>
        <v>Wholesale</v>
      </c>
      <c r="P941" s="8" t="str">
        <f>_xlfn.XLOOKUP(tblFinancials[[#This Row],[RegionKey]],tblRegions[RegionKey],tblRegions[RegionName],"")</f>
        <v>East</v>
      </c>
    </row>
    <row r="942" spans="1:16">
      <c r="A942">
        <v>20250301</v>
      </c>
      <c r="B942">
        <v>1</v>
      </c>
      <c r="C942">
        <v>2</v>
      </c>
      <c r="D942">
        <v>2</v>
      </c>
      <c r="E942">
        <v>11</v>
      </c>
      <c r="F942" t="s">
        <v>92</v>
      </c>
      <c r="G942">
        <v>31808.63</v>
      </c>
      <c r="H942">
        <f>_xlfn.XLOOKUP(tblFinancials[[#This Row],[DateKey]],tblCalendar[DateKey],tblCalendar[FullDate],"")</f>
        <v>45717</v>
      </c>
      <c r="I942">
        <f>_xlfn.XLOOKUP(tblFinancials[[#This Row],[AccountKey]],tblAccounts[AccountKey],tblAccounts[AccountNumber],"")</f>
        <v>4000</v>
      </c>
      <c r="J942" t="str">
        <f>_xlfn.XLOOKUP(tblFinancials[[#This Row],[AccountKey]],tblAccounts[AccountKey],tblAccounts[AccountName],"")</f>
        <v>Product Revenue</v>
      </c>
      <c r="K942" s="8" t="str">
        <f>_xlfn.XLOOKUP(tblFinancials[[#This Row],[AccountKey]],tblAccounts[AccountKey],tblAccounts[FinancialStatement],"")</f>
        <v>Income Statement</v>
      </c>
      <c r="L942" s="8" t="str">
        <f>_xlfn.XLOOKUP(tblFinancials[[#This Row],[AccountKey]],tblAccounts[AccountKey],tblAccounts[AccountCategory],"")</f>
        <v>Revenue</v>
      </c>
      <c r="M942" s="8" t="str">
        <f>_xlfn.XLOOKUP(tblFinancials[[#This Row],[AccountKey]],tblAccounts[AccountKey],tblAccounts[NormalBalance],"")</f>
        <v>Credit</v>
      </c>
      <c r="N942" s="8" t="str">
        <f>_xlfn.XLOOKUP(tblFinancials[[#This Row],[DepartmentKey]],tblDepartments[DepartmentKey],tblDepartments[DepartmentName],"")</f>
        <v>Executive</v>
      </c>
      <c r="O942" s="8" t="str">
        <f>_xlfn.XLOOKUP(tblFinancials[[#This Row],[BusinessUnitKey]],tblBusinessUnits[BusinessUnitKey],tblBusinessUnits[BusinessUnitName],"")</f>
        <v>Wholesale</v>
      </c>
      <c r="P942" s="8" t="str">
        <f>_xlfn.XLOOKUP(tblFinancials[[#This Row],[RegionKey]],tblRegions[RegionKey],tblRegions[RegionName],"")</f>
        <v>Midwest</v>
      </c>
    </row>
    <row r="943" spans="1:16">
      <c r="A943">
        <v>20250301</v>
      </c>
      <c r="B943">
        <v>5</v>
      </c>
      <c r="C943">
        <v>2</v>
      </c>
      <c r="D943">
        <v>4</v>
      </c>
      <c r="E943">
        <v>11</v>
      </c>
      <c r="F943" t="s">
        <v>92</v>
      </c>
      <c r="G943">
        <v>30536.47</v>
      </c>
      <c r="H943">
        <f>_xlfn.XLOOKUP(tblFinancials[[#This Row],[DateKey]],tblCalendar[DateKey],tblCalendar[FullDate],"")</f>
        <v>45717</v>
      </c>
      <c r="I943">
        <f>_xlfn.XLOOKUP(tblFinancials[[#This Row],[AccountKey]],tblAccounts[AccountKey],tblAccounts[AccountNumber],"")</f>
        <v>4000</v>
      </c>
      <c r="J943" t="str">
        <f>_xlfn.XLOOKUP(tblFinancials[[#This Row],[AccountKey]],tblAccounts[AccountKey],tblAccounts[AccountName],"")</f>
        <v>Product Revenue</v>
      </c>
      <c r="K943" s="8" t="str">
        <f>_xlfn.XLOOKUP(tblFinancials[[#This Row],[AccountKey]],tblAccounts[AccountKey],tblAccounts[FinancialStatement],"")</f>
        <v>Income Statement</v>
      </c>
      <c r="L943" s="8" t="str">
        <f>_xlfn.XLOOKUP(tblFinancials[[#This Row],[AccountKey]],tblAccounts[AccountKey],tblAccounts[AccountCategory],"")</f>
        <v>Revenue</v>
      </c>
      <c r="M943" s="8" t="str">
        <f>_xlfn.XLOOKUP(tblFinancials[[#This Row],[AccountKey]],tblAccounts[AccountKey],tblAccounts[NormalBalance],"")</f>
        <v>Credit</v>
      </c>
      <c r="N943" s="8" t="str">
        <f>_xlfn.XLOOKUP(tblFinancials[[#This Row],[DepartmentKey]],tblDepartments[DepartmentKey],tblDepartments[DepartmentName],"")</f>
        <v>Marketing</v>
      </c>
      <c r="O943" s="8" t="str">
        <f>_xlfn.XLOOKUP(tblFinancials[[#This Row],[BusinessUnitKey]],tblBusinessUnits[BusinessUnitKey],tblBusinessUnits[BusinessUnitName],"")</f>
        <v>Wholesale</v>
      </c>
      <c r="P943" s="8" t="str">
        <f>_xlfn.XLOOKUP(tblFinancials[[#This Row],[RegionKey]],tblRegions[RegionKey],tblRegions[RegionName],"")</f>
        <v>East</v>
      </c>
    </row>
    <row r="944" spans="1:16">
      <c r="A944">
        <v>20250301</v>
      </c>
      <c r="B944">
        <v>6</v>
      </c>
      <c r="C944">
        <v>1</v>
      </c>
      <c r="D944">
        <v>3</v>
      </c>
      <c r="E944">
        <v>11</v>
      </c>
      <c r="F944" t="s">
        <v>92</v>
      </c>
      <c r="G944">
        <v>31864.97</v>
      </c>
      <c r="H944">
        <f>_xlfn.XLOOKUP(tblFinancials[[#This Row],[DateKey]],tblCalendar[DateKey],tblCalendar[FullDate],"")</f>
        <v>45717</v>
      </c>
      <c r="I944">
        <f>_xlfn.XLOOKUP(tblFinancials[[#This Row],[AccountKey]],tblAccounts[AccountKey],tblAccounts[AccountNumber],"")</f>
        <v>4000</v>
      </c>
      <c r="J944" t="str">
        <f>_xlfn.XLOOKUP(tblFinancials[[#This Row],[AccountKey]],tblAccounts[AccountKey],tblAccounts[AccountName],"")</f>
        <v>Product Revenue</v>
      </c>
      <c r="K944" s="8" t="str">
        <f>_xlfn.XLOOKUP(tblFinancials[[#This Row],[AccountKey]],tblAccounts[AccountKey],tblAccounts[FinancialStatement],"")</f>
        <v>Income Statement</v>
      </c>
      <c r="L944" s="8" t="str">
        <f>_xlfn.XLOOKUP(tblFinancials[[#This Row],[AccountKey]],tblAccounts[AccountKey],tblAccounts[AccountCategory],"")</f>
        <v>Revenue</v>
      </c>
      <c r="M944" s="8" t="str">
        <f>_xlfn.XLOOKUP(tblFinancials[[#This Row],[AccountKey]],tblAccounts[AccountKey],tblAccounts[NormalBalance],"")</f>
        <v>Credit</v>
      </c>
      <c r="N944" s="8" t="str">
        <f>_xlfn.XLOOKUP(tblFinancials[[#This Row],[DepartmentKey]],tblDepartments[DepartmentKey],tblDepartments[DepartmentName],"")</f>
        <v>Operations</v>
      </c>
      <c r="O944" s="8" t="str">
        <f>_xlfn.XLOOKUP(tblFinancials[[#This Row],[BusinessUnitKey]],tblBusinessUnits[BusinessUnitKey],tblBusinessUnits[BusinessUnitName],"")</f>
        <v xml:space="preserve">Manufacturing </v>
      </c>
      <c r="P944" s="8" t="str">
        <f>_xlfn.XLOOKUP(tblFinancials[[#This Row],[RegionKey]],tblRegions[RegionKey],tblRegions[RegionName],"")</f>
        <v>South</v>
      </c>
    </row>
    <row r="945" spans="1:16">
      <c r="A945">
        <v>20250301</v>
      </c>
      <c r="B945">
        <v>3</v>
      </c>
      <c r="C945">
        <v>3</v>
      </c>
      <c r="D945">
        <v>1</v>
      </c>
      <c r="E945">
        <v>11</v>
      </c>
      <c r="F945" t="s">
        <v>92</v>
      </c>
      <c r="G945">
        <v>30183.54</v>
      </c>
      <c r="H945">
        <f>_xlfn.XLOOKUP(tblFinancials[[#This Row],[DateKey]],tblCalendar[DateKey],tblCalendar[FullDate],"")</f>
        <v>45717</v>
      </c>
      <c r="I945">
        <f>_xlfn.XLOOKUP(tblFinancials[[#This Row],[AccountKey]],tblAccounts[AccountKey],tblAccounts[AccountNumber],"")</f>
        <v>4000</v>
      </c>
      <c r="J945" t="str">
        <f>_xlfn.XLOOKUP(tblFinancials[[#This Row],[AccountKey]],tblAccounts[AccountKey],tblAccounts[AccountName],"")</f>
        <v>Product Revenue</v>
      </c>
      <c r="K945" s="8" t="str">
        <f>_xlfn.XLOOKUP(tblFinancials[[#This Row],[AccountKey]],tblAccounts[AccountKey],tblAccounts[FinancialStatement],"")</f>
        <v>Income Statement</v>
      </c>
      <c r="L945" s="8" t="str">
        <f>_xlfn.XLOOKUP(tblFinancials[[#This Row],[AccountKey]],tblAccounts[AccountKey],tblAccounts[AccountCategory],"")</f>
        <v>Revenue</v>
      </c>
      <c r="M945" s="8" t="str">
        <f>_xlfn.XLOOKUP(tblFinancials[[#This Row],[AccountKey]],tblAccounts[AccountKey],tblAccounts[NormalBalance],"")</f>
        <v>Credit</v>
      </c>
      <c r="N945" s="8" t="str">
        <f>_xlfn.XLOOKUP(tblFinancials[[#This Row],[DepartmentKey]],tblDepartments[DepartmentKey],tblDepartments[DepartmentName],"")</f>
        <v>Human Resources</v>
      </c>
      <c r="O945" s="8" t="str">
        <f>_xlfn.XLOOKUP(tblFinancials[[#This Row],[BusinessUnitKey]],tblBusinessUnits[BusinessUnitKey],tblBusinessUnits[BusinessUnitName],"")</f>
        <v>Retail</v>
      </c>
      <c r="P945" s="8" t="str">
        <f>_xlfn.XLOOKUP(tblFinancials[[#This Row],[RegionKey]],tblRegions[RegionKey],tblRegions[RegionName],"")</f>
        <v>West</v>
      </c>
    </row>
    <row r="946" spans="1:16">
      <c r="A946">
        <v>20250301</v>
      </c>
      <c r="B946">
        <v>7</v>
      </c>
      <c r="C946">
        <v>3</v>
      </c>
      <c r="D946">
        <v>1</v>
      </c>
      <c r="E946">
        <v>11</v>
      </c>
      <c r="F946" t="s">
        <v>92</v>
      </c>
      <c r="G946">
        <v>31790.33</v>
      </c>
      <c r="H946">
        <f>_xlfn.XLOOKUP(tblFinancials[[#This Row],[DateKey]],tblCalendar[DateKey],tblCalendar[FullDate],"")</f>
        <v>45717</v>
      </c>
      <c r="I946">
        <f>_xlfn.XLOOKUP(tblFinancials[[#This Row],[AccountKey]],tblAccounts[AccountKey],tblAccounts[AccountNumber],"")</f>
        <v>4000</v>
      </c>
      <c r="J946" t="str">
        <f>_xlfn.XLOOKUP(tblFinancials[[#This Row],[AccountKey]],tblAccounts[AccountKey],tblAccounts[AccountName],"")</f>
        <v>Product Revenue</v>
      </c>
      <c r="K946" s="8" t="str">
        <f>_xlfn.XLOOKUP(tblFinancials[[#This Row],[AccountKey]],tblAccounts[AccountKey],tblAccounts[FinancialStatement],"")</f>
        <v>Income Statement</v>
      </c>
      <c r="L946" s="8" t="str">
        <f>_xlfn.XLOOKUP(tblFinancials[[#This Row],[AccountKey]],tblAccounts[AccountKey],tblAccounts[AccountCategory],"")</f>
        <v>Revenue</v>
      </c>
      <c r="M946" s="8" t="str">
        <f>_xlfn.XLOOKUP(tblFinancials[[#This Row],[AccountKey]],tblAccounts[AccountKey],tblAccounts[NormalBalance],"")</f>
        <v>Credit</v>
      </c>
      <c r="N946" s="8" t="str">
        <f>_xlfn.XLOOKUP(tblFinancials[[#This Row],[DepartmentKey]],tblDepartments[DepartmentKey],tblDepartments[DepartmentName],"")</f>
        <v>Information Technology</v>
      </c>
      <c r="O946" s="8" t="str">
        <f>_xlfn.XLOOKUP(tblFinancials[[#This Row],[BusinessUnitKey]],tblBusinessUnits[BusinessUnitKey],tblBusinessUnits[BusinessUnitName],"")</f>
        <v>Retail</v>
      </c>
      <c r="P946" s="8" t="str">
        <f>_xlfn.XLOOKUP(tblFinancials[[#This Row],[RegionKey]],tblRegions[RegionKey],tblRegions[RegionName],"")</f>
        <v>West</v>
      </c>
    </row>
    <row r="947" spans="1:16">
      <c r="A947">
        <v>20250301</v>
      </c>
      <c r="B947">
        <v>6</v>
      </c>
      <c r="C947">
        <v>2</v>
      </c>
      <c r="D947">
        <v>4</v>
      </c>
      <c r="E947">
        <v>12</v>
      </c>
      <c r="F947" t="s">
        <v>92</v>
      </c>
      <c r="G947">
        <v>31339.32</v>
      </c>
      <c r="H947">
        <f>_xlfn.XLOOKUP(tblFinancials[[#This Row],[DateKey]],tblCalendar[DateKey],tblCalendar[FullDate],"")</f>
        <v>45717</v>
      </c>
      <c r="I947">
        <f>_xlfn.XLOOKUP(tblFinancials[[#This Row],[AccountKey]],tblAccounts[AccountKey],tblAccounts[AccountNumber],"")</f>
        <v>4010</v>
      </c>
      <c r="J947" t="str">
        <f>_xlfn.XLOOKUP(tblFinancials[[#This Row],[AccountKey]],tblAccounts[AccountKey],tblAccounts[AccountName],"")</f>
        <v>Service Revenue</v>
      </c>
      <c r="K947" s="8" t="str">
        <f>_xlfn.XLOOKUP(tblFinancials[[#This Row],[AccountKey]],tblAccounts[AccountKey],tblAccounts[FinancialStatement],"")</f>
        <v>Income Statement</v>
      </c>
      <c r="L947" s="8" t="str">
        <f>_xlfn.XLOOKUP(tblFinancials[[#This Row],[AccountKey]],tblAccounts[AccountKey],tblAccounts[AccountCategory],"")</f>
        <v>Revenue</v>
      </c>
      <c r="M947" s="8" t="str">
        <f>_xlfn.XLOOKUP(tblFinancials[[#This Row],[AccountKey]],tblAccounts[AccountKey],tblAccounts[NormalBalance],"")</f>
        <v>Credit</v>
      </c>
      <c r="N947" s="8" t="str">
        <f>_xlfn.XLOOKUP(tblFinancials[[#This Row],[DepartmentKey]],tblDepartments[DepartmentKey],tblDepartments[DepartmentName],"")</f>
        <v>Operations</v>
      </c>
      <c r="O947" s="8" t="str">
        <f>_xlfn.XLOOKUP(tblFinancials[[#This Row],[BusinessUnitKey]],tblBusinessUnits[BusinessUnitKey],tblBusinessUnits[BusinessUnitName],"")</f>
        <v>Wholesale</v>
      </c>
      <c r="P947" s="8" t="str">
        <f>_xlfn.XLOOKUP(tblFinancials[[#This Row],[RegionKey]],tblRegions[RegionKey],tblRegions[RegionName],"")</f>
        <v>East</v>
      </c>
    </row>
    <row r="948" spans="1:16">
      <c r="A948">
        <v>20250301</v>
      </c>
      <c r="B948">
        <v>7</v>
      </c>
      <c r="C948">
        <v>4</v>
      </c>
      <c r="D948">
        <v>2</v>
      </c>
      <c r="E948">
        <v>13</v>
      </c>
      <c r="F948" t="s">
        <v>92</v>
      </c>
      <c r="G948">
        <v>31339.39</v>
      </c>
      <c r="H948">
        <f>_xlfn.XLOOKUP(tblFinancials[[#This Row],[DateKey]],tblCalendar[DateKey],tblCalendar[FullDate],"")</f>
        <v>45717</v>
      </c>
      <c r="I948">
        <f>_xlfn.XLOOKUP(tblFinancials[[#This Row],[AccountKey]],tblAccounts[AccountKey],tblAccounts[AccountNumber],"")</f>
        <v>4020</v>
      </c>
      <c r="J948" t="str">
        <f>_xlfn.XLOOKUP(tblFinancials[[#This Row],[AccountKey]],tblAccounts[AccountKey],tblAccounts[AccountName],"")</f>
        <v>Online Revenue</v>
      </c>
      <c r="K948" s="8" t="str">
        <f>_xlfn.XLOOKUP(tblFinancials[[#This Row],[AccountKey]],tblAccounts[AccountKey],tblAccounts[FinancialStatement],"")</f>
        <v>Income Statement</v>
      </c>
      <c r="L948" s="8" t="str">
        <f>_xlfn.XLOOKUP(tblFinancials[[#This Row],[AccountKey]],tblAccounts[AccountKey],tblAccounts[AccountCategory],"")</f>
        <v>Revenue</v>
      </c>
      <c r="M948" s="8" t="str">
        <f>_xlfn.XLOOKUP(tblFinancials[[#This Row],[AccountKey]],tblAccounts[AccountKey],tblAccounts[NormalBalance],"")</f>
        <v>Credit</v>
      </c>
      <c r="N948" s="8" t="str">
        <f>_xlfn.XLOOKUP(tblFinancials[[#This Row],[DepartmentKey]],tblDepartments[DepartmentKey],tblDepartments[DepartmentName],"")</f>
        <v>Information Technology</v>
      </c>
      <c r="O948" s="8" t="str">
        <f>_xlfn.XLOOKUP(tblFinancials[[#This Row],[BusinessUnitKey]],tblBusinessUnits[BusinessUnitKey],tblBusinessUnits[BusinessUnitName],"")</f>
        <v>E-Commerce</v>
      </c>
      <c r="P948" s="8" t="str">
        <f>_xlfn.XLOOKUP(tblFinancials[[#This Row],[RegionKey]],tblRegions[RegionKey],tblRegions[RegionName],"")</f>
        <v>Midwest</v>
      </c>
    </row>
    <row r="949" spans="1:16">
      <c r="A949">
        <v>20250301</v>
      </c>
      <c r="B949">
        <v>5</v>
      </c>
      <c r="C949">
        <v>2</v>
      </c>
      <c r="D949">
        <v>3</v>
      </c>
      <c r="E949">
        <v>11</v>
      </c>
      <c r="F949" t="s">
        <v>92</v>
      </c>
      <c r="G949">
        <v>30269.35</v>
      </c>
      <c r="H949">
        <f>_xlfn.XLOOKUP(tblFinancials[[#This Row],[DateKey]],tblCalendar[DateKey],tblCalendar[FullDate],"")</f>
        <v>45717</v>
      </c>
      <c r="I949">
        <f>_xlfn.XLOOKUP(tblFinancials[[#This Row],[AccountKey]],tblAccounts[AccountKey],tblAccounts[AccountNumber],"")</f>
        <v>4000</v>
      </c>
      <c r="J949" t="str">
        <f>_xlfn.XLOOKUP(tblFinancials[[#This Row],[AccountKey]],tblAccounts[AccountKey],tblAccounts[AccountName],"")</f>
        <v>Product Revenue</v>
      </c>
      <c r="K949" s="8" t="str">
        <f>_xlfn.XLOOKUP(tblFinancials[[#This Row],[AccountKey]],tblAccounts[AccountKey],tblAccounts[FinancialStatement],"")</f>
        <v>Income Statement</v>
      </c>
      <c r="L949" s="8" t="str">
        <f>_xlfn.XLOOKUP(tblFinancials[[#This Row],[AccountKey]],tblAccounts[AccountKey],tblAccounts[AccountCategory],"")</f>
        <v>Revenue</v>
      </c>
      <c r="M949" s="8" t="str">
        <f>_xlfn.XLOOKUP(tblFinancials[[#This Row],[AccountKey]],tblAccounts[AccountKey],tblAccounts[NormalBalance],"")</f>
        <v>Credit</v>
      </c>
      <c r="N949" s="8" t="str">
        <f>_xlfn.XLOOKUP(tblFinancials[[#This Row],[DepartmentKey]],tblDepartments[DepartmentKey],tblDepartments[DepartmentName],"")</f>
        <v>Marketing</v>
      </c>
      <c r="O949" s="8" t="str">
        <f>_xlfn.XLOOKUP(tblFinancials[[#This Row],[BusinessUnitKey]],tblBusinessUnits[BusinessUnitKey],tblBusinessUnits[BusinessUnitName],"")</f>
        <v>Wholesale</v>
      </c>
      <c r="P949" s="8" t="str">
        <f>_xlfn.XLOOKUP(tblFinancials[[#This Row],[RegionKey]],tblRegions[RegionKey],tblRegions[RegionName],"")</f>
        <v>South</v>
      </c>
    </row>
    <row r="950" spans="1:16">
      <c r="A950">
        <v>20250301</v>
      </c>
      <c r="B950">
        <v>2</v>
      </c>
      <c r="C950">
        <v>1</v>
      </c>
      <c r="D950">
        <v>4</v>
      </c>
      <c r="E950">
        <v>14</v>
      </c>
      <c r="F950" t="s">
        <v>92</v>
      </c>
      <c r="G950">
        <v>-17336.919999999998</v>
      </c>
      <c r="H950">
        <f>_xlfn.XLOOKUP(tblFinancials[[#This Row],[DateKey]],tblCalendar[DateKey],tblCalendar[FullDate],"")</f>
        <v>45717</v>
      </c>
      <c r="I950">
        <f>_xlfn.XLOOKUP(tblFinancials[[#This Row],[AccountKey]],tblAccounts[AccountKey],tblAccounts[AccountNumber],"")</f>
        <v>5000</v>
      </c>
      <c r="J950" t="str">
        <f>_xlfn.XLOOKUP(tblFinancials[[#This Row],[AccountKey]],tblAccounts[AccountKey],tblAccounts[AccountName],"")</f>
        <v>Cost of Goods Sold</v>
      </c>
      <c r="K950" s="8" t="str">
        <f>_xlfn.XLOOKUP(tblFinancials[[#This Row],[AccountKey]],tblAccounts[AccountKey],tblAccounts[FinancialStatement],"")</f>
        <v>Income Statement</v>
      </c>
      <c r="L950" s="8" t="str">
        <f>_xlfn.XLOOKUP(tblFinancials[[#This Row],[AccountKey]],tblAccounts[AccountKey],tblAccounts[AccountCategory],"")</f>
        <v>Cost of Sales</v>
      </c>
      <c r="M950" s="8" t="str">
        <f>_xlfn.XLOOKUP(tblFinancials[[#This Row],[AccountKey]],tblAccounts[AccountKey],tblAccounts[NormalBalance],"")</f>
        <v>Debit</v>
      </c>
      <c r="N950" s="8" t="str">
        <f>_xlfn.XLOOKUP(tblFinancials[[#This Row],[DepartmentKey]],tblDepartments[DepartmentKey],tblDepartments[DepartmentName],"")</f>
        <v>Finance</v>
      </c>
      <c r="O950" s="8" t="str">
        <f>_xlfn.XLOOKUP(tblFinancials[[#This Row],[BusinessUnitKey]],tblBusinessUnits[BusinessUnitKey],tblBusinessUnits[BusinessUnitName],"")</f>
        <v xml:space="preserve">Manufacturing </v>
      </c>
      <c r="P950" s="8" t="str">
        <f>_xlfn.XLOOKUP(tblFinancials[[#This Row],[RegionKey]],tblRegions[RegionKey],tblRegions[RegionName],"")</f>
        <v>East</v>
      </c>
    </row>
    <row r="951" spans="1:16">
      <c r="A951">
        <v>20250301</v>
      </c>
      <c r="B951">
        <v>4</v>
      </c>
      <c r="C951">
        <v>2</v>
      </c>
      <c r="D951">
        <v>1</v>
      </c>
      <c r="E951">
        <v>14</v>
      </c>
      <c r="F951" t="s">
        <v>92</v>
      </c>
      <c r="G951">
        <v>-19375.2</v>
      </c>
      <c r="H951">
        <f>_xlfn.XLOOKUP(tblFinancials[[#This Row],[DateKey]],tblCalendar[DateKey],tblCalendar[FullDate],"")</f>
        <v>45717</v>
      </c>
      <c r="I951">
        <f>_xlfn.XLOOKUP(tblFinancials[[#This Row],[AccountKey]],tblAccounts[AccountKey],tblAccounts[AccountNumber],"")</f>
        <v>5000</v>
      </c>
      <c r="J951" t="str">
        <f>_xlfn.XLOOKUP(tblFinancials[[#This Row],[AccountKey]],tblAccounts[AccountKey],tblAccounts[AccountName],"")</f>
        <v>Cost of Goods Sold</v>
      </c>
      <c r="K951" s="8" t="str">
        <f>_xlfn.XLOOKUP(tblFinancials[[#This Row],[AccountKey]],tblAccounts[AccountKey],tblAccounts[FinancialStatement],"")</f>
        <v>Income Statement</v>
      </c>
      <c r="L951" s="8" t="str">
        <f>_xlfn.XLOOKUP(tblFinancials[[#This Row],[AccountKey]],tblAccounts[AccountKey],tblAccounts[AccountCategory],"")</f>
        <v>Cost of Sales</v>
      </c>
      <c r="M951" s="8" t="str">
        <f>_xlfn.XLOOKUP(tblFinancials[[#This Row],[AccountKey]],tblAccounts[AccountKey],tblAccounts[NormalBalance],"")</f>
        <v>Debit</v>
      </c>
      <c r="N951" s="8" t="str">
        <f>_xlfn.XLOOKUP(tblFinancials[[#This Row],[DepartmentKey]],tblDepartments[DepartmentKey],tblDepartments[DepartmentName],"")</f>
        <v>Sales</v>
      </c>
      <c r="O951" s="8" t="str">
        <f>_xlfn.XLOOKUP(tblFinancials[[#This Row],[BusinessUnitKey]],tblBusinessUnits[BusinessUnitKey],tblBusinessUnits[BusinessUnitName],"")</f>
        <v>Wholesale</v>
      </c>
      <c r="P951" s="8" t="str">
        <f>_xlfn.XLOOKUP(tblFinancials[[#This Row],[RegionKey]],tblRegions[RegionKey],tblRegions[RegionName],"")</f>
        <v>West</v>
      </c>
    </row>
    <row r="952" spans="1:16">
      <c r="A952">
        <v>20250301</v>
      </c>
      <c r="B952">
        <v>8</v>
      </c>
      <c r="C952">
        <v>3</v>
      </c>
      <c r="D952">
        <v>3</v>
      </c>
      <c r="E952">
        <v>14</v>
      </c>
      <c r="F952" t="s">
        <v>92</v>
      </c>
      <c r="G952">
        <v>-18149.810000000001</v>
      </c>
      <c r="H952">
        <f>_xlfn.XLOOKUP(tblFinancials[[#This Row],[DateKey]],tblCalendar[DateKey],tblCalendar[FullDate],"")</f>
        <v>45717</v>
      </c>
      <c r="I952">
        <f>_xlfn.XLOOKUP(tblFinancials[[#This Row],[AccountKey]],tblAccounts[AccountKey],tblAccounts[AccountNumber],"")</f>
        <v>5000</v>
      </c>
      <c r="J952" t="str">
        <f>_xlfn.XLOOKUP(tblFinancials[[#This Row],[AccountKey]],tblAccounts[AccountKey],tblAccounts[AccountName],"")</f>
        <v>Cost of Goods Sold</v>
      </c>
      <c r="K952" s="8" t="str">
        <f>_xlfn.XLOOKUP(tblFinancials[[#This Row],[AccountKey]],tblAccounts[AccountKey],tblAccounts[FinancialStatement],"")</f>
        <v>Income Statement</v>
      </c>
      <c r="L952" s="8" t="str">
        <f>_xlfn.XLOOKUP(tblFinancials[[#This Row],[AccountKey]],tblAccounts[AccountKey],tblAccounts[AccountCategory],"")</f>
        <v>Cost of Sales</v>
      </c>
      <c r="M952" s="8" t="str">
        <f>_xlfn.XLOOKUP(tblFinancials[[#This Row],[AccountKey]],tblAccounts[AccountKey],tblAccounts[NormalBalance],"")</f>
        <v>Debit</v>
      </c>
      <c r="N952" s="8" t="str">
        <f>_xlfn.XLOOKUP(tblFinancials[[#This Row],[DepartmentKey]],tblDepartments[DepartmentKey],tblDepartments[DepartmentName],"")</f>
        <v>Customer Service</v>
      </c>
      <c r="O952" s="8" t="str">
        <f>_xlfn.XLOOKUP(tblFinancials[[#This Row],[BusinessUnitKey]],tblBusinessUnits[BusinessUnitKey],tblBusinessUnits[BusinessUnitName],"")</f>
        <v>Retail</v>
      </c>
      <c r="P952" s="8" t="str">
        <f>_xlfn.XLOOKUP(tblFinancials[[#This Row],[RegionKey]],tblRegions[RegionKey],tblRegions[RegionName],"")</f>
        <v>South</v>
      </c>
    </row>
    <row r="953" spans="1:16">
      <c r="A953">
        <v>20250301</v>
      </c>
      <c r="B953">
        <v>3</v>
      </c>
      <c r="C953">
        <v>1</v>
      </c>
      <c r="D953">
        <v>4</v>
      </c>
      <c r="E953">
        <v>14</v>
      </c>
      <c r="F953" t="s">
        <v>92</v>
      </c>
      <c r="G953">
        <v>-19183.009999999998</v>
      </c>
      <c r="H953">
        <f>_xlfn.XLOOKUP(tblFinancials[[#This Row],[DateKey]],tblCalendar[DateKey],tblCalendar[FullDate],"")</f>
        <v>45717</v>
      </c>
      <c r="I953">
        <f>_xlfn.XLOOKUP(tblFinancials[[#This Row],[AccountKey]],tblAccounts[AccountKey],tblAccounts[AccountNumber],"")</f>
        <v>5000</v>
      </c>
      <c r="J953" t="str">
        <f>_xlfn.XLOOKUP(tblFinancials[[#This Row],[AccountKey]],tblAccounts[AccountKey],tblAccounts[AccountName],"")</f>
        <v>Cost of Goods Sold</v>
      </c>
      <c r="K953" s="8" t="str">
        <f>_xlfn.XLOOKUP(tblFinancials[[#This Row],[AccountKey]],tblAccounts[AccountKey],tblAccounts[FinancialStatement],"")</f>
        <v>Income Statement</v>
      </c>
      <c r="L953" s="8" t="str">
        <f>_xlfn.XLOOKUP(tblFinancials[[#This Row],[AccountKey]],tblAccounts[AccountKey],tblAccounts[AccountCategory],"")</f>
        <v>Cost of Sales</v>
      </c>
      <c r="M953" s="8" t="str">
        <f>_xlfn.XLOOKUP(tblFinancials[[#This Row],[AccountKey]],tblAccounts[AccountKey],tblAccounts[NormalBalance],"")</f>
        <v>Debit</v>
      </c>
      <c r="N953" s="8" t="str">
        <f>_xlfn.XLOOKUP(tblFinancials[[#This Row],[DepartmentKey]],tblDepartments[DepartmentKey],tblDepartments[DepartmentName],"")</f>
        <v>Human Resources</v>
      </c>
      <c r="O953" s="8" t="str">
        <f>_xlfn.XLOOKUP(tblFinancials[[#This Row],[BusinessUnitKey]],tblBusinessUnits[BusinessUnitKey],tblBusinessUnits[BusinessUnitName],"")</f>
        <v xml:space="preserve">Manufacturing </v>
      </c>
      <c r="P953" s="8" t="str">
        <f>_xlfn.XLOOKUP(tblFinancials[[#This Row],[RegionKey]],tblRegions[RegionKey],tblRegions[RegionName],"")</f>
        <v>East</v>
      </c>
    </row>
    <row r="954" spans="1:16">
      <c r="A954">
        <v>20250301</v>
      </c>
      <c r="B954">
        <v>5</v>
      </c>
      <c r="C954">
        <v>3</v>
      </c>
      <c r="D954">
        <v>1</v>
      </c>
      <c r="E954">
        <v>14</v>
      </c>
      <c r="F954" t="s">
        <v>92</v>
      </c>
      <c r="G954">
        <v>-17951.439999999999</v>
      </c>
      <c r="H954">
        <f>_xlfn.XLOOKUP(tblFinancials[[#This Row],[DateKey]],tblCalendar[DateKey],tblCalendar[FullDate],"")</f>
        <v>45717</v>
      </c>
      <c r="I954">
        <f>_xlfn.XLOOKUP(tblFinancials[[#This Row],[AccountKey]],tblAccounts[AccountKey],tblAccounts[AccountNumber],"")</f>
        <v>5000</v>
      </c>
      <c r="J954" t="str">
        <f>_xlfn.XLOOKUP(tblFinancials[[#This Row],[AccountKey]],tblAccounts[AccountKey],tblAccounts[AccountName],"")</f>
        <v>Cost of Goods Sold</v>
      </c>
      <c r="K954" s="8" t="str">
        <f>_xlfn.XLOOKUP(tblFinancials[[#This Row],[AccountKey]],tblAccounts[AccountKey],tblAccounts[FinancialStatement],"")</f>
        <v>Income Statement</v>
      </c>
      <c r="L954" s="8" t="str">
        <f>_xlfn.XLOOKUP(tblFinancials[[#This Row],[AccountKey]],tblAccounts[AccountKey],tblAccounts[AccountCategory],"")</f>
        <v>Cost of Sales</v>
      </c>
      <c r="M954" s="8" t="str">
        <f>_xlfn.XLOOKUP(tblFinancials[[#This Row],[AccountKey]],tblAccounts[AccountKey],tblAccounts[NormalBalance],"")</f>
        <v>Debit</v>
      </c>
      <c r="N954" s="8" t="str">
        <f>_xlfn.XLOOKUP(tblFinancials[[#This Row],[DepartmentKey]],tblDepartments[DepartmentKey],tblDepartments[DepartmentName],"")</f>
        <v>Marketing</v>
      </c>
      <c r="O954" s="8" t="str">
        <f>_xlfn.XLOOKUP(tblFinancials[[#This Row],[BusinessUnitKey]],tblBusinessUnits[BusinessUnitKey],tblBusinessUnits[BusinessUnitName],"")</f>
        <v>Retail</v>
      </c>
      <c r="P954" s="8" t="str">
        <f>_xlfn.XLOOKUP(tblFinancials[[#This Row],[RegionKey]],tblRegions[RegionKey],tblRegions[RegionName],"")</f>
        <v>West</v>
      </c>
    </row>
    <row r="955" spans="1:16">
      <c r="A955">
        <v>20250301</v>
      </c>
      <c r="B955">
        <v>2</v>
      </c>
      <c r="C955">
        <v>1</v>
      </c>
      <c r="D955">
        <v>1</v>
      </c>
      <c r="E955">
        <v>14</v>
      </c>
      <c r="F955" t="s">
        <v>92</v>
      </c>
      <c r="G955">
        <v>-17399.32</v>
      </c>
      <c r="H955">
        <f>_xlfn.XLOOKUP(tblFinancials[[#This Row],[DateKey]],tblCalendar[DateKey],tblCalendar[FullDate],"")</f>
        <v>45717</v>
      </c>
      <c r="I955">
        <f>_xlfn.XLOOKUP(tblFinancials[[#This Row],[AccountKey]],tblAccounts[AccountKey],tblAccounts[AccountNumber],"")</f>
        <v>5000</v>
      </c>
      <c r="J955" t="str">
        <f>_xlfn.XLOOKUP(tblFinancials[[#This Row],[AccountKey]],tblAccounts[AccountKey],tblAccounts[AccountName],"")</f>
        <v>Cost of Goods Sold</v>
      </c>
      <c r="K955" s="8" t="str">
        <f>_xlfn.XLOOKUP(tblFinancials[[#This Row],[AccountKey]],tblAccounts[AccountKey],tblAccounts[FinancialStatement],"")</f>
        <v>Income Statement</v>
      </c>
      <c r="L955" s="8" t="str">
        <f>_xlfn.XLOOKUP(tblFinancials[[#This Row],[AccountKey]],tblAccounts[AccountKey],tblAccounts[AccountCategory],"")</f>
        <v>Cost of Sales</v>
      </c>
      <c r="M955" s="8" t="str">
        <f>_xlfn.XLOOKUP(tblFinancials[[#This Row],[AccountKey]],tblAccounts[AccountKey],tblAccounts[NormalBalance],"")</f>
        <v>Debit</v>
      </c>
      <c r="N955" s="8" t="str">
        <f>_xlfn.XLOOKUP(tblFinancials[[#This Row],[DepartmentKey]],tblDepartments[DepartmentKey],tblDepartments[DepartmentName],"")</f>
        <v>Finance</v>
      </c>
      <c r="O955" s="8" t="str">
        <f>_xlfn.XLOOKUP(tblFinancials[[#This Row],[BusinessUnitKey]],tblBusinessUnits[BusinessUnitKey],tblBusinessUnits[BusinessUnitName],"")</f>
        <v xml:space="preserve">Manufacturing </v>
      </c>
      <c r="P955" s="8" t="str">
        <f>_xlfn.XLOOKUP(tblFinancials[[#This Row],[RegionKey]],tblRegions[RegionKey],tblRegions[RegionName],"")</f>
        <v>West</v>
      </c>
    </row>
    <row r="956" spans="1:16">
      <c r="A956">
        <v>20250301</v>
      </c>
      <c r="B956">
        <v>2</v>
      </c>
      <c r="C956">
        <v>1</v>
      </c>
      <c r="D956">
        <v>1</v>
      </c>
      <c r="E956">
        <v>14</v>
      </c>
      <c r="F956" t="s">
        <v>92</v>
      </c>
      <c r="G956">
        <v>-19198.27</v>
      </c>
      <c r="H956">
        <f>_xlfn.XLOOKUP(tblFinancials[[#This Row],[DateKey]],tblCalendar[DateKey],tblCalendar[FullDate],"")</f>
        <v>45717</v>
      </c>
      <c r="I956">
        <f>_xlfn.XLOOKUP(tblFinancials[[#This Row],[AccountKey]],tblAccounts[AccountKey],tblAccounts[AccountNumber],"")</f>
        <v>5000</v>
      </c>
      <c r="J956" t="str">
        <f>_xlfn.XLOOKUP(tblFinancials[[#This Row],[AccountKey]],tblAccounts[AccountKey],tblAccounts[AccountName],"")</f>
        <v>Cost of Goods Sold</v>
      </c>
      <c r="K956" s="8" t="str">
        <f>_xlfn.XLOOKUP(tblFinancials[[#This Row],[AccountKey]],tblAccounts[AccountKey],tblAccounts[FinancialStatement],"")</f>
        <v>Income Statement</v>
      </c>
      <c r="L956" s="8" t="str">
        <f>_xlfn.XLOOKUP(tblFinancials[[#This Row],[AccountKey]],tblAccounts[AccountKey],tblAccounts[AccountCategory],"")</f>
        <v>Cost of Sales</v>
      </c>
      <c r="M956" s="8" t="str">
        <f>_xlfn.XLOOKUP(tblFinancials[[#This Row],[AccountKey]],tblAccounts[AccountKey],tblAccounts[NormalBalance],"")</f>
        <v>Debit</v>
      </c>
      <c r="N956" s="8" t="str">
        <f>_xlfn.XLOOKUP(tblFinancials[[#This Row],[DepartmentKey]],tblDepartments[DepartmentKey],tblDepartments[DepartmentName],"")</f>
        <v>Finance</v>
      </c>
      <c r="O956" s="8" t="str">
        <f>_xlfn.XLOOKUP(tblFinancials[[#This Row],[BusinessUnitKey]],tblBusinessUnits[BusinessUnitKey],tblBusinessUnits[BusinessUnitName],"")</f>
        <v xml:space="preserve">Manufacturing </v>
      </c>
      <c r="P956" s="8" t="str">
        <f>_xlfn.XLOOKUP(tblFinancials[[#This Row],[RegionKey]],tblRegions[RegionKey],tblRegions[RegionName],"")</f>
        <v>West</v>
      </c>
    </row>
    <row r="957" spans="1:16">
      <c r="A957">
        <v>20250301</v>
      </c>
      <c r="B957">
        <v>3</v>
      </c>
      <c r="C957">
        <v>1</v>
      </c>
      <c r="D957">
        <v>3</v>
      </c>
      <c r="E957">
        <v>14</v>
      </c>
      <c r="F957" t="s">
        <v>92</v>
      </c>
      <c r="G957">
        <v>-18463.32</v>
      </c>
      <c r="H957">
        <f>_xlfn.XLOOKUP(tblFinancials[[#This Row],[DateKey]],tblCalendar[DateKey],tblCalendar[FullDate],"")</f>
        <v>45717</v>
      </c>
      <c r="I957">
        <f>_xlfn.XLOOKUP(tblFinancials[[#This Row],[AccountKey]],tblAccounts[AccountKey],tblAccounts[AccountNumber],"")</f>
        <v>5000</v>
      </c>
      <c r="J957" t="str">
        <f>_xlfn.XLOOKUP(tblFinancials[[#This Row],[AccountKey]],tblAccounts[AccountKey],tblAccounts[AccountName],"")</f>
        <v>Cost of Goods Sold</v>
      </c>
      <c r="K957" s="8" t="str">
        <f>_xlfn.XLOOKUP(tblFinancials[[#This Row],[AccountKey]],tblAccounts[AccountKey],tblAccounts[FinancialStatement],"")</f>
        <v>Income Statement</v>
      </c>
      <c r="L957" s="8" t="str">
        <f>_xlfn.XLOOKUP(tblFinancials[[#This Row],[AccountKey]],tblAccounts[AccountKey],tblAccounts[AccountCategory],"")</f>
        <v>Cost of Sales</v>
      </c>
      <c r="M957" s="8" t="str">
        <f>_xlfn.XLOOKUP(tblFinancials[[#This Row],[AccountKey]],tblAccounts[AccountKey],tblAccounts[NormalBalance],"")</f>
        <v>Debit</v>
      </c>
      <c r="N957" s="8" t="str">
        <f>_xlfn.XLOOKUP(tblFinancials[[#This Row],[DepartmentKey]],tblDepartments[DepartmentKey],tblDepartments[DepartmentName],"")</f>
        <v>Human Resources</v>
      </c>
      <c r="O957" s="8" t="str">
        <f>_xlfn.XLOOKUP(tblFinancials[[#This Row],[BusinessUnitKey]],tblBusinessUnits[BusinessUnitKey],tblBusinessUnits[BusinessUnitName],"")</f>
        <v xml:space="preserve">Manufacturing </v>
      </c>
      <c r="P957" s="8" t="str">
        <f>_xlfn.XLOOKUP(tblFinancials[[#This Row],[RegionKey]],tblRegions[RegionKey],tblRegions[RegionName],"")</f>
        <v>South</v>
      </c>
    </row>
    <row r="958" spans="1:16">
      <c r="A958">
        <v>20250301</v>
      </c>
      <c r="B958">
        <v>8</v>
      </c>
      <c r="C958">
        <v>2</v>
      </c>
      <c r="D958">
        <v>2</v>
      </c>
      <c r="E958">
        <v>14</v>
      </c>
      <c r="F958" t="s">
        <v>92</v>
      </c>
      <c r="G958">
        <v>-18733.07</v>
      </c>
      <c r="H958">
        <f>_xlfn.XLOOKUP(tblFinancials[[#This Row],[DateKey]],tblCalendar[DateKey],tblCalendar[FullDate],"")</f>
        <v>45717</v>
      </c>
      <c r="I958">
        <f>_xlfn.XLOOKUP(tblFinancials[[#This Row],[AccountKey]],tblAccounts[AccountKey],tblAccounts[AccountNumber],"")</f>
        <v>5000</v>
      </c>
      <c r="J958" t="str">
        <f>_xlfn.XLOOKUP(tblFinancials[[#This Row],[AccountKey]],tblAccounts[AccountKey],tblAccounts[AccountName],"")</f>
        <v>Cost of Goods Sold</v>
      </c>
      <c r="K958" s="8" t="str">
        <f>_xlfn.XLOOKUP(tblFinancials[[#This Row],[AccountKey]],tblAccounts[AccountKey],tblAccounts[FinancialStatement],"")</f>
        <v>Income Statement</v>
      </c>
      <c r="L958" s="8" t="str">
        <f>_xlfn.XLOOKUP(tblFinancials[[#This Row],[AccountKey]],tblAccounts[AccountKey],tblAccounts[AccountCategory],"")</f>
        <v>Cost of Sales</v>
      </c>
      <c r="M958" s="8" t="str">
        <f>_xlfn.XLOOKUP(tblFinancials[[#This Row],[AccountKey]],tblAccounts[AccountKey],tblAccounts[NormalBalance],"")</f>
        <v>Debit</v>
      </c>
      <c r="N958" s="8" t="str">
        <f>_xlfn.XLOOKUP(tblFinancials[[#This Row],[DepartmentKey]],tblDepartments[DepartmentKey],tblDepartments[DepartmentName],"")</f>
        <v>Customer Service</v>
      </c>
      <c r="O958" s="8" t="str">
        <f>_xlfn.XLOOKUP(tblFinancials[[#This Row],[BusinessUnitKey]],tblBusinessUnits[BusinessUnitKey],tblBusinessUnits[BusinessUnitName],"")</f>
        <v>Wholesale</v>
      </c>
      <c r="P958" s="8" t="str">
        <f>_xlfn.XLOOKUP(tblFinancials[[#This Row],[RegionKey]],tblRegions[RegionKey],tblRegions[RegionName],"")</f>
        <v>Midwest</v>
      </c>
    </row>
    <row r="959" spans="1:16">
      <c r="A959">
        <v>20250301</v>
      </c>
      <c r="B959">
        <v>2</v>
      </c>
      <c r="C959">
        <v>2</v>
      </c>
      <c r="D959">
        <v>3</v>
      </c>
      <c r="E959">
        <v>14</v>
      </c>
      <c r="F959" t="s">
        <v>92</v>
      </c>
      <c r="G959">
        <v>-19306.349999999999</v>
      </c>
      <c r="H959">
        <f>_xlfn.XLOOKUP(tblFinancials[[#This Row],[DateKey]],tblCalendar[DateKey],tblCalendar[FullDate],"")</f>
        <v>45717</v>
      </c>
      <c r="I959">
        <f>_xlfn.XLOOKUP(tblFinancials[[#This Row],[AccountKey]],tblAccounts[AccountKey],tblAccounts[AccountNumber],"")</f>
        <v>5000</v>
      </c>
      <c r="J959" t="str">
        <f>_xlfn.XLOOKUP(tblFinancials[[#This Row],[AccountKey]],tblAccounts[AccountKey],tblAccounts[AccountName],"")</f>
        <v>Cost of Goods Sold</v>
      </c>
      <c r="K959" s="8" t="str">
        <f>_xlfn.XLOOKUP(tblFinancials[[#This Row],[AccountKey]],tblAccounts[AccountKey],tblAccounts[FinancialStatement],"")</f>
        <v>Income Statement</v>
      </c>
      <c r="L959" s="8" t="str">
        <f>_xlfn.XLOOKUP(tblFinancials[[#This Row],[AccountKey]],tblAccounts[AccountKey],tblAccounts[AccountCategory],"")</f>
        <v>Cost of Sales</v>
      </c>
      <c r="M959" s="8" t="str">
        <f>_xlfn.XLOOKUP(tblFinancials[[#This Row],[AccountKey]],tblAccounts[AccountKey],tblAccounts[NormalBalance],"")</f>
        <v>Debit</v>
      </c>
      <c r="N959" s="8" t="str">
        <f>_xlfn.XLOOKUP(tblFinancials[[#This Row],[DepartmentKey]],tblDepartments[DepartmentKey],tblDepartments[DepartmentName],"")</f>
        <v>Finance</v>
      </c>
      <c r="O959" s="8" t="str">
        <f>_xlfn.XLOOKUP(tblFinancials[[#This Row],[BusinessUnitKey]],tblBusinessUnits[BusinessUnitKey],tblBusinessUnits[BusinessUnitName],"")</f>
        <v>Wholesale</v>
      </c>
      <c r="P959" s="8" t="str">
        <f>_xlfn.XLOOKUP(tblFinancials[[#This Row],[RegionKey]],tblRegions[RegionKey],tblRegions[RegionName],"")</f>
        <v>South</v>
      </c>
    </row>
    <row r="960" spans="1:16">
      <c r="A960">
        <v>20250301</v>
      </c>
      <c r="B960">
        <v>4</v>
      </c>
      <c r="C960">
        <v>1</v>
      </c>
      <c r="D960">
        <v>1</v>
      </c>
      <c r="E960">
        <v>14</v>
      </c>
      <c r="F960" t="s">
        <v>92</v>
      </c>
      <c r="G960">
        <v>-17390.23</v>
      </c>
      <c r="H960">
        <f>_xlfn.XLOOKUP(tblFinancials[[#This Row],[DateKey]],tblCalendar[DateKey],tblCalendar[FullDate],"")</f>
        <v>45717</v>
      </c>
      <c r="I960">
        <f>_xlfn.XLOOKUP(tblFinancials[[#This Row],[AccountKey]],tblAccounts[AccountKey],tblAccounts[AccountNumber],"")</f>
        <v>5000</v>
      </c>
      <c r="J960" t="str">
        <f>_xlfn.XLOOKUP(tblFinancials[[#This Row],[AccountKey]],tblAccounts[AccountKey],tblAccounts[AccountName],"")</f>
        <v>Cost of Goods Sold</v>
      </c>
      <c r="K960" s="8" t="str">
        <f>_xlfn.XLOOKUP(tblFinancials[[#This Row],[AccountKey]],tblAccounts[AccountKey],tblAccounts[FinancialStatement],"")</f>
        <v>Income Statement</v>
      </c>
      <c r="L960" s="8" t="str">
        <f>_xlfn.XLOOKUP(tblFinancials[[#This Row],[AccountKey]],tblAccounts[AccountKey],tblAccounts[AccountCategory],"")</f>
        <v>Cost of Sales</v>
      </c>
      <c r="M960" s="8" t="str">
        <f>_xlfn.XLOOKUP(tblFinancials[[#This Row],[AccountKey]],tblAccounts[AccountKey],tblAccounts[NormalBalance],"")</f>
        <v>Debit</v>
      </c>
      <c r="N960" s="8" t="str">
        <f>_xlfn.XLOOKUP(tblFinancials[[#This Row],[DepartmentKey]],tblDepartments[DepartmentKey],tblDepartments[DepartmentName],"")</f>
        <v>Sales</v>
      </c>
      <c r="O960" s="8" t="str">
        <f>_xlfn.XLOOKUP(tblFinancials[[#This Row],[BusinessUnitKey]],tblBusinessUnits[BusinessUnitKey],tblBusinessUnits[BusinessUnitName],"")</f>
        <v xml:space="preserve">Manufacturing </v>
      </c>
      <c r="P960" s="8" t="str">
        <f>_xlfn.XLOOKUP(tblFinancials[[#This Row],[RegionKey]],tblRegions[RegionKey],tblRegions[RegionName],"")</f>
        <v>West</v>
      </c>
    </row>
    <row r="961" spans="1:16">
      <c r="A961">
        <v>20250301</v>
      </c>
      <c r="B961">
        <v>8</v>
      </c>
      <c r="C961">
        <v>1</v>
      </c>
      <c r="D961">
        <v>1</v>
      </c>
      <c r="E961">
        <v>14</v>
      </c>
      <c r="F961" t="s">
        <v>92</v>
      </c>
      <c r="G961">
        <v>-16077.87</v>
      </c>
      <c r="H961">
        <f>_xlfn.XLOOKUP(tblFinancials[[#This Row],[DateKey]],tblCalendar[DateKey],tblCalendar[FullDate],"")</f>
        <v>45717</v>
      </c>
      <c r="I961">
        <f>_xlfn.XLOOKUP(tblFinancials[[#This Row],[AccountKey]],tblAccounts[AccountKey],tblAccounts[AccountNumber],"")</f>
        <v>5000</v>
      </c>
      <c r="J961" t="str">
        <f>_xlfn.XLOOKUP(tblFinancials[[#This Row],[AccountKey]],tblAccounts[AccountKey],tblAccounts[AccountName],"")</f>
        <v>Cost of Goods Sold</v>
      </c>
      <c r="K961" s="8" t="str">
        <f>_xlfn.XLOOKUP(tblFinancials[[#This Row],[AccountKey]],tblAccounts[AccountKey],tblAccounts[FinancialStatement],"")</f>
        <v>Income Statement</v>
      </c>
      <c r="L961" s="8" t="str">
        <f>_xlfn.XLOOKUP(tblFinancials[[#This Row],[AccountKey]],tblAccounts[AccountKey],tblAccounts[AccountCategory],"")</f>
        <v>Cost of Sales</v>
      </c>
      <c r="M961" s="8" t="str">
        <f>_xlfn.XLOOKUP(tblFinancials[[#This Row],[AccountKey]],tblAccounts[AccountKey],tblAccounts[NormalBalance],"")</f>
        <v>Debit</v>
      </c>
      <c r="N961" s="8" t="str">
        <f>_xlfn.XLOOKUP(tblFinancials[[#This Row],[DepartmentKey]],tblDepartments[DepartmentKey],tblDepartments[DepartmentName],"")</f>
        <v>Customer Service</v>
      </c>
      <c r="O961" s="8" t="str">
        <f>_xlfn.XLOOKUP(tblFinancials[[#This Row],[BusinessUnitKey]],tblBusinessUnits[BusinessUnitKey],tblBusinessUnits[BusinessUnitName],"")</f>
        <v xml:space="preserve">Manufacturing </v>
      </c>
      <c r="P961" s="8" t="str">
        <f>_xlfn.XLOOKUP(tblFinancials[[#This Row],[RegionKey]],tblRegions[RegionKey],tblRegions[RegionName],"")</f>
        <v>West</v>
      </c>
    </row>
    <row r="962" spans="1:16">
      <c r="A962">
        <v>20250301</v>
      </c>
      <c r="B962">
        <v>7</v>
      </c>
      <c r="C962">
        <v>1</v>
      </c>
      <c r="D962">
        <v>2</v>
      </c>
      <c r="E962">
        <v>16</v>
      </c>
      <c r="F962" t="s">
        <v>92</v>
      </c>
      <c r="G962">
        <v>-8186.39</v>
      </c>
      <c r="H962">
        <f>_xlfn.XLOOKUP(tblFinancials[[#This Row],[DateKey]],tblCalendar[DateKey],tblCalendar[FullDate],"")</f>
        <v>45717</v>
      </c>
      <c r="I962">
        <f>_xlfn.XLOOKUP(tblFinancials[[#This Row],[AccountKey]],tblAccounts[AccountKey],tblAccounts[AccountNumber],"")</f>
        <v>6110</v>
      </c>
      <c r="J962" t="str">
        <f>_xlfn.XLOOKUP(tblFinancials[[#This Row],[AccountKey]],tblAccounts[AccountKey],tblAccounts[AccountName],"")</f>
        <v>Payroll Taxes</v>
      </c>
      <c r="K962" s="8" t="str">
        <f>_xlfn.XLOOKUP(tblFinancials[[#This Row],[AccountKey]],tblAccounts[AccountKey],tblAccounts[FinancialStatement],"")</f>
        <v>Income Statement</v>
      </c>
      <c r="L962" s="8" t="str">
        <f>_xlfn.XLOOKUP(tblFinancials[[#This Row],[AccountKey]],tblAccounts[AccountKey],tblAccounts[AccountCategory],"")</f>
        <v>Operating Expense</v>
      </c>
      <c r="M962" s="8" t="str">
        <f>_xlfn.XLOOKUP(tblFinancials[[#This Row],[AccountKey]],tblAccounts[AccountKey],tblAccounts[NormalBalance],"")</f>
        <v>Debit</v>
      </c>
      <c r="N962" s="8" t="str">
        <f>_xlfn.XLOOKUP(tblFinancials[[#This Row],[DepartmentKey]],tblDepartments[DepartmentKey],tblDepartments[DepartmentName],"")</f>
        <v>Information Technology</v>
      </c>
      <c r="O962" s="8" t="str">
        <f>_xlfn.XLOOKUP(tblFinancials[[#This Row],[BusinessUnitKey]],tblBusinessUnits[BusinessUnitKey],tblBusinessUnits[BusinessUnitName],"")</f>
        <v xml:space="preserve">Manufacturing </v>
      </c>
      <c r="P962" s="8" t="str">
        <f>_xlfn.XLOOKUP(tblFinancials[[#This Row],[RegionKey]],tblRegions[RegionKey],tblRegions[RegionName],"")</f>
        <v>Midwest</v>
      </c>
    </row>
    <row r="963" spans="1:16">
      <c r="A963">
        <v>20250301</v>
      </c>
      <c r="B963">
        <v>2</v>
      </c>
      <c r="C963">
        <v>1</v>
      </c>
      <c r="D963">
        <v>4</v>
      </c>
      <c r="E963">
        <v>22</v>
      </c>
      <c r="F963" t="s">
        <v>92</v>
      </c>
      <c r="G963">
        <v>-7999.27</v>
      </c>
      <c r="H963">
        <f>_xlfn.XLOOKUP(tblFinancials[[#This Row],[DateKey]],tblCalendar[DateKey],tblCalendar[FullDate],"")</f>
        <v>45717</v>
      </c>
      <c r="I963">
        <f>_xlfn.XLOOKUP(tblFinancials[[#This Row],[AccountKey]],tblAccounts[AccountKey],tblAccounts[AccountNumber],"")</f>
        <v>6700</v>
      </c>
      <c r="J963" t="str">
        <f>_xlfn.XLOOKUP(tblFinancials[[#This Row],[AccountKey]],tblAccounts[AccountKey],tblAccounts[AccountName],"")</f>
        <v>Insurance Expense</v>
      </c>
      <c r="K963" s="8" t="str">
        <f>_xlfn.XLOOKUP(tblFinancials[[#This Row],[AccountKey]],tblAccounts[AccountKey],tblAccounts[FinancialStatement],"")</f>
        <v>Income Statement</v>
      </c>
      <c r="L963" s="8" t="str">
        <f>_xlfn.XLOOKUP(tblFinancials[[#This Row],[AccountKey]],tblAccounts[AccountKey],tblAccounts[AccountCategory],"")</f>
        <v>Operating Expense</v>
      </c>
      <c r="M963" s="8" t="str">
        <f>_xlfn.XLOOKUP(tblFinancials[[#This Row],[AccountKey]],tblAccounts[AccountKey],tblAccounts[NormalBalance],"")</f>
        <v>Debit</v>
      </c>
      <c r="N963" s="8" t="str">
        <f>_xlfn.XLOOKUP(tblFinancials[[#This Row],[DepartmentKey]],tblDepartments[DepartmentKey],tblDepartments[DepartmentName],"")</f>
        <v>Finance</v>
      </c>
      <c r="O963" s="8" t="str">
        <f>_xlfn.XLOOKUP(tblFinancials[[#This Row],[BusinessUnitKey]],tblBusinessUnits[BusinessUnitKey],tblBusinessUnits[BusinessUnitName],"")</f>
        <v xml:space="preserve">Manufacturing </v>
      </c>
      <c r="P963" s="8" t="str">
        <f>_xlfn.XLOOKUP(tblFinancials[[#This Row],[RegionKey]],tblRegions[RegionKey],tblRegions[RegionName],"")</f>
        <v>East</v>
      </c>
    </row>
    <row r="964" spans="1:16">
      <c r="A964">
        <v>20250301</v>
      </c>
      <c r="B964">
        <v>8</v>
      </c>
      <c r="C964">
        <v>4</v>
      </c>
      <c r="D964">
        <v>1</v>
      </c>
      <c r="E964">
        <v>23</v>
      </c>
      <c r="F964" t="s">
        <v>92</v>
      </c>
      <c r="G964">
        <v>-6442.02</v>
      </c>
      <c r="H964">
        <f>_xlfn.XLOOKUP(tblFinancials[[#This Row],[DateKey]],tblCalendar[DateKey],tblCalendar[FullDate],"")</f>
        <v>45717</v>
      </c>
      <c r="I964">
        <f>_xlfn.XLOOKUP(tblFinancials[[#This Row],[AccountKey]],tblAccounts[AccountKey],tblAccounts[AccountNumber],"")</f>
        <v>6800</v>
      </c>
      <c r="J964" t="str">
        <f>_xlfn.XLOOKUP(tblFinancials[[#This Row],[AccountKey]],tblAccounts[AccountKey],tblAccounts[AccountName],"")</f>
        <v>Travel Expense</v>
      </c>
      <c r="K964" s="8" t="str">
        <f>_xlfn.XLOOKUP(tblFinancials[[#This Row],[AccountKey]],tblAccounts[AccountKey],tblAccounts[FinancialStatement],"")</f>
        <v>Income Statement</v>
      </c>
      <c r="L964" s="8" t="str">
        <f>_xlfn.XLOOKUP(tblFinancials[[#This Row],[AccountKey]],tblAccounts[AccountKey],tblAccounts[AccountCategory],"")</f>
        <v>Operating Expense</v>
      </c>
      <c r="M964" s="8" t="str">
        <f>_xlfn.XLOOKUP(tblFinancials[[#This Row],[AccountKey]],tblAccounts[AccountKey],tblAccounts[NormalBalance],"")</f>
        <v>Debit</v>
      </c>
      <c r="N964" s="8" t="str">
        <f>_xlfn.XLOOKUP(tblFinancials[[#This Row],[DepartmentKey]],tblDepartments[DepartmentKey],tblDepartments[DepartmentName],"")</f>
        <v>Customer Service</v>
      </c>
      <c r="O964" s="8" t="str">
        <f>_xlfn.XLOOKUP(tblFinancials[[#This Row],[BusinessUnitKey]],tblBusinessUnits[BusinessUnitKey],tblBusinessUnits[BusinessUnitName],"")</f>
        <v>E-Commerce</v>
      </c>
      <c r="P964" s="8" t="str">
        <f>_xlfn.XLOOKUP(tblFinancials[[#This Row],[RegionKey]],tblRegions[RegionKey],tblRegions[RegionName],"")</f>
        <v>West</v>
      </c>
    </row>
    <row r="965" spans="1:16">
      <c r="A965">
        <v>20250301</v>
      </c>
      <c r="B965">
        <v>7</v>
      </c>
      <c r="C965">
        <v>1</v>
      </c>
      <c r="D965">
        <v>4</v>
      </c>
      <c r="E965">
        <v>19</v>
      </c>
      <c r="F965" t="s">
        <v>92</v>
      </c>
      <c r="G965">
        <v>-7654.17</v>
      </c>
      <c r="H965">
        <f>_xlfn.XLOOKUP(tblFinancials[[#This Row],[DateKey]],tblCalendar[DateKey],tblCalendar[FullDate],"")</f>
        <v>45717</v>
      </c>
      <c r="I965">
        <f>_xlfn.XLOOKUP(tblFinancials[[#This Row],[AccountKey]],tblAccounts[AccountKey],tblAccounts[AccountNumber],"")</f>
        <v>6300</v>
      </c>
      <c r="J965" t="str">
        <f>_xlfn.XLOOKUP(tblFinancials[[#This Row],[AccountKey]],tblAccounts[AccountKey],tblAccounts[AccountName],"")</f>
        <v>Software Expense</v>
      </c>
      <c r="K965" s="8" t="str">
        <f>_xlfn.XLOOKUP(tblFinancials[[#This Row],[AccountKey]],tblAccounts[AccountKey],tblAccounts[FinancialStatement],"")</f>
        <v>Income Statement</v>
      </c>
      <c r="L965" s="8" t="str">
        <f>_xlfn.XLOOKUP(tblFinancials[[#This Row],[AccountKey]],tblAccounts[AccountKey],tblAccounts[AccountCategory],"")</f>
        <v>Operating Expense</v>
      </c>
      <c r="M965" s="8" t="str">
        <f>_xlfn.XLOOKUP(tblFinancials[[#This Row],[AccountKey]],tblAccounts[AccountKey],tblAccounts[NormalBalance],"")</f>
        <v>Debit</v>
      </c>
      <c r="N965" s="8" t="str">
        <f>_xlfn.XLOOKUP(tblFinancials[[#This Row],[DepartmentKey]],tblDepartments[DepartmentKey],tblDepartments[DepartmentName],"")</f>
        <v>Information Technology</v>
      </c>
      <c r="O965" s="8" t="str">
        <f>_xlfn.XLOOKUP(tblFinancials[[#This Row],[BusinessUnitKey]],tblBusinessUnits[BusinessUnitKey],tblBusinessUnits[BusinessUnitName],"")</f>
        <v xml:space="preserve">Manufacturing </v>
      </c>
      <c r="P965" s="8" t="str">
        <f>_xlfn.XLOOKUP(tblFinancials[[#This Row],[RegionKey]],tblRegions[RegionKey],tblRegions[RegionName],"")</f>
        <v>East</v>
      </c>
    </row>
    <row r="966" spans="1:16">
      <c r="A966">
        <v>20250301</v>
      </c>
      <c r="B966">
        <v>5</v>
      </c>
      <c r="C966">
        <v>2</v>
      </c>
      <c r="D966">
        <v>1</v>
      </c>
      <c r="E966">
        <v>20</v>
      </c>
      <c r="F966" t="s">
        <v>92</v>
      </c>
      <c r="G966">
        <v>-7646.69</v>
      </c>
      <c r="H966">
        <f>_xlfn.XLOOKUP(tblFinancials[[#This Row],[DateKey]],tblCalendar[DateKey],tblCalendar[FullDate],"")</f>
        <v>45717</v>
      </c>
      <c r="I966">
        <f>_xlfn.XLOOKUP(tblFinancials[[#This Row],[AccountKey]],tblAccounts[AccountKey],tblAccounts[AccountNumber],"")</f>
        <v>6500</v>
      </c>
      <c r="J966" t="str">
        <f>_xlfn.XLOOKUP(tblFinancials[[#This Row],[AccountKey]],tblAccounts[AccountKey],tblAccounts[AccountName],"")</f>
        <v>Rent Expense</v>
      </c>
      <c r="K966" s="8" t="str">
        <f>_xlfn.XLOOKUP(tblFinancials[[#This Row],[AccountKey]],tblAccounts[AccountKey],tblAccounts[FinancialStatement],"")</f>
        <v>Income Statement</v>
      </c>
      <c r="L966" s="8" t="str">
        <f>_xlfn.XLOOKUP(tblFinancials[[#This Row],[AccountKey]],tblAccounts[AccountKey],tblAccounts[AccountCategory],"")</f>
        <v>Operating Expense</v>
      </c>
      <c r="M966" s="8" t="str">
        <f>_xlfn.XLOOKUP(tblFinancials[[#This Row],[AccountKey]],tblAccounts[AccountKey],tblAccounts[NormalBalance],"")</f>
        <v>Debit</v>
      </c>
      <c r="N966" s="8" t="str">
        <f>_xlfn.XLOOKUP(tblFinancials[[#This Row],[DepartmentKey]],tblDepartments[DepartmentKey],tblDepartments[DepartmentName],"")</f>
        <v>Marketing</v>
      </c>
      <c r="O966" s="8" t="str">
        <f>_xlfn.XLOOKUP(tblFinancials[[#This Row],[BusinessUnitKey]],tblBusinessUnits[BusinessUnitKey],tblBusinessUnits[BusinessUnitName],"")</f>
        <v>Wholesale</v>
      </c>
      <c r="P966" s="8" t="str">
        <f>_xlfn.XLOOKUP(tblFinancials[[#This Row],[RegionKey]],tblRegions[RegionKey],tblRegions[RegionName],"")</f>
        <v>West</v>
      </c>
    </row>
    <row r="967" spans="1:16">
      <c r="A967">
        <v>20250301</v>
      </c>
      <c r="B967">
        <v>8</v>
      </c>
      <c r="C967">
        <v>3</v>
      </c>
      <c r="D967">
        <v>2</v>
      </c>
      <c r="E967">
        <v>25</v>
      </c>
      <c r="F967" t="s">
        <v>92</v>
      </c>
      <c r="G967">
        <v>-6657.96</v>
      </c>
      <c r="H967">
        <f>_xlfn.XLOOKUP(tblFinancials[[#This Row],[DateKey]],tblCalendar[DateKey],tblCalendar[FullDate],"")</f>
        <v>45717</v>
      </c>
      <c r="I967">
        <f>_xlfn.XLOOKUP(tblFinancials[[#This Row],[AccountKey]],tblAccounts[AccountKey],tblAccounts[AccountNumber],"")</f>
        <v>8200</v>
      </c>
      <c r="J967" t="str">
        <f>_xlfn.XLOOKUP(tblFinancials[[#This Row],[AccountKey]],tblAccounts[AccountKey],tblAccounts[AccountName],"")</f>
        <v>Income Tax Expense</v>
      </c>
      <c r="K967" s="8" t="str">
        <f>_xlfn.XLOOKUP(tblFinancials[[#This Row],[AccountKey]],tblAccounts[AccountKey],tblAccounts[FinancialStatement],"")</f>
        <v>Income Statement</v>
      </c>
      <c r="L967" s="8" t="str">
        <f>_xlfn.XLOOKUP(tblFinancials[[#This Row],[AccountKey]],tblAccounts[AccountKey],tblAccounts[AccountCategory],"")</f>
        <v>Tax Expense</v>
      </c>
      <c r="M967" s="8" t="str">
        <f>_xlfn.XLOOKUP(tblFinancials[[#This Row],[AccountKey]],tblAccounts[AccountKey],tblAccounts[NormalBalance],"")</f>
        <v>Debit</v>
      </c>
      <c r="N967" s="8" t="str">
        <f>_xlfn.XLOOKUP(tblFinancials[[#This Row],[DepartmentKey]],tblDepartments[DepartmentKey],tblDepartments[DepartmentName],"")</f>
        <v>Customer Service</v>
      </c>
      <c r="O967" s="8" t="str">
        <f>_xlfn.XLOOKUP(tblFinancials[[#This Row],[BusinessUnitKey]],tblBusinessUnits[BusinessUnitKey],tblBusinessUnits[BusinessUnitName],"")</f>
        <v>Retail</v>
      </c>
      <c r="P967" s="8" t="str">
        <f>_xlfn.XLOOKUP(tblFinancials[[#This Row],[RegionKey]],tblRegions[RegionKey],tblRegions[RegionName],"")</f>
        <v>Midwest</v>
      </c>
    </row>
    <row r="968" spans="1:16">
      <c r="A968">
        <v>20250301</v>
      </c>
      <c r="B968">
        <v>8</v>
      </c>
      <c r="C968">
        <v>1</v>
      </c>
      <c r="D968">
        <v>2</v>
      </c>
      <c r="E968">
        <v>16</v>
      </c>
      <c r="F968" t="s">
        <v>92</v>
      </c>
      <c r="G968">
        <v>-7672.22</v>
      </c>
      <c r="H968">
        <f>_xlfn.XLOOKUP(tblFinancials[[#This Row],[DateKey]],tblCalendar[DateKey],tblCalendar[FullDate],"")</f>
        <v>45717</v>
      </c>
      <c r="I968">
        <f>_xlfn.XLOOKUP(tblFinancials[[#This Row],[AccountKey]],tblAccounts[AccountKey],tblAccounts[AccountNumber],"")</f>
        <v>6110</v>
      </c>
      <c r="J968" t="str">
        <f>_xlfn.XLOOKUP(tblFinancials[[#This Row],[AccountKey]],tblAccounts[AccountKey],tblAccounts[AccountName],"")</f>
        <v>Payroll Taxes</v>
      </c>
      <c r="K968" s="8" t="str">
        <f>_xlfn.XLOOKUP(tblFinancials[[#This Row],[AccountKey]],tblAccounts[AccountKey],tblAccounts[FinancialStatement],"")</f>
        <v>Income Statement</v>
      </c>
      <c r="L968" s="8" t="str">
        <f>_xlfn.XLOOKUP(tblFinancials[[#This Row],[AccountKey]],tblAccounts[AccountKey],tblAccounts[AccountCategory],"")</f>
        <v>Operating Expense</v>
      </c>
      <c r="M968" s="8" t="str">
        <f>_xlfn.XLOOKUP(tblFinancials[[#This Row],[AccountKey]],tblAccounts[AccountKey],tblAccounts[NormalBalance],"")</f>
        <v>Debit</v>
      </c>
      <c r="N968" s="8" t="str">
        <f>_xlfn.XLOOKUP(tblFinancials[[#This Row],[DepartmentKey]],tblDepartments[DepartmentKey],tblDepartments[DepartmentName],"")</f>
        <v>Customer Service</v>
      </c>
      <c r="O968" s="8" t="str">
        <f>_xlfn.XLOOKUP(tblFinancials[[#This Row],[BusinessUnitKey]],tblBusinessUnits[BusinessUnitKey],tblBusinessUnits[BusinessUnitName],"")</f>
        <v xml:space="preserve">Manufacturing </v>
      </c>
      <c r="P968" s="8" t="str">
        <f>_xlfn.XLOOKUP(tblFinancials[[#This Row],[RegionKey]],tblRegions[RegionKey],tblRegions[RegionName],"")</f>
        <v>Midwest</v>
      </c>
    </row>
    <row r="969" spans="1:16">
      <c r="A969">
        <v>20250301</v>
      </c>
      <c r="B969">
        <v>4</v>
      </c>
      <c r="C969">
        <v>1</v>
      </c>
      <c r="D969">
        <v>4</v>
      </c>
      <c r="E969">
        <v>24</v>
      </c>
      <c r="F969" t="s">
        <v>92</v>
      </c>
      <c r="G969">
        <v>-6264.41</v>
      </c>
      <c r="H969">
        <f>_xlfn.XLOOKUP(tblFinancials[[#This Row],[DateKey]],tblCalendar[DateKey],tblCalendar[FullDate],"")</f>
        <v>45717</v>
      </c>
      <c r="I969">
        <f>_xlfn.XLOOKUP(tblFinancials[[#This Row],[AccountKey]],tblAccounts[AccountKey],tblAccounts[AccountNumber],"")</f>
        <v>6900</v>
      </c>
      <c r="J969" t="str">
        <f>_xlfn.XLOOKUP(tblFinancials[[#This Row],[AccountKey]],tblAccounts[AccountKey],tblAccounts[AccountName],"")</f>
        <v>Professional Services</v>
      </c>
      <c r="K969" s="8" t="str">
        <f>_xlfn.XLOOKUP(tblFinancials[[#This Row],[AccountKey]],tblAccounts[AccountKey],tblAccounts[FinancialStatement],"")</f>
        <v>Income Statement</v>
      </c>
      <c r="L969" s="8" t="str">
        <f>_xlfn.XLOOKUP(tblFinancials[[#This Row],[AccountKey]],tblAccounts[AccountKey],tblAccounts[AccountCategory],"")</f>
        <v>Operating Expense</v>
      </c>
      <c r="M969" s="8" t="str">
        <f>_xlfn.XLOOKUP(tblFinancials[[#This Row],[AccountKey]],tblAccounts[AccountKey],tblAccounts[NormalBalance],"")</f>
        <v>Debit</v>
      </c>
      <c r="N969" s="8" t="str">
        <f>_xlfn.XLOOKUP(tblFinancials[[#This Row],[DepartmentKey]],tblDepartments[DepartmentKey],tblDepartments[DepartmentName],"")</f>
        <v>Sales</v>
      </c>
      <c r="O969" s="8" t="str">
        <f>_xlfn.XLOOKUP(tblFinancials[[#This Row],[BusinessUnitKey]],tblBusinessUnits[BusinessUnitKey],tblBusinessUnits[BusinessUnitName],"")</f>
        <v xml:space="preserve">Manufacturing </v>
      </c>
      <c r="P969" s="8" t="str">
        <f>_xlfn.XLOOKUP(tblFinancials[[#This Row],[RegionKey]],tblRegions[RegionKey],tblRegions[RegionName],"")</f>
        <v>East</v>
      </c>
    </row>
    <row r="970" spans="1:16">
      <c r="A970">
        <v>20250301</v>
      </c>
      <c r="B970">
        <v>5</v>
      </c>
      <c r="C970">
        <v>3</v>
      </c>
      <c r="D970">
        <v>2</v>
      </c>
      <c r="E970">
        <v>18</v>
      </c>
      <c r="F970" t="s">
        <v>92</v>
      </c>
      <c r="G970">
        <v>-7105.97</v>
      </c>
      <c r="H970">
        <f>_xlfn.XLOOKUP(tblFinancials[[#This Row],[DateKey]],tblCalendar[DateKey],tblCalendar[FullDate],"")</f>
        <v>45717</v>
      </c>
      <c r="I970">
        <f>_xlfn.XLOOKUP(tblFinancials[[#This Row],[AccountKey]],tblAccounts[AccountKey],tblAccounts[AccountNumber],"")</f>
        <v>6200</v>
      </c>
      <c r="J970" t="str">
        <f>_xlfn.XLOOKUP(tblFinancials[[#This Row],[AccountKey]],tblAccounts[AccountKey],tblAccounts[AccountName],"")</f>
        <v>Marketing Expense</v>
      </c>
      <c r="K970" s="8" t="str">
        <f>_xlfn.XLOOKUP(tblFinancials[[#This Row],[AccountKey]],tblAccounts[AccountKey],tblAccounts[FinancialStatement],"")</f>
        <v>Income Statement</v>
      </c>
      <c r="L970" s="8" t="str">
        <f>_xlfn.XLOOKUP(tblFinancials[[#This Row],[AccountKey]],tblAccounts[AccountKey],tblAccounts[AccountCategory],"")</f>
        <v>Operating Expense</v>
      </c>
      <c r="M970" s="8" t="str">
        <f>_xlfn.XLOOKUP(tblFinancials[[#This Row],[AccountKey]],tblAccounts[AccountKey],tblAccounts[NormalBalance],"")</f>
        <v>Debit</v>
      </c>
      <c r="N970" s="8" t="str">
        <f>_xlfn.XLOOKUP(tblFinancials[[#This Row],[DepartmentKey]],tblDepartments[DepartmentKey],tblDepartments[DepartmentName],"")</f>
        <v>Marketing</v>
      </c>
      <c r="O970" s="8" t="str">
        <f>_xlfn.XLOOKUP(tblFinancials[[#This Row],[BusinessUnitKey]],tblBusinessUnits[BusinessUnitKey],tblBusinessUnits[BusinessUnitName],"")</f>
        <v>Retail</v>
      </c>
      <c r="P970" s="8" t="str">
        <f>_xlfn.XLOOKUP(tblFinancials[[#This Row],[RegionKey]],tblRegions[RegionKey],tblRegions[RegionName],"")</f>
        <v>Midwest</v>
      </c>
    </row>
    <row r="971" spans="1:16">
      <c r="A971">
        <v>20250301</v>
      </c>
      <c r="B971">
        <v>7</v>
      </c>
      <c r="C971">
        <v>4</v>
      </c>
      <c r="D971">
        <v>2</v>
      </c>
      <c r="E971">
        <v>17</v>
      </c>
      <c r="F971" t="s">
        <v>92</v>
      </c>
      <c r="G971">
        <v>-7953.77</v>
      </c>
      <c r="H971">
        <f>_xlfn.XLOOKUP(tblFinancials[[#This Row],[DateKey]],tblCalendar[DateKey],tblCalendar[FullDate],"")</f>
        <v>45717</v>
      </c>
      <c r="I971">
        <f>_xlfn.XLOOKUP(tblFinancials[[#This Row],[AccountKey]],tblAccounts[AccountKey],tblAccounts[AccountNumber],"")</f>
        <v>6120</v>
      </c>
      <c r="J971" t="str">
        <f>_xlfn.XLOOKUP(tblFinancials[[#This Row],[AccountKey]],tblAccounts[AccountKey],tblAccounts[AccountName],"")</f>
        <v>Employee Benefits</v>
      </c>
      <c r="K971" s="8" t="str">
        <f>_xlfn.XLOOKUP(tblFinancials[[#This Row],[AccountKey]],tblAccounts[AccountKey],tblAccounts[FinancialStatement],"")</f>
        <v>Income Statement</v>
      </c>
      <c r="L971" s="8" t="str">
        <f>_xlfn.XLOOKUP(tblFinancials[[#This Row],[AccountKey]],tblAccounts[AccountKey],tblAccounts[AccountCategory],"")</f>
        <v>Operating Expense</v>
      </c>
      <c r="M971" s="8" t="str">
        <f>_xlfn.XLOOKUP(tblFinancials[[#This Row],[AccountKey]],tblAccounts[AccountKey],tblAccounts[NormalBalance],"")</f>
        <v>Debit</v>
      </c>
      <c r="N971" s="8" t="str">
        <f>_xlfn.XLOOKUP(tblFinancials[[#This Row],[DepartmentKey]],tblDepartments[DepartmentKey],tblDepartments[DepartmentName],"")</f>
        <v>Information Technology</v>
      </c>
      <c r="O971" s="8" t="str">
        <f>_xlfn.XLOOKUP(tblFinancials[[#This Row],[BusinessUnitKey]],tblBusinessUnits[BusinessUnitKey],tblBusinessUnits[BusinessUnitName],"")</f>
        <v>E-Commerce</v>
      </c>
      <c r="P971" s="8" t="str">
        <f>_xlfn.XLOOKUP(tblFinancials[[#This Row],[RegionKey]],tblRegions[RegionKey],tblRegions[RegionName],"")</f>
        <v>Midwest</v>
      </c>
    </row>
    <row r="972" spans="1:16">
      <c r="A972">
        <v>20250301</v>
      </c>
      <c r="B972">
        <v>2</v>
      </c>
      <c r="C972">
        <v>2</v>
      </c>
      <c r="D972">
        <v>2</v>
      </c>
      <c r="E972">
        <v>21</v>
      </c>
      <c r="F972" t="s">
        <v>92</v>
      </c>
      <c r="G972">
        <v>-6434.78</v>
      </c>
      <c r="H972">
        <f>_xlfn.XLOOKUP(tblFinancials[[#This Row],[DateKey]],tblCalendar[DateKey],tblCalendar[FullDate],"")</f>
        <v>45717</v>
      </c>
      <c r="I972">
        <f>_xlfn.XLOOKUP(tblFinancials[[#This Row],[AccountKey]],tblAccounts[AccountKey],tblAccounts[AccountNumber],"")</f>
        <v>6600</v>
      </c>
      <c r="J972" t="str">
        <f>_xlfn.XLOOKUP(tblFinancials[[#This Row],[AccountKey]],tblAccounts[AccountKey],tblAccounts[AccountName],"")</f>
        <v>Utilities Expense</v>
      </c>
      <c r="K972" s="8" t="str">
        <f>_xlfn.XLOOKUP(tblFinancials[[#This Row],[AccountKey]],tblAccounts[AccountKey],tblAccounts[FinancialStatement],"")</f>
        <v>Income Statement</v>
      </c>
      <c r="L972" s="8" t="str">
        <f>_xlfn.XLOOKUP(tblFinancials[[#This Row],[AccountKey]],tblAccounts[AccountKey],tblAccounts[AccountCategory],"")</f>
        <v>Operating Expense</v>
      </c>
      <c r="M972" s="8" t="str">
        <f>_xlfn.XLOOKUP(tblFinancials[[#This Row],[AccountKey]],tblAccounts[AccountKey],tblAccounts[NormalBalance],"")</f>
        <v>Debit</v>
      </c>
      <c r="N972" s="8" t="str">
        <f>_xlfn.XLOOKUP(tblFinancials[[#This Row],[DepartmentKey]],tblDepartments[DepartmentKey],tblDepartments[DepartmentName],"")</f>
        <v>Finance</v>
      </c>
      <c r="O972" s="8" t="str">
        <f>_xlfn.XLOOKUP(tblFinancials[[#This Row],[BusinessUnitKey]],tblBusinessUnits[BusinessUnitKey],tblBusinessUnits[BusinessUnitName],"")</f>
        <v>Wholesale</v>
      </c>
      <c r="P972" s="8" t="str">
        <f>_xlfn.XLOOKUP(tblFinancials[[#This Row],[RegionKey]],tblRegions[RegionKey],tblRegions[RegionName],"")</f>
        <v>Midwest</v>
      </c>
    </row>
    <row r="973" spans="1:16">
      <c r="A973">
        <v>20250301</v>
      </c>
      <c r="B973">
        <v>1</v>
      </c>
      <c r="C973">
        <v>4</v>
      </c>
      <c r="D973">
        <v>4</v>
      </c>
      <c r="E973">
        <v>25</v>
      </c>
      <c r="F973" t="s">
        <v>92</v>
      </c>
      <c r="G973">
        <v>-7781.89</v>
      </c>
      <c r="H973">
        <f>_xlfn.XLOOKUP(tblFinancials[[#This Row],[DateKey]],tblCalendar[DateKey],tblCalendar[FullDate],"")</f>
        <v>45717</v>
      </c>
      <c r="I973">
        <f>_xlfn.XLOOKUP(tblFinancials[[#This Row],[AccountKey]],tblAccounts[AccountKey],tblAccounts[AccountNumber],"")</f>
        <v>8200</v>
      </c>
      <c r="J973" t="str">
        <f>_xlfn.XLOOKUP(tblFinancials[[#This Row],[AccountKey]],tblAccounts[AccountKey],tblAccounts[AccountName],"")</f>
        <v>Income Tax Expense</v>
      </c>
      <c r="K973" s="8" t="str">
        <f>_xlfn.XLOOKUP(tblFinancials[[#This Row],[AccountKey]],tblAccounts[AccountKey],tblAccounts[FinancialStatement],"")</f>
        <v>Income Statement</v>
      </c>
      <c r="L973" s="8" t="str">
        <f>_xlfn.XLOOKUP(tblFinancials[[#This Row],[AccountKey]],tblAccounts[AccountKey],tblAccounts[AccountCategory],"")</f>
        <v>Tax Expense</v>
      </c>
      <c r="M973" s="8" t="str">
        <f>_xlfn.XLOOKUP(tblFinancials[[#This Row],[AccountKey]],tblAccounts[AccountKey],tblAccounts[NormalBalance],"")</f>
        <v>Debit</v>
      </c>
      <c r="N973" s="8" t="str">
        <f>_xlfn.XLOOKUP(tblFinancials[[#This Row],[DepartmentKey]],tblDepartments[DepartmentKey],tblDepartments[DepartmentName],"")</f>
        <v>Executive</v>
      </c>
      <c r="O973" s="8" t="str">
        <f>_xlfn.XLOOKUP(tblFinancials[[#This Row],[BusinessUnitKey]],tblBusinessUnits[BusinessUnitKey],tblBusinessUnits[BusinessUnitName],"")</f>
        <v>E-Commerce</v>
      </c>
      <c r="P973" s="8" t="str">
        <f>_xlfn.XLOOKUP(tblFinancials[[#This Row],[RegionKey]],tblRegions[RegionKey],tblRegions[RegionName],"")</f>
        <v>East</v>
      </c>
    </row>
    <row r="974" spans="1:16">
      <c r="A974">
        <v>20250401</v>
      </c>
      <c r="B974">
        <v>1</v>
      </c>
      <c r="C974">
        <v>3</v>
      </c>
      <c r="D974">
        <v>3</v>
      </c>
      <c r="E974">
        <v>11</v>
      </c>
      <c r="F974" t="s">
        <v>92</v>
      </c>
      <c r="G974">
        <v>33599.230000000003</v>
      </c>
      <c r="H974">
        <f>_xlfn.XLOOKUP(tblFinancials[[#This Row],[DateKey]],tblCalendar[DateKey],tblCalendar[FullDate],"")</f>
        <v>45748</v>
      </c>
      <c r="I974">
        <f>_xlfn.XLOOKUP(tblFinancials[[#This Row],[AccountKey]],tblAccounts[AccountKey],tblAccounts[AccountNumber],"")</f>
        <v>4000</v>
      </c>
      <c r="J974" t="str">
        <f>_xlfn.XLOOKUP(tblFinancials[[#This Row],[AccountKey]],tblAccounts[AccountKey],tblAccounts[AccountName],"")</f>
        <v>Product Revenue</v>
      </c>
      <c r="K974" s="8" t="str">
        <f>_xlfn.XLOOKUP(tblFinancials[[#This Row],[AccountKey]],tblAccounts[AccountKey],tblAccounts[FinancialStatement],"")</f>
        <v>Income Statement</v>
      </c>
      <c r="L974" s="8" t="str">
        <f>_xlfn.XLOOKUP(tblFinancials[[#This Row],[AccountKey]],tblAccounts[AccountKey],tblAccounts[AccountCategory],"")</f>
        <v>Revenue</v>
      </c>
      <c r="M974" s="8" t="str">
        <f>_xlfn.XLOOKUP(tblFinancials[[#This Row],[AccountKey]],tblAccounts[AccountKey],tblAccounts[NormalBalance],"")</f>
        <v>Credit</v>
      </c>
      <c r="N974" s="8" t="str">
        <f>_xlfn.XLOOKUP(tblFinancials[[#This Row],[DepartmentKey]],tblDepartments[DepartmentKey],tblDepartments[DepartmentName],"")</f>
        <v>Executive</v>
      </c>
      <c r="O974" s="8" t="str">
        <f>_xlfn.XLOOKUP(tblFinancials[[#This Row],[BusinessUnitKey]],tblBusinessUnits[BusinessUnitKey],tblBusinessUnits[BusinessUnitName],"")</f>
        <v>Retail</v>
      </c>
      <c r="P974" s="8" t="str">
        <f>_xlfn.XLOOKUP(tblFinancials[[#This Row],[RegionKey]],tblRegions[RegionKey],tblRegions[RegionName],"")</f>
        <v>South</v>
      </c>
    </row>
    <row r="975" spans="1:16">
      <c r="A975">
        <v>20250401</v>
      </c>
      <c r="B975">
        <v>8</v>
      </c>
      <c r="C975">
        <v>2</v>
      </c>
      <c r="D975">
        <v>2</v>
      </c>
      <c r="E975">
        <v>12</v>
      </c>
      <c r="F975" t="s">
        <v>92</v>
      </c>
      <c r="G975">
        <v>32600.49</v>
      </c>
      <c r="H975">
        <f>_xlfn.XLOOKUP(tblFinancials[[#This Row],[DateKey]],tblCalendar[DateKey],tblCalendar[FullDate],"")</f>
        <v>45748</v>
      </c>
      <c r="I975">
        <f>_xlfn.XLOOKUP(tblFinancials[[#This Row],[AccountKey]],tblAccounts[AccountKey],tblAccounts[AccountNumber],"")</f>
        <v>4010</v>
      </c>
      <c r="J975" t="str">
        <f>_xlfn.XLOOKUP(tblFinancials[[#This Row],[AccountKey]],tblAccounts[AccountKey],tblAccounts[AccountName],"")</f>
        <v>Service Revenue</v>
      </c>
      <c r="K975" s="8" t="str">
        <f>_xlfn.XLOOKUP(tblFinancials[[#This Row],[AccountKey]],tblAccounts[AccountKey],tblAccounts[FinancialStatement],"")</f>
        <v>Income Statement</v>
      </c>
      <c r="L975" s="8" t="str">
        <f>_xlfn.XLOOKUP(tblFinancials[[#This Row],[AccountKey]],tblAccounts[AccountKey],tblAccounts[AccountCategory],"")</f>
        <v>Revenue</v>
      </c>
      <c r="M975" s="8" t="str">
        <f>_xlfn.XLOOKUP(tblFinancials[[#This Row],[AccountKey]],tblAccounts[AccountKey],tblAccounts[NormalBalance],"")</f>
        <v>Credit</v>
      </c>
      <c r="N975" s="8" t="str">
        <f>_xlfn.XLOOKUP(tblFinancials[[#This Row],[DepartmentKey]],tblDepartments[DepartmentKey],tblDepartments[DepartmentName],"")</f>
        <v>Customer Service</v>
      </c>
      <c r="O975" s="8" t="str">
        <f>_xlfn.XLOOKUP(tblFinancials[[#This Row],[BusinessUnitKey]],tblBusinessUnits[BusinessUnitKey],tblBusinessUnits[BusinessUnitName],"")</f>
        <v>Wholesale</v>
      </c>
      <c r="P975" s="8" t="str">
        <f>_xlfn.XLOOKUP(tblFinancials[[#This Row],[RegionKey]],tblRegions[RegionKey],tblRegions[RegionName],"")</f>
        <v>Midwest</v>
      </c>
    </row>
    <row r="976" spans="1:16">
      <c r="A976">
        <v>20250401</v>
      </c>
      <c r="B976">
        <v>7</v>
      </c>
      <c r="C976">
        <v>3</v>
      </c>
      <c r="D976">
        <v>4</v>
      </c>
      <c r="E976">
        <v>13</v>
      </c>
      <c r="F976" t="s">
        <v>92</v>
      </c>
      <c r="G976">
        <v>33894.9</v>
      </c>
      <c r="H976">
        <f>_xlfn.XLOOKUP(tblFinancials[[#This Row],[DateKey]],tblCalendar[DateKey],tblCalendar[FullDate],"")</f>
        <v>45748</v>
      </c>
      <c r="I976">
        <f>_xlfn.XLOOKUP(tblFinancials[[#This Row],[AccountKey]],tblAccounts[AccountKey],tblAccounts[AccountNumber],"")</f>
        <v>4020</v>
      </c>
      <c r="J976" t="str">
        <f>_xlfn.XLOOKUP(tblFinancials[[#This Row],[AccountKey]],tblAccounts[AccountKey],tblAccounts[AccountName],"")</f>
        <v>Online Revenue</v>
      </c>
      <c r="K976" s="8" t="str">
        <f>_xlfn.XLOOKUP(tblFinancials[[#This Row],[AccountKey]],tblAccounts[AccountKey],tblAccounts[FinancialStatement],"")</f>
        <v>Income Statement</v>
      </c>
      <c r="L976" s="8" t="str">
        <f>_xlfn.XLOOKUP(tblFinancials[[#This Row],[AccountKey]],tblAccounts[AccountKey],tblAccounts[AccountCategory],"")</f>
        <v>Revenue</v>
      </c>
      <c r="M976" s="8" t="str">
        <f>_xlfn.XLOOKUP(tblFinancials[[#This Row],[AccountKey]],tblAccounts[AccountKey],tblAccounts[NormalBalance],"")</f>
        <v>Credit</v>
      </c>
      <c r="N976" s="8" t="str">
        <f>_xlfn.XLOOKUP(tblFinancials[[#This Row],[DepartmentKey]],tblDepartments[DepartmentKey],tblDepartments[DepartmentName],"")</f>
        <v>Information Technology</v>
      </c>
      <c r="O976" s="8" t="str">
        <f>_xlfn.XLOOKUP(tblFinancials[[#This Row],[BusinessUnitKey]],tblBusinessUnits[BusinessUnitKey],tblBusinessUnits[BusinessUnitName],"")</f>
        <v>Retail</v>
      </c>
      <c r="P976" s="8" t="str">
        <f>_xlfn.XLOOKUP(tblFinancials[[#This Row],[RegionKey]],tblRegions[RegionKey],tblRegions[RegionName],"")</f>
        <v>East</v>
      </c>
    </row>
    <row r="977" spans="1:16">
      <c r="A977">
        <v>20250401</v>
      </c>
      <c r="B977">
        <v>4</v>
      </c>
      <c r="C977">
        <v>4</v>
      </c>
      <c r="D977">
        <v>2</v>
      </c>
      <c r="E977">
        <v>11</v>
      </c>
      <c r="F977" t="s">
        <v>92</v>
      </c>
      <c r="G977">
        <v>32705.45</v>
      </c>
      <c r="H977">
        <f>_xlfn.XLOOKUP(tblFinancials[[#This Row],[DateKey]],tblCalendar[DateKey],tblCalendar[FullDate],"")</f>
        <v>45748</v>
      </c>
      <c r="I977">
        <f>_xlfn.XLOOKUP(tblFinancials[[#This Row],[AccountKey]],tblAccounts[AccountKey],tblAccounts[AccountNumber],"")</f>
        <v>4000</v>
      </c>
      <c r="J977" t="str">
        <f>_xlfn.XLOOKUP(tblFinancials[[#This Row],[AccountKey]],tblAccounts[AccountKey],tblAccounts[AccountName],"")</f>
        <v>Product Revenue</v>
      </c>
      <c r="K977" s="8" t="str">
        <f>_xlfn.XLOOKUP(tblFinancials[[#This Row],[AccountKey]],tblAccounts[AccountKey],tblAccounts[FinancialStatement],"")</f>
        <v>Income Statement</v>
      </c>
      <c r="L977" s="8" t="str">
        <f>_xlfn.XLOOKUP(tblFinancials[[#This Row],[AccountKey]],tblAccounts[AccountKey],tblAccounts[AccountCategory],"")</f>
        <v>Revenue</v>
      </c>
      <c r="M977" s="8" t="str">
        <f>_xlfn.XLOOKUP(tblFinancials[[#This Row],[AccountKey]],tblAccounts[AccountKey],tblAccounts[NormalBalance],"")</f>
        <v>Credit</v>
      </c>
      <c r="N977" s="8" t="str">
        <f>_xlfn.XLOOKUP(tblFinancials[[#This Row],[DepartmentKey]],tblDepartments[DepartmentKey],tblDepartments[DepartmentName],"")</f>
        <v>Sales</v>
      </c>
      <c r="O977" s="8" t="str">
        <f>_xlfn.XLOOKUP(tblFinancials[[#This Row],[BusinessUnitKey]],tblBusinessUnits[BusinessUnitKey],tblBusinessUnits[BusinessUnitName],"")</f>
        <v>E-Commerce</v>
      </c>
      <c r="P977" s="8" t="str">
        <f>_xlfn.XLOOKUP(tblFinancials[[#This Row],[RegionKey]],tblRegions[RegionKey],tblRegions[RegionName],"")</f>
        <v>Midwest</v>
      </c>
    </row>
    <row r="978" spans="1:16">
      <c r="A978">
        <v>20250401</v>
      </c>
      <c r="B978">
        <v>4</v>
      </c>
      <c r="C978">
        <v>4</v>
      </c>
      <c r="D978">
        <v>3</v>
      </c>
      <c r="E978">
        <v>13</v>
      </c>
      <c r="F978" t="s">
        <v>92</v>
      </c>
      <c r="G978">
        <v>34326.230000000003</v>
      </c>
      <c r="H978">
        <f>_xlfn.XLOOKUP(tblFinancials[[#This Row],[DateKey]],tblCalendar[DateKey],tblCalendar[FullDate],"")</f>
        <v>45748</v>
      </c>
      <c r="I978">
        <f>_xlfn.XLOOKUP(tblFinancials[[#This Row],[AccountKey]],tblAccounts[AccountKey],tblAccounts[AccountNumber],"")</f>
        <v>4020</v>
      </c>
      <c r="J978" t="str">
        <f>_xlfn.XLOOKUP(tblFinancials[[#This Row],[AccountKey]],tblAccounts[AccountKey],tblAccounts[AccountName],"")</f>
        <v>Online Revenue</v>
      </c>
      <c r="K978" s="8" t="str">
        <f>_xlfn.XLOOKUP(tblFinancials[[#This Row],[AccountKey]],tblAccounts[AccountKey],tblAccounts[FinancialStatement],"")</f>
        <v>Income Statement</v>
      </c>
      <c r="L978" s="8" t="str">
        <f>_xlfn.XLOOKUP(tblFinancials[[#This Row],[AccountKey]],tblAccounts[AccountKey],tblAccounts[AccountCategory],"")</f>
        <v>Revenue</v>
      </c>
      <c r="M978" s="8" t="str">
        <f>_xlfn.XLOOKUP(tblFinancials[[#This Row],[AccountKey]],tblAccounts[AccountKey],tblAccounts[NormalBalance],"")</f>
        <v>Credit</v>
      </c>
      <c r="N978" s="8" t="str">
        <f>_xlfn.XLOOKUP(tblFinancials[[#This Row],[DepartmentKey]],tblDepartments[DepartmentKey],tblDepartments[DepartmentName],"")</f>
        <v>Sales</v>
      </c>
      <c r="O978" s="8" t="str">
        <f>_xlfn.XLOOKUP(tblFinancials[[#This Row],[BusinessUnitKey]],tblBusinessUnits[BusinessUnitKey],tblBusinessUnits[BusinessUnitName],"")</f>
        <v>E-Commerce</v>
      </c>
      <c r="P978" s="8" t="str">
        <f>_xlfn.XLOOKUP(tblFinancials[[#This Row],[RegionKey]],tblRegions[RegionKey],tblRegions[RegionName],"")</f>
        <v>South</v>
      </c>
    </row>
    <row r="979" spans="1:16">
      <c r="A979">
        <v>20250401</v>
      </c>
      <c r="B979">
        <v>4</v>
      </c>
      <c r="C979">
        <v>1</v>
      </c>
      <c r="D979">
        <v>2</v>
      </c>
      <c r="E979">
        <v>12</v>
      </c>
      <c r="F979" t="s">
        <v>92</v>
      </c>
      <c r="G979">
        <v>33735.74</v>
      </c>
      <c r="H979">
        <f>_xlfn.XLOOKUP(tblFinancials[[#This Row],[DateKey]],tblCalendar[DateKey],tblCalendar[FullDate],"")</f>
        <v>45748</v>
      </c>
      <c r="I979">
        <f>_xlfn.XLOOKUP(tblFinancials[[#This Row],[AccountKey]],tblAccounts[AccountKey],tblAccounts[AccountNumber],"")</f>
        <v>4010</v>
      </c>
      <c r="J979" t="str">
        <f>_xlfn.XLOOKUP(tblFinancials[[#This Row],[AccountKey]],tblAccounts[AccountKey],tblAccounts[AccountName],"")</f>
        <v>Service Revenue</v>
      </c>
      <c r="K979" s="8" t="str">
        <f>_xlfn.XLOOKUP(tblFinancials[[#This Row],[AccountKey]],tblAccounts[AccountKey],tblAccounts[FinancialStatement],"")</f>
        <v>Income Statement</v>
      </c>
      <c r="L979" s="8" t="str">
        <f>_xlfn.XLOOKUP(tblFinancials[[#This Row],[AccountKey]],tblAccounts[AccountKey],tblAccounts[AccountCategory],"")</f>
        <v>Revenue</v>
      </c>
      <c r="M979" s="8" t="str">
        <f>_xlfn.XLOOKUP(tblFinancials[[#This Row],[AccountKey]],tblAccounts[AccountKey],tblAccounts[NormalBalance],"")</f>
        <v>Credit</v>
      </c>
      <c r="N979" s="8" t="str">
        <f>_xlfn.XLOOKUP(tblFinancials[[#This Row],[DepartmentKey]],tblDepartments[DepartmentKey],tblDepartments[DepartmentName],"")</f>
        <v>Sales</v>
      </c>
      <c r="O979" s="8" t="str">
        <f>_xlfn.XLOOKUP(tblFinancials[[#This Row],[BusinessUnitKey]],tblBusinessUnits[BusinessUnitKey],tblBusinessUnits[BusinessUnitName],"")</f>
        <v xml:space="preserve">Manufacturing </v>
      </c>
      <c r="P979" s="8" t="str">
        <f>_xlfn.XLOOKUP(tblFinancials[[#This Row],[RegionKey]],tblRegions[RegionKey],tblRegions[RegionName],"")</f>
        <v>Midwest</v>
      </c>
    </row>
    <row r="980" spans="1:16">
      <c r="A980">
        <v>20250401</v>
      </c>
      <c r="B980">
        <v>8</v>
      </c>
      <c r="C980">
        <v>1</v>
      </c>
      <c r="D980">
        <v>3</v>
      </c>
      <c r="E980">
        <v>13</v>
      </c>
      <c r="F980" t="s">
        <v>92</v>
      </c>
      <c r="G980">
        <v>33000.300000000003</v>
      </c>
      <c r="H980">
        <f>_xlfn.XLOOKUP(tblFinancials[[#This Row],[DateKey]],tblCalendar[DateKey],tblCalendar[FullDate],"")</f>
        <v>45748</v>
      </c>
      <c r="I980">
        <f>_xlfn.XLOOKUP(tblFinancials[[#This Row],[AccountKey]],tblAccounts[AccountKey],tblAccounts[AccountNumber],"")</f>
        <v>4020</v>
      </c>
      <c r="J980" t="str">
        <f>_xlfn.XLOOKUP(tblFinancials[[#This Row],[AccountKey]],tblAccounts[AccountKey],tblAccounts[AccountName],"")</f>
        <v>Online Revenue</v>
      </c>
      <c r="K980" s="8" t="str">
        <f>_xlfn.XLOOKUP(tblFinancials[[#This Row],[AccountKey]],tblAccounts[AccountKey],tblAccounts[FinancialStatement],"")</f>
        <v>Income Statement</v>
      </c>
      <c r="L980" s="8" t="str">
        <f>_xlfn.XLOOKUP(tblFinancials[[#This Row],[AccountKey]],tblAccounts[AccountKey],tblAccounts[AccountCategory],"")</f>
        <v>Revenue</v>
      </c>
      <c r="M980" s="8" t="str">
        <f>_xlfn.XLOOKUP(tblFinancials[[#This Row],[AccountKey]],tblAccounts[AccountKey],tblAccounts[NormalBalance],"")</f>
        <v>Credit</v>
      </c>
      <c r="N980" s="8" t="str">
        <f>_xlfn.XLOOKUP(tblFinancials[[#This Row],[DepartmentKey]],tblDepartments[DepartmentKey],tblDepartments[DepartmentName],"")</f>
        <v>Customer Service</v>
      </c>
      <c r="O980" s="8" t="str">
        <f>_xlfn.XLOOKUP(tblFinancials[[#This Row],[BusinessUnitKey]],tblBusinessUnits[BusinessUnitKey],tblBusinessUnits[BusinessUnitName],"")</f>
        <v xml:space="preserve">Manufacturing </v>
      </c>
      <c r="P980" s="8" t="str">
        <f>_xlfn.XLOOKUP(tblFinancials[[#This Row],[RegionKey]],tblRegions[RegionKey],tblRegions[RegionName],"")</f>
        <v>South</v>
      </c>
    </row>
    <row r="981" spans="1:16">
      <c r="A981">
        <v>20250401</v>
      </c>
      <c r="B981">
        <v>8</v>
      </c>
      <c r="C981">
        <v>1</v>
      </c>
      <c r="D981">
        <v>2</v>
      </c>
      <c r="E981">
        <v>13</v>
      </c>
      <c r="F981" t="s">
        <v>92</v>
      </c>
      <c r="G981">
        <v>34396.18</v>
      </c>
      <c r="H981">
        <f>_xlfn.XLOOKUP(tblFinancials[[#This Row],[DateKey]],tblCalendar[DateKey],tblCalendar[FullDate],"")</f>
        <v>45748</v>
      </c>
      <c r="I981">
        <f>_xlfn.XLOOKUP(tblFinancials[[#This Row],[AccountKey]],tblAccounts[AccountKey],tblAccounts[AccountNumber],"")</f>
        <v>4020</v>
      </c>
      <c r="J981" t="str">
        <f>_xlfn.XLOOKUP(tblFinancials[[#This Row],[AccountKey]],tblAccounts[AccountKey],tblAccounts[AccountName],"")</f>
        <v>Online Revenue</v>
      </c>
      <c r="K981" s="8" t="str">
        <f>_xlfn.XLOOKUP(tblFinancials[[#This Row],[AccountKey]],tblAccounts[AccountKey],tblAccounts[FinancialStatement],"")</f>
        <v>Income Statement</v>
      </c>
      <c r="L981" s="8" t="str">
        <f>_xlfn.XLOOKUP(tblFinancials[[#This Row],[AccountKey]],tblAccounts[AccountKey],tblAccounts[AccountCategory],"")</f>
        <v>Revenue</v>
      </c>
      <c r="M981" s="8" t="str">
        <f>_xlfn.XLOOKUP(tblFinancials[[#This Row],[AccountKey]],tblAccounts[AccountKey],tblAccounts[NormalBalance],"")</f>
        <v>Credit</v>
      </c>
      <c r="N981" s="8" t="str">
        <f>_xlfn.XLOOKUP(tblFinancials[[#This Row],[DepartmentKey]],tblDepartments[DepartmentKey],tblDepartments[DepartmentName],"")</f>
        <v>Customer Service</v>
      </c>
      <c r="O981" s="8" t="str">
        <f>_xlfn.XLOOKUP(tblFinancials[[#This Row],[BusinessUnitKey]],tblBusinessUnits[BusinessUnitKey],tblBusinessUnits[BusinessUnitName],"")</f>
        <v xml:space="preserve">Manufacturing </v>
      </c>
      <c r="P981" s="8" t="str">
        <f>_xlfn.XLOOKUP(tblFinancials[[#This Row],[RegionKey]],tblRegions[RegionKey],tblRegions[RegionName],"")</f>
        <v>Midwest</v>
      </c>
    </row>
    <row r="982" spans="1:16">
      <c r="A982">
        <v>20250401</v>
      </c>
      <c r="B982">
        <v>2</v>
      </c>
      <c r="C982">
        <v>4</v>
      </c>
      <c r="D982">
        <v>4</v>
      </c>
      <c r="E982">
        <v>12</v>
      </c>
      <c r="F982" t="s">
        <v>92</v>
      </c>
      <c r="G982">
        <v>32115.73</v>
      </c>
      <c r="H982">
        <f>_xlfn.XLOOKUP(tblFinancials[[#This Row],[DateKey]],tblCalendar[DateKey],tblCalendar[FullDate],"")</f>
        <v>45748</v>
      </c>
      <c r="I982">
        <f>_xlfn.XLOOKUP(tblFinancials[[#This Row],[AccountKey]],tblAccounts[AccountKey],tblAccounts[AccountNumber],"")</f>
        <v>4010</v>
      </c>
      <c r="J982" t="str">
        <f>_xlfn.XLOOKUP(tblFinancials[[#This Row],[AccountKey]],tblAccounts[AccountKey],tblAccounts[AccountName],"")</f>
        <v>Service Revenue</v>
      </c>
      <c r="K982" s="8" t="str">
        <f>_xlfn.XLOOKUP(tblFinancials[[#This Row],[AccountKey]],tblAccounts[AccountKey],tblAccounts[FinancialStatement],"")</f>
        <v>Income Statement</v>
      </c>
      <c r="L982" s="8" t="str">
        <f>_xlfn.XLOOKUP(tblFinancials[[#This Row],[AccountKey]],tblAccounts[AccountKey],tblAccounts[AccountCategory],"")</f>
        <v>Revenue</v>
      </c>
      <c r="M982" s="8" t="str">
        <f>_xlfn.XLOOKUP(tblFinancials[[#This Row],[AccountKey]],tblAccounts[AccountKey],tblAccounts[NormalBalance],"")</f>
        <v>Credit</v>
      </c>
      <c r="N982" s="8" t="str">
        <f>_xlfn.XLOOKUP(tblFinancials[[#This Row],[DepartmentKey]],tblDepartments[DepartmentKey],tblDepartments[DepartmentName],"")</f>
        <v>Finance</v>
      </c>
      <c r="O982" s="8" t="str">
        <f>_xlfn.XLOOKUP(tblFinancials[[#This Row],[BusinessUnitKey]],tblBusinessUnits[BusinessUnitKey],tblBusinessUnits[BusinessUnitName],"")</f>
        <v>E-Commerce</v>
      </c>
      <c r="P982" s="8" t="str">
        <f>_xlfn.XLOOKUP(tblFinancials[[#This Row],[RegionKey]],tblRegions[RegionKey],tblRegions[RegionName],"")</f>
        <v>East</v>
      </c>
    </row>
    <row r="983" spans="1:16">
      <c r="A983">
        <v>20250401</v>
      </c>
      <c r="B983">
        <v>3</v>
      </c>
      <c r="C983">
        <v>1</v>
      </c>
      <c r="D983">
        <v>2</v>
      </c>
      <c r="E983">
        <v>13</v>
      </c>
      <c r="F983" t="s">
        <v>92</v>
      </c>
      <c r="G983">
        <v>33007.26</v>
      </c>
      <c r="H983">
        <f>_xlfn.XLOOKUP(tblFinancials[[#This Row],[DateKey]],tblCalendar[DateKey],tblCalendar[FullDate],"")</f>
        <v>45748</v>
      </c>
      <c r="I983">
        <f>_xlfn.XLOOKUP(tblFinancials[[#This Row],[AccountKey]],tblAccounts[AccountKey],tblAccounts[AccountNumber],"")</f>
        <v>4020</v>
      </c>
      <c r="J983" t="str">
        <f>_xlfn.XLOOKUP(tblFinancials[[#This Row],[AccountKey]],tblAccounts[AccountKey],tblAccounts[AccountName],"")</f>
        <v>Online Revenue</v>
      </c>
      <c r="K983" s="8" t="str">
        <f>_xlfn.XLOOKUP(tblFinancials[[#This Row],[AccountKey]],tblAccounts[AccountKey],tblAccounts[FinancialStatement],"")</f>
        <v>Income Statement</v>
      </c>
      <c r="L983" s="8" t="str">
        <f>_xlfn.XLOOKUP(tblFinancials[[#This Row],[AccountKey]],tblAccounts[AccountKey],tblAccounts[AccountCategory],"")</f>
        <v>Revenue</v>
      </c>
      <c r="M983" s="8" t="str">
        <f>_xlfn.XLOOKUP(tblFinancials[[#This Row],[AccountKey]],tblAccounts[AccountKey],tblAccounts[NormalBalance],"")</f>
        <v>Credit</v>
      </c>
      <c r="N983" s="8" t="str">
        <f>_xlfn.XLOOKUP(tblFinancials[[#This Row],[DepartmentKey]],tblDepartments[DepartmentKey],tblDepartments[DepartmentName],"")</f>
        <v>Human Resources</v>
      </c>
      <c r="O983" s="8" t="str">
        <f>_xlfn.XLOOKUP(tblFinancials[[#This Row],[BusinessUnitKey]],tblBusinessUnits[BusinessUnitKey],tblBusinessUnits[BusinessUnitName],"")</f>
        <v xml:space="preserve">Manufacturing </v>
      </c>
      <c r="P983" s="8" t="str">
        <f>_xlfn.XLOOKUP(tblFinancials[[#This Row],[RegionKey]],tblRegions[RegionKey],tblRegions[RegionName],"")</f>
        <v>Midwest</v>
      </c>
    </row>
    <row r="984" spans="1:16">
      <c r="A984">
        <v>20250401</v>
      </c>
      <c r="B984">
        <v>3</v>
      </c>
      <c r="C984">
        <v>3</v>
      </c>
      <c r="D984">
        <v>1</v>
      </c>
      <c r="E984">
        <v>12</v>
      </c>
      <c r="F984" t="s">
        <v>92</v>
      </c>
      <c r="G984">
        <v>33727.68</v>
      </c>
      <c r="H984">
        <f>_xlfn.XLOOKUP(tblFinancials[[#This Row],[DateKey]],tblCalendar[DateKey],tblCalendar[FullDate],"")</f>
        <v>45748</v>
      </c>
      <c r="I984">
        <f>_xlfn.XLOOKUP(tblFinancials[[#This Row],[AccountKey]],tblAccounts[AccountKey],tblAccounts[AccountNumber],"")</f>
        <v>4010</v>
      </c>
      <c r="J984" t="str">
        <f>_xlfn.XLOOKUP(tblFinancials[[#This Row],[AccountKey]],tblAccounts[AccountKey],tblAccounts[AccountName],"")</f>
        <v>Service Revenue</v>
      </c>
      <c r="K984" s="8" t="str">
        <f>_xlfn.XLOOKUP(tblFinancials[[#This Row],[AccountKey]],tblAccounts[AccountKey],tblAccounts[FinancialStatement],"")</f>
        <v>Income Statement</v>
      </c>
      <c r="L984" s="8" t="str">
        <f>_xlfn.XLOOKUP(tblFinancials[[#This Row],[AccountKey]],tblAccounts[AccountKey],tblAccounts[AccountCategory],"")</f>
        <v>Revenue</v>
      </c>
      <c r="M984" s="8" t="str">
        <f>_xlfn.XLOOKUP(tblFinancials[[#This Row],[AccountKey]],tblAccounts[AccountKey],tblAccounts[NormalBalance],"")</f>
        <v>Credit</v>
      </c>
      <c r="N984" s="8" t="str">
        <f>_xlfn.XLOOKUP(tblFinancials[[#This Row],[DepartmentKey]],tblDepartments[DepartmentKey],tblDepartments[DepartmentName],"")</f>
        <v>Human Resources</v>
      </c>
      <c r="O984" s="8" t="str">
        <f>_xlfn.XLOOKUP(tblFinancials[[#This Row],[BusinessUnitKey]],tblBusinessUnits[BusinessUnitKey],tblBusinessUnits[BusinessUnitName],"")</f>
        <v>Retail</v>
      </c>
      <c r="P984" s="8" t="str">
        <f>_xlfn.XLOOKUP(tblFinancials[[#This Row],[RegionKey]],tblRegions[RegionKey],tblRegions[RegionName],"")</f>
        <v>West</v>
      </c>
    </row>
    <row r="985" spans="1:16">
      <c r="A985">
        <v>20250401</v>
      </c>
      <c r="B985">
        <v>4</v>
      </c>
      <c r="C985">
        <v>2</v>
      </c>
      <c r="D985">
        <v>3</v>
      </c>
      <c r="E985">
        <v>12</v>
      </c>
      <c r="F985" t="s">
        <v>92</v>
      </c>
      <c r="G985">
        <v>31341.83</v>
      </c>
      <c r="H985">
        <f>_xlfn.XLOOKUP(tblFinancials[[#This Row],[DateKey]],tblCalendar[DateKey],tblCalendar[FullDate],"")</f>
        <v>45748</v>
      </c>
      <c r="I985">
        <f>_xlfn.XLOOKUP(tblFinancials[[#This Row],[AccountKey]],tblAccounts[AccountKey],tblAccounts[AccountNumber],"")</f>
        <v>4010</v>
      </c>
      <c r="J985" t="str">
        <f>_xlfn.XLOOKUP(tblFinancials[[#This Row],[AccountKey]],tblAccounts[AccountKey],tblAccounts[AccountName],"")</f>
        <v>Service Revenue</v>
      </c>
      <c r="K985" s="8" t="str">
        <f>_xlfn.XLOOKUP(tblFinancials[[#This Row],[AccountKey]],tblAccounts[AccountKey],tblAccounts[FinancialStatement],"")</f>
        <v>Income Statement</v>
      </c>
      <c r="L985" s="8" t="str">
        <f>_xlfn.XLOOKUP(tblFinancials[[#This Row],[AccountKey]],tblAccounts[AccountKey],tblAccounts[AccountCategory],"")</f>
        <v>Revenue</v>
      </c>
      <c r="M985" s="8" t="str">
        <f>_xlfn.XLOOKUP(tblFinancials[[#This Row],[AccountKey]],tblAccounts[AccountKey],tblAccounts[NormalBalance],"")</f>
        <v>Credit</v>
      </c>
      <c r="N985" s="8" t="str">
        <f>_xlfn.XLOOKUP(tblFinancials[[#This Row],[DepartmentKey]],tblDepartments[DepartmentKey],tblDepartments[DepartmentName],"")</f>
        <v>Sales</v>
      </c>
      <c r="O985" s="8" t="str">
        <f>_xlfn.XLOOKUP(tblFinancials[[#This Row],[BusinessUnitKey]],tblBusinessUnits[BusinessUnitKey],tblBusinessUnits[BusinessUnitName],"")</f>
        <v>Wholesale</v>
      </c>
      <c r="P985" s="8" t="str">
        <f>_xlfn.XLOOKUP(tblFinancials[[#This Row],[RegionKey]],tblRegions[RegionKey],tblRegions[RegionName],"")</f>
        <v>South</v>
      </c>
    </row>
    <row r="986" spans="1:16">
      <c r="A986">
        <v>20250401</v>
      </c>
      <c r="B986">
        <v>1</v>
      </c>
      <c r="C986">
        <v>3</v>
      </c>
      <c r="D986">
        <v>4</v>
      </c>
      <c r="E986">
        <v>14</v>
      </c>
      <c r="F986" t="s">
        <v>92</v>
      </c>
      <c r="G986">
        <v>-19030.52</v>
      </c>
      <c r="H986">
        <f>_xlfn.XLOOKUP(tblFinancials[[#This Row],[DateKey]],tblCalendar[DateKey],tblCalendar[FullDate],"")</f>
        <v>45748</v>
      </c>
      <c r="I986">
        <f>_xlfn.XLOOKUP(tblFinancials[[#This Row],[AccountKey]],tblAccounts[AccountKey],tblAccounts[AccountNumber],"")</f>
        <v>5000</v>
      </c>
      <c r="J986" t="str">
        <f>_xlfn.XLOOKUP(tblFinancials[[#This Row],[AccountKey]],tblAccounts[AccountKey],tblAccounts[AccountName],"")</f>
        <v>Cost of Goods Sold</v>
      </c>
      <c r="K986" s="8" t="str">
        <f>_xlfn.XLOOKUP(tblFinancials[[#This Row],[AccountKey]],tblAccounts[AccountKey],tblAccounts[FinancialStatement],"")</f>
        <v>Income Statement</v>
      </c>
      <c r="L986" s="8" t="str">
        <f>_xlfn.XLOOKUP(tblFinancials[[#This Row],[AccountKey]],tblAccounts[AccountKey],tblAccounts[AccountCategory],"")</f>
        <v>Cost of Sales</v>
      </c>
      <c r="M986" s="8" t="str">
        <f>_xlfn.XLOOKUP(tblFinancials[[#This Row],[AccountKey]],tblAccounts[AccountKey],tblAccounts[NormalBalance],"")</f>
        <v>Debit</v>
      </c>
      <c r="N986" s="8" t="str">
        <f>_xlfn.XLOOKUP(tblFinancials[[#This Row],[DepartmentKey]],tblDepartments[DepartmentKey],tblDepartments[DepartmentName],"")</f>
        <v>Executive</v>
      </c>
      <c r="O986" s="8" t="str">
        <f>_xlfn.XLOOKUP(tblFinancials[[#This Row],[BusinessUnitKey]],tblBusinessUnits[BusinessUnitKey],tblBusinessUnits[BusinessUnitName],"")</f>
        <v>Retail</v>
      </c>
      <c r="P986" s="8" t="str">
        <f>_xlfn.XLOOKUP(tblFinancials[[#This Row],[RegionKey]],tblRegions[RegionKey],tblRegions[RegionName],"")</f>
        <v>East</v>
      </c>
    </row>
    <row r="987" spans="1:16">
      <c r="A987">
        <v>20250401</v>
      </c>
      <c r="B987">
        <v>8</v>
      </c>
      <c r="C987">
        <v>3</v>
      </c>
      <c r="D987">
        <v>3</v>
      </c>
      <c r="E987">
        <v>14</v>
      </c>
      <c r="F987" t="s">
        <v>92</v>
      </c>
      <c r="G987">
        <v>-18527.37</v>
      </c>
      <c r="H987">
        <f>_xlfn.XLOOKUP(tblFinancials[[#This Row],[DateKey]],tblCalendar[DateKey],tblCalendar[FullDate],"")</f>
        <v>45748</v>
      </c>
      <c r="I987">
        <f>_xlfn.XLOOKUP(tblFinancials[[#This Row],[AccountKey]],tblAccounts[AccountKey],tblAccounts[AccountNumber],"")</f>
        <v>5000</v>
      </c>
      <c r="J987" t="str">
        <f>_xlfn.XLOOKUP(tblFinancials[[#This Row],[AccountKey]],tblAccounts[AccountKey],tblAccounts[AccountName],"")</f>
        <v>Cost of Goods Sold</v>
      </c>
      <c r="K987" s="8" t="str">
        <f>_xlfn.XLOOKUP(tblFinancials[[#This Row],[AccountKey]],tblAccounts[AccountKey],tblAccounts[FinancialStatement],"")</f>
        <v>Income Statement</v>
      </c>
      <c r="L987" s="8" t="str">
        <f>_xlfn.XLOOKUP(tblFinancials[[#This Row],[AccountKey]],tblAccounts[AccountKey],tblAccounts[AccountCategory],"")</f>
        <v>Cost of Sales</v>
      </c>
      <c r="M987" s="8" t="str">
        <f>_xlfn.XLOOKUP(tblFinancials[[#This Row],[AccountKey]],tblAccounts[AccountKey],tblAccounts[NormalBalance],"")</f>
        <v>Debit</v>
      </c>
      <c r="N987" s="8" t="str">
        <f>_xlfn.XLOOKUP(tblFinancials[[#This Row],[DepartmentKey]],tblDepartments[DepartmentKey],tblDepartments[DepartmentName],"")</f>
        <v>Customer Service</v>
      </c>
      <c r="O987" s="8" t="str">
        <f>_xlfn.XLOOKUP(tblFinancials[[#This Row],[BusinessUnitKey]],tblBusinessUnits[BusinessUnitKey],tblBusinessUnits[BusinessUnitName],"")</f>
        <v>Retail</v>
      </c>
      <c r="P987" s="8" t="str">
        <f>_xlfn.XLOOKUP(tblFinancials[[#This Row],[RegionKey]],tblRegions[RegionKey],tblRegions[RegionName],"")</f>
        <v>South</v>
      </c>
    </row>
    <row r="988" spans="1:16">
      <c r="A988">
        <v>20250401</v>
      </c>
      <c r="B988">
        <v>7</v>
      </c>
      <c r="C988">
        <v>2</v>
      </c>
      <c r="D988">
        <v>4</v>
      </c>
      <c r="E988">
        <v>14</v>
      </c>
      <c r="F988" t="s">
        <v>92</v>
      </c>
      <c r="G988">
        <v>-18336.34</v>
      </c>
      <c r="H988">
        <f>_xlfn.XLOOKUP(tblFinancials[[#This Row],[DateKey]],tblCalendar[DateKey],tblCalendar[FullDate],"")</f>
        <v>45748</v>
      </c>
      <c r="I988">
        <f>_xlfn.XLOOKUP(tblFinancials[[#This Row],[AccountKey]],tblAccounts[AccountKey],tblAccounts[AccountNumber],"")</f>
        <v>5000</v>
      </c>
      <c r="J988" t="str">
        <f>_xlfn.XLOOKUP(tblFinancials[[#This Row],[AccountKey]],tblAccounts[AccountKey],tblAccounts[AccountName],"")</f>
        <v>Cost of Goods Sold</v>
      </c>
      <c r="K988" s="8" t="str">
        <f>_xlfn.XLOOKUP(tblFinancials[[#This Row],[AccountKey]],tblAccounts[AccountKey],tblAccounts[FinancialStatement],"")</f>
        <v>Income Statement</v>
      </c>
      <c r="L988" s="8" t="str">
        <f>_xlfn.XLOOKUP(tblFinancials[[#This Row],[AccountKey]],tblAccounts[AccountKey],tblAccounts[AccountCategory],"")</f>
        <v>Cost of Sales</v>
      </c>
      <c r="M988" s="8" t="str">
        <f>_xlfn.XLOOKUP(tblFinancials[[#This Row],[AccountKey]],tblAccounts[AccountKey],tblAccounts[NormalBalance],"")</f>
        <v>Debit</v>
      </c>
      <c r="N988" s="8" t="str">
        <f>_xlfn.XLOOKUP(tblFinancials[[#This Row],[DepartmentKey]],tblDepartments[DepartmentKey],tblDepartments[DepartmentName],"")</f>
        <v>Information Technology</v>
      </c>
      <c r="O988" s="8" t="str">
        <f>_xlfn.XLOOKUP(tblFinancials[[#This Row],[BusinessUnitKey]],tblBusinessUnits[BusinessUnitKey],tblBusinessUnits[BusinessUnitName],"")</f>
        <v>Wholesale</v>
      </c>
      <c r="P988" s="8" t="str">
        <f>_xlfn.XLOOKUP(tblFinancials[[#This Row],[RegionKey]],tblRegions[RegionKey],tblRegions[RegionName],"")</f>
        <v>East</v>
      </c>
    </row>
    <row r="989" spans="1:16">
      <c r="A989">
        <v>20250401</v>
      </c>
      <c r="B989">
        <v>5</v>
      </c>
      <c r="C989">
        <v>2</v>
      </c>
      <c r="D989">
        <v>3</v>
      </c>
      <c r="E989">
        <v>14</v>
      </c>
      <c r="F989" t="s">
        <v>92</v>
      </c>
      <c r="G989">
        <v>-20064.11</v>
      </c>
      <c r="H989">
        <f>_xlfn.XLOOKUP(tblFinancials[[#This Row],[DateKey]],tblCalendar[DateKey],tblCalendar[FullDate],"")</f>
        <v>45748</v>
      </c>
      <c r="I989">
        <f>_xlfn.XLOOKUP(tblFinancials[[#This Row],[AccountKey]],tblAccounts[AccountKey],tblAccounts[AccountNumber],"")</f>
        <v>5000</v>
      </c>
      <c r="J989" t="str">
        <f>_xlfn.XLOOKUP(tblFinancials[[#This Row],[AccountKey]],tblAccounts[AccountKey],tblAccounts[AccountName],"")</f>
        <v>Cost of Goods Sold</v>
      </c>
      <c r="K989" s="8" t="str">
        <f>_xlfn.XLOOKUP(tblFinancials[[#This Row],[AccountKey]],tblAccounts[AccountKey],tblAccounts[FinancialStatement],"")</f>
        <v>Income Statement</v>
      </c>
      <c r="L989" s="8" t="str">
        <f>_xlfn.XLOOKUP(tblFinancials[[#This Row],[AccountKey]],tblAccounts[AccountKey],tblAccounts[AccountCategory],"")</f>
        <v>Cost of Sales</v>
      </c>
      <c r="M989" s="8" t="str">
        <f>_xlfn.XLOOKUP(tblFinancials[[#This Row],[AccountKey]],tblAccounts[AccountKey],tblAccounts[NormalBalance],"")</f>
        <v>Debit</v>
      </c>
      <c r="N989" s="8" t="str">
        <f>_xlfn.XLOOKUP(tblFinancials[[#This Row],[DepartmentKey]],tblDepartments[DepartmentKey],tblDepartments[DepartmentName],"")</f>
        <v>Marketing</v>
      </c>
      <c r="O989" s="8" t="str">
        <f>_xlfn.XLOOKUP(tblFinancials[[#This Row],[BusinessUnitKey]],tblBusinessUnits[BusinessUnitKey],tblBusinessUnits[BusinessUnitName],"")</f>
        <v>Wholesale</v>
      </c>
      <c r="P989" s="8" t="str">
        <f>_xlfn.XLOOKUP(tblFinancials[[#This Row],[RegionKey]],tblRegions[RegionKey],tblRegions[RegionName],"")</f>
        <v>South</v>
      </c>
    </row>
    <row r="990" spans="1:16">
      <c r="A990">
        <v>20250401</v>
      </c>
      <c r="B990">
        <v>5</v>
      </c>
      <c r="C990">
        <v>2</v>
      </c>
      <c r="D990">
        <v>1</v>
      </c>
      <c r="E990">
        <v>14</v>
      </c>
      <c r="F990" t="s">
        <v>92</v>
      </c>
      <c r="G990">
        <v>-19723.22</v>
      </c>
      <c r="H990">
        <f>_xlfn.XLOOKUP(tblFinancials[[#This Row],[DateKey]],tblCalendar[DateKey],tblCalendar[FullDate],"")</f>
        <v>45748</v>
      </c>
      <c r="I990">
        <f>_xlfn.XLOOKUP(tblFinancials[[#This Row],[AccountKey]],tblAccounts[AccountKey],tblAccounts[AccountNumber],"")</f>
        <v>5000</v>
      </c>
      <c r="J990" t="str">
        <f>_xlfn.XLOOKUP(tblFinancials[[#This Row],[AccountKey]],tblAccounts[AccountKey],tblAccounts[AccountName],"")</f>
        <v>Cost of Goods Sold</v>
      </c>
      <c r="K990" s="8" t="str">
        <f>_xlfn.XLOOKUP(tblFinancials[[#This Row],[AccountKey]],tblAccounts[AccountKey],tblAccounts[FinancialStatement],"")</f>
        <v>Income Statement</v>
      </c>
      <c r="L990" s="8" t="str">
        <f>_xlfn.XLOOKUP(tblFinancials[[#This Row],[AccountKey]],tblAccounts[AccountKey],tblAccounts[AccountCategory],"")</f>
        <v>Cost of Sales</v>
      </c>
      <c r="M990" s="8" t="str">
        <f>_xlfn.XLOOKUP(tblFinancials[[#This Row],[AccountKey]],tblAccounts[AccountKey],tblAccounts[NormalBalance],"")</f>
        <v>Debit</v>
      </c>
      <c r="N990" s="8" t="str">
        <f>_xlfn.XLOOKUP(tblFinancials[[#This Row],[DepartmentKey]],tblDepartments[DepartmentKey],tblDepartments[DepartmentName],"")</f>
        <v>Marketing</v>
      </c>
      <c r="O990" s="8" t="str">
        <f>_xlfn.XLOOKUP(tblFinancials[[#This Row],[BusinessUnitKey]],tblBusinessUnits[BusinessUnitKey],tblBusinessUnits[BusinessUnitName],"")</f>
        <v>Wholesale</v>
      </c>
      <c r="P990" s="8" t="str">
        <f>_xlfn.XLOOKUP(tblFinancials[[#This Row],[RegionKey]],tblRegions[RegionKey],tblRegions[RegionName],"")</f>
        <v>West</v>
      </c>
    </row>
    <row r="991" spans="1:16">
      <c r="A991">
        <v>20250401</v>
      </c>
      <c r="B991">
        <v>6</v>
      </c>
      <c r="C991">
        <v>2</v>
      </c>
      <c r="D991">
        <v>4</v>
      </c>
      <c r="E991">
        <v>14</v>
      </c>
      <c r="F991" t="s">
        <v>92</v>
      </c>
      <c r="G991">
        <v>-18289.509999999998</v>
      </c>
      <c r="H991">
        <f>_xlfn.XLOOKUP(tblFinancials[[#This Row],[DateKey]],tblCalendar[DateKey],tblCalendar[FullDate],"")</f>
        <v>45748</v>
      </c>
      <c r="I991">
        <f>_xlfn.XLOOKUP(tblFinancials[[#This Row],[AccountKey]],tblAccounts[AccountKey],tblAccounts[AccountNumber],"")</f>
        <v>5000</v>
      </c>
      <c r="J991" t="str">
        <f>_xlfn.XLOOKUP(tblFinancials[[#This Row],[AccountKey]],tblAccounts[AccountKey],tblAccounts[AccountName],"")</f>
        <v>Cost of Goods Sold</v>
      </c>
      <c r="K991" s="8" t="str">
        <f>_xlfn.XLOOKUP(tblFinancials[[#This Row],[AccountKey]],tblAccounts[AccountKey],tblAccounts[FinancialStatement],"")</f>
        <v>Income Statement</v>
      </c>
      <c r="L991" s="8" t="str">
        <f>_xlfn.XLOOKUP(tblFinancials[[#This Row],[AccountKey]],tblAccounts[AccountKey],tblAccounts[AccountCategory],"")</f>
        <v>Cost of Sales</v>
      </c>
      <c r="M991" s="8" t="str">
        <f>_xlfn.XLOOKUP(tblFinancials[[#This Row],[AccountKey]],tblAccounts[AccountKey],tblAccounts[NormalBalance],"")</f>
        <v>Debit</v>
      </c>
      <c r="N991" s="8" t="str">
        <f>_xlfn.XLOOKUP(tblFinancials[[#This Row],[DepartmentKey]],tblDepartments[DepartmentKey],tblDepartments[DepartmentName],"")</f>
        <v>Operations</v>
      </c>
      <c r="O991" s="8" t="str">
        <f>_xlfn.XLOOKUP(tblFinancials[[#This Row],[BusinessUnitKey]],tblBusinessUnits[BusinessUnitKey],tblBusinessUnits[BusinessUnitName],"")</f>
        <v>Wholesale</v>
      </c>
      <c r="P991" s="8" t="str">
        <f>_xlfn.XLOOKUP(tblFinancials[[#This Row],[RegionKey]],tblRegions[RegionKey],tblRegions[RegionName],"")</f>
        <v>East</v>
      </c>
    </row>
    <row r="992" spans="1:16">
      <c r="A992">
        <v>20250401</v>
      </c>
      <c r="B992">
        <v>2</v>
      </c>
      <c r="C992">
        <v>4</v>
      </c>
      <c r="D992">
        <v>2</v>
      </c>
      <c r="E992">
        <v>14</v>
      </c>
      <c r="F992" t="s">
        <v>92</v>
      </c>
      <c r="G992">
        <v>-20559.810000000001</v>
      </c>
      <c r="H992">
        <f>_xlfn.XLOOKUP(tblFinancials[[#This Row],[DateKey]],tblCalendar[DateKey],tblCalendar[FullDate],"")</f>
        <v>45748</v>
      </c>
      <c r="I992">
        <f>_xlfn.XLOOKUP(tblFinancials[[#This Row],[AccountKey]],tblAccounts[AccountKey],tblAccounts[AccountNumber],"")</f>
        <v>5000</v>
      </c>
      <c r="J992" t="str">
        <f>_xlfn.XLOOKUP(tblFinancials[[#This Row],[AccountKey]],tblAccounts[AccountKey],tblAccounts[AccountName],"")</f>
        <v>Cost of Goods Sold</v>
      </c>
      <c r="K992" s="8" t="str">
        <f>_xlfn.XLOOKUP(tblFinancials[[#This Row],[AccountKey]],tblAccounts[AccountKey],tblAccounts[FinancialStatement],"")</f>
        <v>Income Statement</v>
      </c>
      <c r="L992" s="8" t="str">
        <f>_xlfn.XLOOKUP(tblFinancials[[#This Row],[AccountKey]],tblAccounts[AccountKey],tblAccounts[AccountCategory],"")</f>
        <v>Cost of Sales</v>
      </c>
      <c r="M992" s="8" t="str">
        <f>_xlfn.XLOOKUP(tblFinancials[[#This Row],[AccountKey]],tblAccounts[AccountKey],tblAccounts[NormalBalance],"")</f>
        <v>Debit</v>
      </c>
      <c r="N992" s="8" t="str">
        <f>_xlfn.XLOOKUP(tblFinancials[[#This Row],[DepartmentKey]],tblDepartments[DepartmentKey],tblDepartments[DepartmentName],"")</f>
        <v>Finance</v>
      </c>
      <c r="O992" s="8" t="str">
        <f>_xlfn.XLOOKUP(tblFinancials[[#This Row],[BusinessUnitKey]],tblBusinessUnits[BusinessUnitKey],tblBusinessUnits[BusinessUnitName],"")</f>
        <v>E-Commerce</v>
      </c>
      <c r="P992" s="8" t="str">
        <f>_xlfn.XLOOKUP(tblFinancials[[#This Row],[RegionKey]],tblRegions[RegionKey],tblRegions[RegionName],"")</f>
        <v>Midwest</v>
      </c>
    </row>
    <row r="993" spans="1:16">
      <c r="A993">
        <v>20250401</v>
      </c>
      <c r="B993">
        <v>7</v>
      </c>
      <c r="C993">
        <v>1</v>
      </c>
      <c r="D993">
        <v>1</v>
      </c>
      <c r="E993">
        <v>14</v>
      </c>
      <c r="F993" t="s">
        <v>92</v>
      </c>
      <c r="G993">
        <v>-20258.849999999999</v>
      </c>
      <c r="H993">
        <f>_xlfn.XLOOKUP(tblFinancials[[#This Row],[DateKey]],tblCalendar[DateKey],tblCalendar[FullDate],"")</f>
        <v>45748</v>
      </c>
      <c r="I993">
        <f>_xlfn.XLOOKUP(tblFinancials[[#This Row],[AccountKey]],tblAccounts[AccountKey],tblAccounts[AccountNumber],"")</f>
        <v>5000</v>
      </c>
      <c r="J993" t="str">
        <f>_xlfn.XLOOKUP(tblFinancials[[#This Row],[AccountKey]],tblAccounts[AccountKey],tblAccounts[AccountName],"")</f>
        <v>Cost of Goods Sold</v>
      </c>
      <c r="K993" s="8" t="str">
        <f>_xlfn.XLOOKUP(tblFinancials[[#This Row],[AccountKey]],tblAccounts[AccountKey],tblAccounts[FinancialStatement],"")</f>
        <v>Income Statement</v>
      </c>
      <c r="L993" s="8" t="str">
        <f>_xlfn.XLOOKUP(tblFinancials[[#This Row],[AccountKey]],tblAccounts[AccountKey],tblAccounts[AccountCategory],"")</f>
        <v>Cost of Sales</v>
      </c>
      <c r="M993" s="8" t="str">
        <f>_xlfn.XLOOKUP(tblFinancials[[#This Row],[AccountKey]],tblAccounts[AccountKey],tblAccounts[NormalBalance],"")</f>
        <v>Debit</v>
      </c>
      <c r="N993" s="8" t="str">
        <f>_xlfn.XLOOKUP(tblFinancials[[#This Row],[DepartmentKey]],tblDepartments[DepartmentKey],tblDepartments[DepartmentName],"")</f>
        <v>Information Technology</v>
      </c>
      <c r="O993" s="8" t="str">
        <f>_xlfn.XLOOKUP(tblFinancials[[#This Row],[BusinessUnitKey]],tblBusinessUnits[BusinessUnitKey],tblBusinessUnits[BusinessUnitName],"")</f>
        <v xml:space="preserve">Manufacturing </v>
      </c>
      <c r="P993" s="8" t="str">
        <f>_xlfn.XLOOKUP(tblFinancials[[#This Row],[RegionKey]],tblRegions[RegionKey],tblRegions[RegionName],"")</f>
        <v>West</v>
      </c>
    </row>
    <row r="994" spans="1:16">
      <c r="A994">
        <v>20250401</v>
      </c>
      <c r="B994">
        <v>6</v>
      </c>
      <c r="C994">
        <v>4</v>
      </c>
      <c r="D994">
        <v>1</v>
      </c>
      <c r="E994">
        <v>14</v>
      </c>
      <c r="F994" t="s">
        <v>92</v>
      </c>
      <c r="G994">
        <v>-19274.43</v>
      </c>
      <c r="H994">
        <f>_xlfn.XLOOKUP(tblFinancials[[#This Row],[DateKey]],tblCalendar[DateKey],tblCalendar[FullDate],"")</f>
        <v>45748</v>
      </c>
      <c r="I994">
        <f>_xlfn.XLOOKUP(tblFinancials[[#This Row],[AccountKey]],tblAccounts[AccountKey],tblAccounts[AccountNumber],"")</f>
        <v>5000</v>
      </c>
      <c r="J994" t="str">
        <f>_xlfn.XLOOKUP(tblFinancials[[#This Row],[AccountKey]],tblAccounts[AccountKey],tblAccounts[AccountName],"")</f>
        <v>Cost of Goods Sold</v>
      </c>
      <c r="K994" s="8" t="str">
        <f>_xlfn.XLOOKUP(tblFinancials[[#This Row],[AccountKey]],tblAccounts[AccountKey],tblAccounts[FinancialStatement],"")</f>
        <v>Income Statement</v>
      </c>
      <c r="L994" s="8" t="str">
        <f>_xlfn.XLOOKUP(tblFinancials[[#This Row],[AccountKey]],tblAccounts[AccountKey],tblAccounts[AccountCategory],"")</f>
        <v>Cost of Sales</v>
      </c>
      <c r="M994" s="8" t="str">
        <f>_xlfn.XLOOKUP(tblFinancials[[#This Row],[AccountKey]],tblAccounts[AccountKey],tblAccounts[NormalBalance],"")</f>
        <v>Debit</v>
      </c>
      <c r="N994" s="8" t="str">
        <f>_xlfn.XLOOKUP(tblFinancials[[#This Row],[DepartmentKey]],tblDepartments[DepartmentKey],tblDepartments[DepartmentName],"")</f>
        <v>Operations</v>
      </c>
      <c r="O994" s="8" t="str">
        <f>_xlfn.XLOOKUP(tblFinancials[[#This Row],[BusinessUnitKey]],tblBusinessUnits[BusinessUnitKey],tblBusinessUnits[BusinessUnitName],"")</f>
        <v>E-Commerce</v>
      </c>
      <c r="P994" s="8" t="str">
        <f>_xlfn.XLOOKUP(tblFinancials[[#This Row],[RegionKey]],tblRegions[RegionKey],tblRegions[RegionName],"")</f>
        <v>West</v>
      </c>
    </row>
    <row r="995" spans="1:16">
      <c r="A995">
        <v>20250401</v>
      </c>
      <c r="B995">
        <v>4</v>
      </c>
      <c r="C995">
        <v>1</v>
      </c>
      <c r="D995">
        <v>2</v>
      </c>
      <c r="E995">
        <v>14</v>
      </c>
      <c r="F995" t="s">
        <v>92</v>
      </c>
      <c r="G995">
        <v>-18859.439999999999</v>
      </c>
      <c r="H995">
        <f>_xlfn.XLOOKUP(tblFinancials[[#This Row],[DateKey]],tblCalendar[DateKey],tblCalendar[FullDate],"")</f>
        <v>45748</v>
      </c>
      <c r="I995">
        <f>_xlfn.XLOOKUP(tblFinancials[[#This Row],[AccountKey]],tblAccounts[AccountKey],tblAccounts[AccountNumber],"")</f>
        <v>5000</v>
      </c>
      <c r="J995" t="str">
        <f>_xlfn.XLOOKUP(tblFinancials[[#This Row],[AccountKey]],tblAccounts[AccountKey],tblAccounts[AccountName],"")</f>
        <v>Cost of Goods Sold</v>
      </c>
      <c r="K995" s="8" t="str">
        <f>_xlfn.XLOOKUP(tblFinancials[[#This Row],[AccountKey]],tblAccounts[AccountKey],tblAccounts[FinancialStatement],"")</f>
        <v>Income Statement</v>
      </c>
      <c r="L995" s="8" t="str">
        <f>_xlfn.XLOOKUP(tblFinancials[[#This Row],[AccountKey]],tblAccounts[AccountKey],tblAccounts[AccountCategory],"")</f>
        <v>Cost of Sales</v>
      </c>
      <c r="M995" s="8" t="str">
        <f>_xlfn.XLOOKUP(tblFinancials[[#This Row],[AccountKey]],tblAccounts[AccountKey],tblAccounts[NormalBalance],"")</f>
        <v>Debit</v>
      </c>
      <c r="N995" s="8" t="str">
        <f>_xlfn.XLOOKUP(tblFinancials[[#This Row],[DepartmentKey]],tblDepartments[DepartmentKey],tblDepartments[DepartmentName],"")</f>
        <v>Sales</v>
      </c>
      <c r="O995" s="8" t="str">
        <f>_xlfn.XLOOKUP(tblFinancials[[#This Row],[BusinessUnitKey]],tblBusinessUnits[BusinessUnitKey],tblBusinessUnits[BusinessUnitName],"")</f>
        <v xml:space="preserve">Manufacturing </v>
      </c>
      <c r="P995" s="8" t="str">
        <f>_xlfn.XLOOKUP(tblFinancials[[#This Row],[RegionKey]],tblRegions[RegionKey],tblRegions[RegionName],"")</f>
        <v>Midwest</v>
      </c>
    </row>
    <row r="996" spans="1:16">
      <c r="A996">
        <v>20250401</v>
      </c>
      <c r="B996">
        <v>3</v>
      </c>
      <c r="C996">
        <v>1</v>
      </c>
      <c r="D996">
        <v>1</v>
      </c>
      <c r="E996">
        <v>14</v>
      </c>
      <c r="F996" t="s">
        <v>92</v>
      </c>
      <c r="G996">
        <v>-18291.259999999998</v>
      </c>
      <c r="H996">
        <f>_xlfn.XLOOKUP(tblFinancials[[#This Row],[DateKey]],tblCalendar[DateKey],tblCalendar[FullDate],"")</f>
        <v>45748</v>
      </c>
      <c r="I996">
        <f>_xlfn.XLOOKUP(tblFinancials[[#This Row],[AccountKey]],tblAccounts[AccountKey],tblAccounts[AccountNumber],"")</f>
        <v>5000</v>
      </c>
      <c r="J996" t="str">
        <f>_xlfn.XLOOKUP(tblFinancials[[#This Row],[AccountKey]],tblAccounts[AccountKey],tblAccounts[AccountName],"")</f>
        <v>Cost of Goods Sold</v>
      </c>
      <c r="K996" s="8" t="str">
        <f>_xlfn.XLOOKUP(tblFinancials[[#This Row],[AccountKey]],tblAccounts[AccountKey],tblAccounts[FinancialStatement],"")</f>
        <v>Income Statement</v>
      </c>
      <c r="L996" s="8" t="str">
        <f>_xlfn.XLOOKUP(tblFinancials[[#This Row],[AccountKey]],tblAccounts[AccountKey],tblAccounts[AccountCategory],"")</f>
        <v>Cost of Sales</v>
      </c>
      <c r="M996" s="8" t="str">
        <f>_xlfn.XLOOKUP(tblFinancials[[#This Row],[AccountKey]],tblAccounts[AccountKey],tblAccounts[NormalBalance],"")</f>
        <v>Debit</v>
      </c>
      <c r="N996" s="8" t="str">
        <f>_xlfn.XLOOKUP(tblFinancials[[#This Row],[DepartmentKey]],tblDepartments[DepartmentKey],tblDepartments[DepartmentName],"")</f>
        <v>Human Resources</v>
      </c>
      <c r="O996" s="8" t="str">
        <f>_xlfn.XLOOKUP(tblFinancials[[#This Row],[BusinessUnitKey]],tblBusinessUnits[BusinessUnitKey],tblBusinessUnits[BusinessUnitName],"")</f>
        <v xml:space="preserve">Manufacturing </v>
      </c>
      <c r="P996" s="8" t="str">
        <f>_xlfn.XLOOKUP(tblFinancials[[#This Row],[RegionKey]],tblRegions[RegionKey],tblRegions[RegionName],"")</f>
        <v>West</v>
      </c>
    </row>
    <row r="997" spans="1:16">
      <c r="A997">
        <v>20250401</v>
      </c>
      <c r="B997">
        <v>6</v>
      </c>
      <c r="C997">
        <v>1</v>
      </c>
      <c r="D997">
        <v>3</v>
      </c>
      <c r="E997">
        <v>14</v>
      </c>
      <c r="F997" t="s">
        <v>92</v>
      </c>
      <c r="G997">
        <v>-21878.99</v>
      </c>
      <c r="H997">
        <f>_xlfn.XLOOKUP(tblFinancials[[#This Row],[DateKey]],tblCalendar[DateKey],tblCalendar[FullDate],"")</f>
        <v>45748</v>
      </c>
      <c r="I997">
        <f>_xlfn.XLOOKUP(tblFinancials[[#This Row],[AccountKey]],tblAccounts[AccountKey],tblAccounts[AccountNumber],"")</f>
        <v>5000</v>
      </c>
      <c r="J997" t="str">
        <f>_xlfn.XLOOKUP(tblFinancials[[#This Row],[AccountKey]],tblAccounts[AccountKey],tblAccounts[AccountName],"")</f>
        <v>Cost of Goods Sold</v>
      </c>
      <c r="K997" s="8" t="str">
        <f>_xlfn.XLOOKUP(tblFinancials[[#This Row],[AccountKey]],tblAccounts[AccountKey],tblAccounts[FinancialStatement],"")</f>
        <v>Income Statement</v>
      </c>
      <c r="L997" s="8" t="str">
        <f>_xlfn.XLOOKUP(tblFinancials[[#This Row],[AccountKey]],tblAccounts[AccountKey],tblAccounts[AccountCategory],"")</f>
        <v>Cost of Sales</v>
      </c>
      <c r="M997" s="8" t="str">
        <f>_xlfn.XLOOKUP(tblFinancials[[#This Row],[AccountKey]],tblAccounts[AccountKey],tblAccounts[NormalBalance],"")</f>
        <v>Debit</v>
      </c>
      <c r="N997" s="8" t="str">
        <f>_xlfn.XLOOKUP(tblFinancials[[#This Row],[DepartmentKey]],tblDepartments[DepartmentKey],tblDepartments[DepartmentName],"")</f>
        <v>Operations</v>
      </c>
      <c r="O997" s="8" t="str">
        <f>_xlfn.XLOOKUP(tblFinancials[[#This Row],[BusinessUnitKey]],tblBusinessUnits[BusinessUnitKey],tblBusinessUnits[BusinessUnitName],"")</f>
        <v xml:space="preserve">Manufacturing </v>
      </c>
      <c r="P997" s="8" t="str">
        <f>_xlfn.XLOOKUP(tblFinancials[[#This Row],[RegionKey]],tblRegions[RegionKey],tblRegions[RegionName],"")</f>
        <v>South</v>
      </c>
    </row>
    <row r="998" spans="1:16">
      <c r="A998">
        <v>20250401</v>
      </c>
      <c r="B998">
        <v>2</v>
      </c>
      <c r="C998">
        <v>1</v>
      </c>
      <c r="D998">
        <v>1</v>
      </c>
      <c r="E998">
        <v>22</v>
      </c>
      <c r="F998" t="s">
        <v>92</v>
      </c>
      <c r="G998">
        <v>-7167.67</v>
      </c>
      <c r="H998">
        <f>_xlfn.XLOOKUP(tblFinancials[[#This Row],[DateKey]],tblCalendar[DateKey],tblCalendar[FullDate],"")</f>
        <v>45748</v>
      </c>
      <c r="I998">
        <f>_xlfn.XLOOKUP(tblFinancials[[#This Row],[AccountKey]],tblAccounts[AccountKey],tblAccounts[AccountNumber],"")</f>
        <v>6700</v>
      </c>
      <c r="J998" t="str">
        <f>_xlfn.XLOOKUP(tblFinancials[[#This Row],[AccountKey]],tblAccounts[AccountKey],tblAccounts[AccountName],"")</f>
        <v>Insurance Expense</v>
      </c>
      <c r="K998" s="8" t="str">
        <f>_xlfn.XLOOKUP(tblFinancials[[#This Row],[AccountKey]],tblAccounts[AccountKey],tblAccounts[FinancialStatement],"")</f>
        <v>Income Statement</v>
      </c>
      <c r="L998" s="8" t="str">
        <f>_xlfn.XLOOKUP(tblFinancials[[#This Row],[AccountKey]],tblAccounts[AccountKey],tblAccounts[AccountCategory],"")</f>
        <v>Operating Expense</v>
      </c>
      <c r="M998" s="8" t="str">
        <f>_xlfn.XLOOKUP(tblFinancials[[#This Row],[AccountKey]],tblAccounts[AccountKey],tblAccounts[NormalBalance],"")</f>
        <v>Debit</v>
      </c>
      <c r="N998" s="8" t="str">
        <f>_xlfn.XLOOKUP(tblFinancials[[#This Row],[DepartmentKey]],tblDepartments[DepartmentKey],tblDepartments[DepartmentName],"")</f>
        <v>Finance</v>
      </c>
      <c r="O998" s="8" t="str">
        <f>_xlfn.XLOOKUP(tblFinancials[[#This Row],[BusinessUnitKey]],tblBusinessUnits[BusinessUnitKey],tblBusinessUnits[BusinessUnitName],"")</f>
        <v xml:space="preserve">Manufacturing </v>
      </c>
      <c r="P998" s="8" t="str">
        <f>_xlfn.XLOOKUP(tblFinancials[[#This Row],[RegionKey]],tblRegions[RegionKey],tblRegions[RegionName],"")</f>
        <v>West</v>
      </c>
    </row>
    <row r="999" spans="1:16">
      <c r="A999">
        <v>20250401</v>
      </c>
      <c r="B999">
        <v>2</v>
      </c>
      <c r="C999">
        <v>4</v>
      </c>
      <c r="D999">
        <v>1</v>
      </c>
      <c r="E999">
        <v>15</v>
      </c>
      <c r="F999" t="s">
        <v>92</v>
      </c>
      <c r="G999">
        <v>-8995.2999999999993</v>
      </c>
      <c r="H999">
        <f>_xlfn.XLOOKUP(tblFinancials[[#This Row],[DateKey]],tblCalendar[DateKey],tblCalendar[FullDate],"")</f>
        <v>45748</v>
      </c>
      <c r="I999">
        <f>_xlfn.XLOOKUP(tblFinancials[[#This Row],[AccountKey]],tblAccounts[AccountKey],tblAccounts[AccountNumber],"")</f>
        <v>6100</v>
      </c>
      <c r="J999" t="str">
        <f>_xlfn.XLOOKUP(tblFinancials[[#This Row],[AccountKey]],tblAccounts[AccountKey],tblAccounts[AccountName],"")</f>
        <v>Salaries Expense</v>
      </c>
      <c r="K999" s="8" t="str">
        <f>_xlfn.XLOOKUP(tblFinancials[[#This Row],[AccountKey]],tblAccounts[AccountKey],tblAccounts[FinancialStatement],"")</f>
        <v>Income Statement</v>
      </c>
      <c r="L999" s="8" t="str">
        <f>_xlfn.XLOOKUP(tblFinancials[[#This Row],[AccountKey]],tblAccounts[AccountKey],tblAccounts[AccountCategory],"")</f>
        <v>Operating Expense</v>
      </c>
      <c r="M999" s="8" t="str">
        <f>_xlfn.XLOOKUP(tblFinancials[[#This Row],[AccountKey]],tblAccounts[AccountKey],tblAccounts[NormalBalance],"")</f>
        <v>Debit</v>
      </c>
      <c r="N999" s="8" t="str">
        <f>_xlfn.XLOOKUP(tblFinancials[[#This Row],[DepartmentKey]],tblDepartments[DepartmentKey],tblDepartments[DepartmentName],"")</f>
        <v>Finance</v>
      </c>
      <c r="O999" s="8" t="str">
        <f>_xlfn.XLOOKUP(tblFinancials[[#This Row],[BusinessUnitKey]],tblBusinessUnits[BusinessUnitKey],tblBusinessUnits[BusinessUnitName],"")</f>
        <v>E-Commerce</v>
      </c>
      <c r="P999" s="8" t="str">
        <f>_xlfn.XLOOKUP(tblFinancials[[#This Row],[RegionKey]],tblRegions[RegionKey],tblRegions[RegionName],"")</f>
        <v>West</v>
      </c>
    </row>
    <row r="1000" spans="1:16">
      <c r="A1000">
        <v>20250401</v>
      </c>
      <c r="B1000">
        <v>3</v>
      </c>
      <c r="C1000">
        <v>1</v>
      </c>
      <c r="D1000">
        <v>2</v>
      </c>
      <c r="E1000">
        <v>17</v>
      </c>
      <c r="F1000" t="s">
        <v>92</v>
      </c>
      <c r="G1000">
        <v>-8317.43</v>
      </c>
      <c r="H1000">
        <f>_xlfn.XLOOKUP(tblFinancials[[#This Row],[DateKey]],tblCalendar[DateKey],tblCalendar[FullDate],"")</f>
        <v>45748</v>
      </c>
      <c r="I1000">
        <f>_xlfn.XLOOKUP(tblFinancials[[#This Row],[AccountKey]],tblAccounts[AccountKey],tblAccounts[AccountNumber],"")</f>
        <v>6120</v>
      </c>
      <c r="J1000" t="str">
        <f>_xlfn.XLOOKUP(tblFinancials[[#This Row],[AccountKey]],tblAccounts[AccountKey],tblAccounts[AccountName],"")</f>
        <v>Employee Benefits</v>
      </c>
      <c r="K1000" s="8" t="str">
        <f>_xlfn.XLOOKUP(tblFinancials[[#This Row],[AccountKey]],tblAccounts[AccountKey],tblAccounts[FinancialStatement],"")</f>
        <v>Income Statement</v>
      </c>
      <c r="L1000" s="8" t="str">
        <f>_xlfn.XLOOKUP(tblFinancials[[#This Row],[AccountKey]],tblAccounts[AccountKey],tblAccounts[AccountCategory],"")</f>
        <v>Operating Expense</v>
      </c>
      <c r="M1000" s="8" t="str">
        <f>_xlfn.XLOOKUP(tblFinancials[[#This Row],[AccountKey]],tblAccounts[AccountKey],tblAccounts[NormalBalance],"")</f>
        <v>Debit</v>
      </c>
      <c r="N1000" s="8" t="str">
        <f>_xlfn.XLOOKUP(tblFinancials[[#This Row],[DepartmentKey]],tblDepartments[DepartmentKey],tblDepartments[DepartmentName],"")</f>
        <v>Human Resources</v>
      </c>
      <c r="O1000" s="8" t="str">
        <f>_xlfn.XLOOKUP(tblFinancials[[#This Row],[BusinessUnitKey]],tblBusinessUnits[BusinessUnitKey],tblBusinessUnits[BusinessUnitName],"")</f>
        <v xml:space="preserve">Manufacturing </v>
      </c>
      <c r="P1000" s="8" t="str">
        <f>_xlfn.XLOOKUP(tblFinancials[[#This Row],[RegionKey]],tblRegions[RegionKey],tblRegions[RegionName],"")</f>
        <v>Midwest</v>
      </c>
    </row>
    <row r="1001" spans="1:16">
      <c r="A1001">
        <v>20250401</v>
      </c>
      <c r="B1001">
        <v>3</v>
      </c>
      <c r="C1001">
        <v>1</v>
      </c>
      <c r="D1001">
        <v>4</v>
      </c>
      <c r="E1001">
        <v>20</v>
      </c>
      <c r="F1001" t="s">
        <v>92</v>
      </c>
      <c r="G1001">
        <v>-8040.93</v>
      </c>
      <c r="H1001">
        <f>_xlfn.XLOOKUP(tblFinancials[[#This Row],[DateKey]],tblCalendar[DateKey],tblCalendar[FullDate],"")</f>
        <v>45748</v>
      </c>
      <c r="I1001">
        <f>_xlfn.XLOOKUP(tblFinancials[[#This Row],[AccountKey]],tblAccounts[AccountKey],tblAccounts[AccountNumber],"")</f>
        <v>6500</v>
      </c>
      <c r="J1001" t="str">
        <f>_xlfn.XLOOKUP(tblFinancials[[#This Row],[AccountKey]],tblAccounts[AccountKey],tblAccounts[AccountName],"")</f>
        <v>Rent Expense</v>
      </c>
      <c r="K1001" s="8" t="str">
        <f>_xlfn.XLOOKUP(tblFinancials[[#This Row],[AccountKey]],tblAccounts[AccountKey],tblAccounts[FinancialStatement],"")</f>
        <v>Income Statement</v>
      </c>
      <c r="L1001" s="8" t="str">
        <f>_xlfn.XLOOKUP(tblFinancials[[#This Row],[AccountKey]],tblAccounts[AccountKey],tblAccounts[AccountCategory],"")</f>
        <v>Operating Expense</v>
      </c>
      <c r="M1001" s="8" t="str">
        <f>_xlfn.XLOOKUP(tblFinancials[[#This Row],[AccountKey]],tblAccounts[AccountKey],tblAccounts[NormalBalance],"")</f>
        <v>Debit</v>
      </c>
      <c r="N1001" s="8" t="str">
        <f>_xlfn.XLOOKUP(tblFinancials[[#This Row],[DepartmentKey]],tblDepartments[DepartmentKey],tblDepartments[DepartmentName],"")</f>
        <v>Human Resources</v>
      </c>
      <c r="O1001" s="8" t="str">
        <f>_xlfn.XLOOKUP(tblFinancials[[#This Row],[BusinessUnitKey]],tblBusinessUnits[BusinessUnitKey],tblBusinessUnits[BusinessUnitName],"")</f>
        <v xml:space="preserve">Manufacturing </v>
      </c>
      <c r="P1001" s="8" t="str">
        <f>_xlfn.XLOOKUP(tblFinancials[[#This Row],[RegionKey]],tblRegions[RegionKey],tblRegions[RegionName],"")</f>
        <v>East</v>
      </c>
    </row>
    <row r="1002" spans="1:16">
      <c r="A1002">
        <v>20250401</v>
      </c>
      <c r="B1002">
        <v>8</v>
      </c>
      <c r="C1002">
        <v>1</v>
      </c>
      <c r="D1002">
        <v>3</v>
      </c>
      <c r="E1002">
        <v>24</v>
      </c>
      <c r="F1002" t="s">
        <v>92</v>
      </c>
      <c r="G1002">
        <v>-8613.56</v>
      </c>
      <c r="H1002">
        <f>_xlfn.XLOOKUP(tblFinancials[[#This Row],[DateKey]],tblCalendar[DateKey],tblCalendar[FullDate],"")</f>
        <v>45748</v>
      </c>
      <c r="I1002">
        <f>_xlfn.XLOOKUP(tblFinancials[[#This Row],[AccountKey]],tblAccounts[AccountKey],tblAccounts[AccountNumber],"")</f>
        <v>6900</v>
      </c>
      <c r="J1002" t="str">
        <f>_xlfn.XLOOKUP(tblFinancials[[#This Row],[AccountKey]],tblAccounts[AccountKey],tblAccounts[AccountName],"")</f>
        <v>Professional Services</v>
      </c>
      <c r="K1002" s="8" t="str">
        <f>_xlfn.XLOOKUP(tblFinancials[[#This Row],[AccountKey]],tblAccounts[AccountKey],tblAccounts[FinancialStatement],"")</f>
        <v>Income Statement</v>
      </c>
      <c r="L1002" s="8" t="str">
        <f>_xlfn.XLOOKUP(tblFinancials[[#This Row],[AccountKey]],tblAccounts[AccountKey],tblAccounts[AccountCategory],"")</f>
        <v>Operating Expense</v>
      </c>
      <c r="M1002" s="8" t="str">
        <f>_xlfn.XLOOKUP(tblFinancials[[#This Row],[AccountKey]],tblAccounts[AccountKey],tblAccounts[NormalBalance],"")</f>
        <v>Debit</v>
      </c>
      <c r="N1002" s="8" t="str">
        <f>_xlfn.XLOOKUP(tblFinancials[[#This Row],[DepartmentKey]],tblDepartments[DepartmentKey],tblDepartments[DepartmentName],"")</f>
        <v>Customer Service</v>
      </c>
      <c r="O1002" s="8" t="str">
        <f>_xlfn.XLOOKUP(tblFinancials[[#This Row],[BusinessUnitKey]],tblBusinessUnits[BusinessUnitKey],tblBusinessUnits[BusinessUnitName],"")</f>
        <v xml:space="preserve">Manufacturing </v>
      </c>
      <c r="P1002" s="8" t="str">
        <f>_xlfn.XLOOKUP(tblFinancials[[#This Row],[RegionKey]],tblRegions[RegionKey],tblRegions[RegionName],"")</f>
        <v>South</v>
      </c>
    </row>
    <row r="1003" spans="1:16">
      <c r="A1003">
        <v>20250401</v>
      </c>
      <c r="B1003">
        <v>7</v>
      </c>
      <c r="C1003">
        <v>2</v>
      </c>
      <c r="D1003">
        <v>4</v>
      </c>
      <c r="E1003">
        <v>25</v>
      </c>
      <c r="F1003" t="s">
        <v>92</v>
      </c>
      <c r="G1003">
        <v>-8329.93</v>
      </c>
      <c r="H1003">
        <f>_xlfn.XLOOKUP(tblFinancials[[#This Row],[DateKey]],tblCalendar[DateKey],tblCalendar[FullDate],"")</f>
        <v>45748</v>
      </c>
      <c r="I1003">
        <f>_xlfn.XLOOKUP(tblFinancials[[#This Row],[AccountKey]],tblAccounts[AccountKey],tblAccounts[AccountNumber],"")</f>
        <v>8200</v>
      </c>
      <c r="J1003" t="str">
        <f>_xlfn.XLOOKUP(tblFinancials[[#This Row],[AccountKey]],tblAccounts[AccountKey],tblAccounts[AccountName],"")</f>
        <v>Income Tax Expense</v>
      </c>
      <c r="K1003" s="8" t="str">
        <f>_xlfn.XLOOKUP(tblFinancials[[#This Row],[AccountKey]],tblAccounts[AccountKey],tblAccounts[FinancialStatement],"")</f>
        <v>Income Statement</v>
      </c>
      <c r="L1003" s="8" t="str">
        <f>_xlfn.XLOOKUP(tblFinancials[[#This Row],[AccountKey]],tblAccounts[AccountKey],tblAccounts[AccountCategory],"")</f>
        <v>Tax Expense</v>
      </c>
      <c r="M1003" s="8" t="str">
        <f>_xlfn.XLOOKUP(tblFinancials[[#This Row],[AccountKey]],tblAccounts[AccountKey],tblAccounts[NormalBalance],"")</f>
        <v>Debit</v>
      </c>
      <c r="N1003" s="8" t="str">
        <f>_xlfn.XLOOKUP(tblFinancials[[#This Row],[DepartmentKey]],tblDepartments[DepartmentKey],tblDepartments[DepartmentName],"")</f>
        <v>Information Technology</v>
      </c>
      <c r="O1003" s="8" t="str">
        <f>_xlfn.XLOOKUP(tblFinancials[[#This Row],[BusinessUnitKey]],tblBusinessUnits[BusinessUnitKey],tblBusinessUnits[BusinessUnitName],"")</f>
        <v>Wholesale</v>
      </c>
      <c r="P1003" s="8" t="str">
        <f>_xlfn.XLOOKUP(tblFinancials[[#This Row],[RegionKey]],tblRegions[RegionKey],tblRegions[RegionName],"")</f>
        <v>East</v>
      </c>
    </row>
    <row r="1004" spans="1:16">
      <c r="A1004">
        <v>20250401</v>
      </c>
      <c r="B1004">
        <v>6</v>
      </c>
      <c r="C1004">
        <v>3</v>
      </c>
      <c r="D1004">
        <v>1</v>
      </c>
      <c r="E1004">
        <v>19</v>
      </c>
      <c r="F1004" t="s">
        <v>92</v>
      </c>
      <c r="G1004">
        <v>-8904.7099999999991</v>
      </c>
      <c r="H1004">
        <f>_xlfn.XLOOKUP(tblFinancials[[#This Row],[DateKey]],tblCalendar[DateKey],tblCalendar[FullDate],"")</f>
        <v>45748</v>
      </c>
      <c r="I1004">
        <f>_xlfn.XLOOKUP(tblFinancials[[#This Row],[AccountKey]],tblAccounts[AccountKey],tblAccounts[AccountNumber],"")</f>
        <v>6300</v>
      </c>
      <c r="J1004" t="str">
        <f>_xlfn.XLOOKUP(tblFinancials[[#This Row],[AccountKey]],tblAccounts[AccountKey],tblAccounts[AccountName],"")</f>
        <v>Software Expense</v>
      </c>
      <c r="K1004" s="8" t="str">
        <f>_xlfn.XLOOKUP(tblFinancials[[#This Row],[AccountKey]],tblAccounts[AccountKey],tblAccounts[FinancialStatement],"")</f>
        <v>Income Statement</v>
      </c>
      <c r="L1004" s="8" t="str">
        <f>_xlfn.XLOOKUP(tblFinancials[[#This Row],[AccountKey]],tblAccounts[AccountKey],tblAccounts[AccountCategory],"")</f>
        <v>Operating Expense</v>
      </c>
      <c r="M1004" s="8" t="str">
        <f>_xlfn.XLOOKUP(tblFinancials[[#This Row],[AccountKey]],tblAccounts[AccountKey],tblAccounts[NormalBalance],"")</f>
        <v>Debit</v>
      </c>
      <c r="N1004" s="8" t="str">
        <f>_xlfn.XLOOKUP(tblFinancials[[#This Row],[DepartmentKey]],tblDepartments[DepartmentKey],tblDepartments[DepartmentName],"")</f>
        <v>Operations</v>
      </c>
      <c r="O1004" s="8" t="str">
        <f>_xlfn.XLOOKUP(tblFinancials[[#This Row],[BusinessUnitKey]],tblBusinessUnits[BusinessUnitKey],tblBusinessUnits[BusinessUnitName],"")</f>
        <v>Retail</v>
      </c>
      <c r="P1004" s="8" t="str">
        <f>_xlfn.XLOOKUP(tblFinancials[[#This Row],[RegionKey]],tblRegions[RegionKey],tblRegions[RegionName],"")</f>
        <v>West</v>
      </c>
    </row>
    <row r="1005" spans="1:16">
      <c r="A1005">
        <v>20250401</v>
      </c>
      <c r="B1005">
        <v>3</v>
      </c>
      <c r="C1005">
        <v>1</v>
      </c>
      <c r="D1005">
        <v>1</v>
      </c>
      <c r="E1005">
        <v>23</v>
      </c>
      <c r="F1005" t="s">
        <v>92</v>
      </c>
      <c r="G1005">
        <v>-6759.65</v>
      </c>
      <c r="H1005">
        <f>_xlfn.XLOOKUP(tblFinancials[[#This Row],[DateKey]],tblCalendar[DateKey],tblCalendar[FullDate],"")</f>
        <v>45748</v>
      </c>
      <c r="I1005">
        <f>_xlfn.XLOOKUP(tblFinancials[[#This Row],[AccountKey]],tblAccounts[AccountKey],tblAccounts[AccountNumber],"")</f>
        <v>6800</v>
      </c>
      <c r="J1005" t="str">
        <f>_xlfn.XLOOKUP(tblFinancials[[#This Row],[AccountKey]],tblAccounts[AccountKey],tblAccounts[AccountName],"")</f>
        <v>Travel Expense</v>
      </c>
      <c r="K1005" s="8" t="str">
        <f>_xlfn.XLOOKUP(tblFinancials[[#This Row],[AccountKey]],tblAccounts[AccountKey],tblAccounts[FinancialStatement],"")</f>
        <v>Income Statement</v>
      </c>
      <c r="L1005" s="8" t="str">
        <f>_xlfn.XLOOKUP(tblFinancials[[#This Row],[AccountKey]],tblAccounts[AccountKey],tblAccounts[AccountCategory],"")</f>
        <v>Operating Expense</v>
      </c>
      <c r="M1005" s="8" t="str">
        <f>_xlfn.XLOOKUP(tblFinancials[[#This Row],[AccountKey]],tblAccounts[AccountKey],tblAccounts[NormalBalance],"")</f>
        <v>Debit</v>
      </c>
      <c r="N1005" s="8" t="str">
        <f>_xlfn.XLOOKUP(tblFinancials[[#This Row],[DepartmentKey]],tblDepartments[DepartmentKey],tblDepartments[DepartmentName],"")</f>
        <v>Human Resources</v>
      </c>
      <c r="O1005" s="8" t="str">
        <f>_xlfn.XLOOKUP(tblFinancials[[#This Row],[BusinessUnitKey]],tblBusinessUnits[BusinessUnitKey],tblBusinessUnits[BusinessUnitName],"")</f>
        <v xml:space="preserve">Manufacturing </v>
      </c>
      <c r="P1005" s="8" t="str">
        <f>_xlfn.XLOOKUP(tblFinancials[[#This Row],[RegionKey]],tblRegions[RegionKey],tblRegions[RegionName],"")</f>
        <v>West</v>
      </c>
    </row>
    <row r="1006" spans="1:16">
      <c r="A1006">
        <v>20250401</v>
      </c>
      <c r="B1006">
        <v>7</v>
      </c>
      <c r="C1006">
        <v>2</v>
      </c>
      <c r="D1006">
        <v>2</v>
      </c>
      <c r="E1006">
        <v>23</v>
      </c>
      <c r="F1006" t="s">
        <v>92</v>
      </c>
      <c r="G1006">
        <v>-7222.19</v>
      </c>
      <c r="H1006">
        <f>_xlfn.XLOOKUP(tblFinancials[[#This Row],[DateKey]],tblCalendar[DateKey],tblCalendar[FullDate],"")</f>
        <v>45748</v>
      </c>
      <c r="I1006">
        <f>_xlfn.XLOOKUP(tblFinancials[[#This Row],[AccountKey]],tblAccounts[AccountKey],tblAccounts[AccountNumber],"")</f>
        <v>6800</v>
      </c>
      <c r="J1006" t="str">
        <f>_xlfn.XLOOKUP(tblFinancials[[#This Row],[AccountKey]],tblAccounts[AccountKey],tblAccounts[AccountName],"")</f>
        <v>Travel Expense</v>
      </c>
      <c r="K1006" s="8" t="str">
        <f>_xlfn.XLOOKUP(tblFinancials[[#This Row],[AccountKey]],tblAccounts[AccountKey],tblAccounts[FinancialStatement],"")</f>
        <v>Income Statement</v>
      </c>
      <c r="L1006" s="8" t="str">
        <f>_xlfn.XLOOKUP(tblFinancials[[#This Row],[AccountKey]],tblAccounts[AccountKey],tblAccounts[AccountCategory],"")</f>
        <v>Operating Expense</v>
      </c>
      <c r="M1006" s="8" t="str">
        <f>_xlfn.XLOOKUP(tblFinancials[[#This Row],[AccountKey]],tblAccounts[AccountKey],tblAccounts[NormalBalance],"")</f>
        <v>Debit</v>
      </c>
      <c r="N1006" s="8" t="str">
        <f>_xlfn.XLOOKUP(tblFinancials[[#This Row],[DepartmentKey]],tblDepartments[DepartmentKey],tblDepartments[DepartmentName],"")</f>
        <v>Information Technology</v>
      </c>
      <c r="O1006" s="8" t="str">
        <f>_xlfn.XLOOKUP(tblFinancials[[#This Row],[BusinessUnitKey]],tblBusinessUnits[BusinessUnitKey],tblBusinessUnits[BusinessUnitName],"")</f>
        <v>Wholesale</v>
      </c>
      <c r="P1006" s="8" t="str">
        <f>_xlfn.XLOOKUP(tblFinancials[[#This Row],[RegionKey]],tblRegions[RegionKey],tblRegions[RegionName],"")</f>
        <v>Midwest</v>
      </c>
    </row>
    <row r="1007" spans="1:16">
      <c r="A1007">
        <v>20250401</v>
      </c>
      <c r="B1007">
        <v>3</v>
      </c>
      <c r="C1007">
        <v>2</v>
      </c>
      <c r="D1007">
        <v>2</v>
      </c>
      <c r="E1007">
        <v>21</v>
      </c>
      <c r="F1007" t="s">
        <v>92</v>
      </c>
      <c r="G1007">
        <v>-8269.7800000000007</v>
      </c>
      <c r="H1007">
        <f>_xlfn.XLOOKUP(tblFinancials[[#This Row],[DateKey]],tblCalendar[DateKey],tblCalendar[FullDate],"")</f>
        <v>45748</v>
      </c>
      <c r="I1007">
        <f>_xlfn.XLOOKUP(tblFinancials[[#This Row],[AccountKey]],tblAccounts[AccountKey],tblAccounts[AccountNumber],"")</f>
        <v>6600</v>
      </c>
      <c r="J1007" t="str">
        <f>_xlfn.XLOOKUP(tblFinancials[[#This Row],[AccountKey]],tblAccounts[AccountKey],tblAccounts[AccountName],"")</f>
        <v>Utilities Expense</v>
      </c>
      <c r="K1007" s="8" t="str">
        <f>_xlfn.XLOOKUP(tblFinancials[[#This Row],[AccountKey]],tblAccounts[AccountKey],tblAccounts[FinancialStatement],"")</f>
        <v>Income Statement</v>
      </c>
      <c r="L1007" s="8" t="str">
        <f>_xlfn.XLOOKUP(tblFinancials[[#This Row],[AccountKey]],tblAccounts[AccountKey],tblAccounts[AccountCategory],"")</f>
        <v>Operating Expense</v>
      </c>
      <c r="M1007" s="8" t="str">
        <f>_xlfn.XLOOKUP(tblFinancials[[#This Row],[AccountKey]],tblAccounts[AccountKey],tblAccounts[NormalBalance],"")</f>
        <v>Debit</v>
      </c>
      <c r="N1007" s="8" t="str">
        <f>_xlfn.XLOOKUP(tblFinancials[[#This Row],[DepartmentKey]],tblDepartments[DepartmentKey],tblDepartments[DepartmentName],"")</f>
        <v>Human Resources</v>
      </c>
      <c r="O1007" s="8" t="str">
        <f>_xlfn.XLOOKUP(tblFinancials[[#This Row],[BusinessUnitKey]],tblBusinessUnits[BusinessUnitKey],tblBusinessUnits[BusinessUnitName],"")</f>
        <v>Wholesale</v>
      </c>
      <c r="P1007" s="8" t="str">
        <f>_xlfn.XLOOKUP(tblFinancials[[#This Row],[RegionKey]],tblRegions[RegionKey],tblRegions[RegionName],"")</f>
        <v>Midwest</v>
      </c>
    </row>
    <row r="1008" spans="1:16">
      <c r="A1008">
        <v>20250401</v>
      </c>
      <c r="B1008">
        <v>5</v>
      </c>
      <c r="C1008">
        <v>4</v>
      </c>
      <c r="D1008">
        <v>4</v>
      </c>
      <c r="E1008">
        <v>19</v>
      </c>
      <c r="F1008" t="s">
        <v>92</v>
      </c>
      <c r="G1008">
        <v>-7448.18</v>
      </c>
      <c r="H1008">
        <f>_xlfn.XLOOKUP(tblFinancials[[#This Row],[DateKey]],tblCalendar[DateKey],tblCalendar[FullDate],"")</f>
        <v>45748</v>
      </c>
      <c r="I1008">
        <f>_xlfn.XLOOKUP(tblFinancials[[#This Row],[AccountKey]],tblAccounts[AccountKey],tblAccounts[AccountNumber],"")</f>
        <v>6300</v>
      </c>
      <c r="J1008" t="str">
        <f>_xlfn.XLOOKUP(tblFinancials[[#This Row],[AccountKey]],tblAccounts[AccountKey],tblAccounts[AccountName],"")</f>
        <v>Software Expense</v>
      </c>
      <c r="K1008" s="8" t="str">
        <f>_xlfn.XLOOKUP(tblFinancials[[#This Row],[AccountKey]],tblAccounts[AccountKey],tblAccounts[FinancialStatement],"")</f>
        <v>Income Statement</v>
      </c>
      <c r="L1008" s="8" t="str">
        <f>_xlfn.XLOOKUP(tblFinancials[[#This Row],[AccountKey]],tblAccounts[AccountKey],tblAccounts[AccountCategory],"")</f>
        <v>Operating Expense</v>
      </c>
      <c r="M1008" s="8" t="str">
        <f>_xlfn.XLOOKUP(tblFinancials[[#This Row],[AccountKey]],tblAccounts[AccountKey],tblAccounts[NormalBalance],"")</f>
        <v>Debit</v>
      </c>
      <c r="N1008" s="8" t="str">
        <f>_xlfn.XLOOKUP(tblFinancials[[#This Row],[DepartmentKey]],tblDepartments[DepartmentKey],tblDepartments[DepartmentName],"")</f>
        <v>Marketing</v>
      </c>
      <c r="O1008" s="8" t="str">
        <f>_xlfn.XLOOKUP(tblFinancials[[#This Row],[BusinessUnitKey]],tblBusinessUnits[BusinessUnitKey],tblBusinessUnits[BusinessUnitName],"")</f>
        <v>E-Commerce</v>
      </c>
      <c r="P1008" s="8" t="str">
        <f>_xlfn.XLOOKUP(tblFinancials[[#This Row],[RegionKey]],tblRegions[RegionKey],tblRegions[RegionName],"")</f>
        <v>East</v>
      </c>
    </row>
    <row r="1009" spans="1:16">
      <c r="A1009">
        <v>20250401</v>
      </c>
      <c r="B1009">
        <v>3</v>
      </c>
      <c r="C1009">
        <v>1</v>
      </c>
      <c r="D1009">
        <v>4</v>
      </c>
      <c r="E1009">
        <v>25</v>
      </c>
      <c r="F1009" t="s">
        <v>92</v>
      </c>
      <c r="G1009">
        <v>-5566.66</v>
      </c>
      <c r="H1009">
        <f>_xlfn.XLOOKUP(tblFinancials[[#This Row],[DateKey]],tblCalendar[DateKey],tblCalendar[FullDate],"")</f>
        <v>45748</v>
      </c>
      <c r="I1009">
        <f>_xlfn.XLOOKUP(tblFinancials[[#This Row],[AccountKey]],tblAccounts[AccountKey],tblAccounts[AccountNumber],"")</f>
        <v>8200</v>
      </c>
      <c r="J1009" t="str">
        <f>_xlfn.XLOOKUP(tblFinancials[[#This Row],[AccountKey]],tblAccounts[AccountKey],tblAccounts[AccountName],"")</f>
        <v>Income Tax Expense</v>
      </c>
      <c r="K1009" s="8" t="str">
        <f>_xlfn.XLOOKUP(tblFinancials[[#This Row],[AccountKey]],tblAccounts[AccountKey],tblAccounts[FinancialStatement],"")</f>
        <v>Income Statement</v>
      </c>
      <c r="L1009" s="8" t="str">
        <f>_xlfn.XLOOKUP(tblFinancials[[#This Row],[AccountKey]],tblAccounts[AccountKey],tblAccounts[AccountCategory],"")</f>
        <v>Tax Expense</v>
      </c>
      <c r="M1009" s="8" t="str">
        <f>_xlfn.XLOOKUP(tblFinancials[[#This Row],[AccountKey]],tblAccounts[AccountKey],tblAccounts[NormalBalance],"")</f>
        <v>Debit</v>
      </c>
      <c r="N1009" s="8" t="str">
        <f>_xlfn.XLOOKUP(tblFinancials[[#This Row],[DepartmentKey]],tblDepartments[DepartmentKey],tblDepartments[DepartmentName],"")</f>
        <v>Human Resources</v>
      </c>
      <c r="O1009" s="8" t="str">
        <f>_xlfn.XLOOKUP(tblFinancials[[#This Row],[BusinessUnitKey]],tblBusinessUnits[BusinessUnitKey],tblBusinessUnits[BusinessUnitName],"")</f>
        <v xml:space="preserve">Manufacturing </v>
      </c>
      <c r="P1009" s="8" t="str">
        <f>_xlfn.XLOOKUP(tblFinancials[[#This Row],[RegionKey]],tblRegions[RegionKey],tblRegions[RegionName],"")</f>
        <v>East</v>
      </c>
    </row>
    <row r="1010" spans="1:16">
      <c r="A1010">
        <v>20250501</v>
      </c>
      <c r="B1010">
        <v>5</v>
      </c>
      <c r="C1010">
        <v>4</v>
      </c>
      <c r="D1010">
        <v>4</v>
      </c>
      <c r="E1010">
        <v>12</v>
      </c>
      <c r="F1010" t="s">
        <v>92</v>
      </c>
      <c r="G1010">
        <v>35500.21</v>
      </c>
      <c r="H1010">
        <f>_xlfn.XLOOKUP(tblFinancials[[#This Row],[DateKey]],tblCalendar[DateKey],tblCalendar[FullDate],"")</f>
        <v>45778</v>
      </c>
      <c r="I1010">
        <f>_xlfn.XLOOKUP(tblFinancials[[#This Row],[AccountKey]],tblAccounts[AccountKey],tblAccounts[AccountNumber],"")</f>
        <v>4010</v>
      </c>
      <c r="J1010" t="str">
        <f>_xlfn.XLOOKUP(tblFinancials[[#This Row],[AccountKey]],tblAccounts[AccountKey],tblAccounts[AccountName],"")</f>
        <v>Service Revenue</v>
      </c>
      <c r="K1010" s="8" t="str">
        <f>_xlfn.XLOOKUP(tblFinancials[[#This Row],[AccountKey]],tblAccounts[AccountKey],tblAccounts[FinancialStatement],"")</f>
        <v>Income Statement</v>
      </c>
      <c r="L1010" s="8" t="str">
        <f>_xlfn.XLOOKUP(tblFinancials[[#This Row],[AccountKey]],tblAccounts[AccountKey],tblAccounts[AccountCategory],"")</f>
        <v>Revenue</v>
      </c>
      <c r="M1010" s="8" t="str">
        <f>_xlfn.XLOOKUP(tblFinancials[[#This Row],[AccountKey]],tblAccounts[AccountKey],tblAccounts[NormalBalance],"")</f>
        <v>Credit</v>
      </c>
      <c r="N1010" s="8" t="str">
        <f>_xlfn.XLOOKUP(tblFinancials[[#This Row],[DepartmentKey]],tblDepartments[DepartmentKey],tblDepartments[DepartmentName],"")</f>
        <v>Marketing</v>
      </c>
      <c r="O1010" s="8" t="str">
        <f>_xlfn.XLOOKUP(tblFinancials[[#This Row],[BusinessUnitKey]],tblBusinessUnits[BusinessUnitKey],tblBusinessUnits[BusinessUnitName],"")</f>
        <v>E-Commerce</v>
      </c>
      <c r="P1010" s="8" t="str">
        <f>_xlfn.XLOOKUP(tblFinancials[[#This Row],[RegionKey]],tblRegions[RegionKey],tblRegions[RegionName],"")</f>
        <v>East</v>
      </c>
    </row>
    <row r="1011" spans="1:16">
      <c r="A1011">
        <v>20250501</v>
      </c>
      <c r="B1011">
        <v>8</v>
      </c>
      <c r="C1011">
        <v>4</v>
      </c>
      <c r="D1011">
        <v>4</v>
      </c>
      <c r="E1011">
        <v>12</v>
      </c>
      <c r="F1011" t="s">
        <v>92</v>
      </c>
      <c r="G1011">
        <v>33975.949999999997</v>
      </c>
      <c r="H1011">
        <f>_xlfn.XLOOKUP(tblFinancials[[#This Row],[DateKey]],tblCalendar[DateKey],tblCalendar[FullDate],"")</f>
        <v>45778</v>
      </c>
      <c r="I1011">
        <f>_xlfn.XLOOKUP(tblFinancials[[#This Row],[AccountKey]],tblAccounts[AccountKey],tblAccounts[AccountNumber],"")</f>
        <v>4010</v>
      </c>
      <c r="J1011" t="str">
        <f>_xlfn.XLOOKUP(tblFinancials[[#This Row],[AccountKey]],tblAccounts[AccountKey],tblAccounts[AccountName],"")</f>
        <v>Service Revenue</v>
      </c>
      <c r="K1011" s="8" t="str">
        <f>_xlfn.XLOOKUP(tblFinancials[[#This Row],[AccountKey]],tblAccounts[AccountKey],tblAccounts[FinancialStatement],"")</f>
        <v>Income Statement</v>
      </c>
      <c r="L1011" s="8" t="str">
        <f>_xlfn.XLOOKUP(tblFinancials[[#This Row],[AccountKey]],tblAccounts[AccountKey],tblAccounts[AccountCategory],"")</f>
        <v>Revenue</v>
      </c>
      <c r="M1011" s="8" t="str">
        <f>_xlfn.XLOOKUP(tblFinancials[[#This Row],[AccountKey]],tblAccounts[AccountKey],tblAccounts[NormalBalance],"")</f>
        <v>Credit</v>
      </c>
      <c r="N1011" s="8" t="str">
        <f>_xlfn.XLOOKUP(tblFinancials[[#This Row],[DepartmentKey]],tblDepartments[DepartmentKey],tblDepartments[DepartmentName],"")</f>
        <v>Customer Service</v>
      </c>
      <c r="O1011" s="8" t="str">
        <f>_xlfn.XLOOKUP(tblFinancials[[#This Row],[BusinessUnitKey]],tblBusinessUnits[BusinessUnitKey],tblBusinessUnits[BusinessUnitName],"")</f>
        <v>E-Commerce</v>
      </c>
      <c r="P1011" s="8" t="str">
        <f>_xlfn.XLOOKUP(tblFinancials[[#This Row],[RegionKey]],tblRegions[RegionKey],tblRegions[RegionName],"")</f>
        <v>East</v>
      </c>
    </row>
    <row r="1012" spans="1:16">
      <c r="A1012">
        <v>20250501</v>
      </c>
      <c r="B1012">
        <v>7</v>
      </c>
      <c r="C1012">
        <v>3</v>
      </c>
      <c r="D1012">
        <v>3</v>
      </c>
      <c r="E1012">
        <v>11</v>
      </c>
      <c r="F1012" t="s">
        <v>92</v>
      </c>
      <c r="G1012">
        <v>35136.379999999997</v>
      </c>
      <c r="H1012">
        <f>_xlfn.XLOOKUP(tblFinancials[[#This Row],[DateKey]],tblCalendar[DateKey],tblCalendar[FullDate],"")</f>
        <v>45778</v>
      </c>
      <c r="I1012">
        <f>_xlfn.XLOOKUP(tblFinancials[[#This Row],[AccountKey]],tblAccounts[AccountKey],tblAccounts[AccountNumber],"")</f>
        <v>4000</v>
      </c>
      <c r="J1012" t="str">
        <f>_xlfn.XLOOKUP(tblFinancials[[#This Row],[AccountKey]],tblAccounts[AccountKey],tblAccounts[AccountName],"")</f>
        <v>Product Revenue</v>
      </c>
      <c r="K1012" s="8" t="str">
        <f>_xlfn.XLOOKUP(tblFinancials[[#This Row],[AccountKey]],tblAccounts[AccountKey],tblAccounts[FinancialStatement],"")</f>
        <v>Income Statement</v>
      </c>
      <c r="L1012" s="8" t="str">
        <f>_xlfn.XLOOKUP(tblFinancials[[#This Row],[AccountKey]],tblAccounts[AccountKey],tblAccounts[AccountCategory],"")</f>
        <v>Revenue</v>
      </c>
      <c r="M1012" s="8" t="str">
        <f>_xlfn.XLOOKUP(tblFinancials[[#This Row],[AccountKey]],tblAccounts[AccountKey],tblAccounts[NormalBalance],"")</f>
        <v>Credit</v>
      </c>
      <c r="N1012" s="8" t="str">
        <f>_xlfn.XLOOKUP(tblFinancials[[#This Row],[DepartmentKey]],tblDepartments[DepartmentKey],tblDepartments[DepartmentName],"")</f>
        <v>Information Technology</v>
      </c>
      <c r="O1012" s="8" t="str">
        <f>_xlfn.XLOOKUP(tblFinancials[[#This Row],[BusinessUnitKey]],tblBusinessUnits[BusinessUnitKey],tblBusinessUnits[BusinessUnitName],"")</f>
        <v>Retail</v>
      </c>
      <c r="P1012" s="8" t="str">
        <f>_xlfn.XLOOKUP(tblFinancials[[#This Row],[RegionKey]],tblRegions[RegionKey],tblRegions[RegionName],"")</f>
        <v>South</v>
      </c>
    </row>
    <row r="1013" spans="1:16">
      <c r="A1013">
        <v>20250501</v>
      </c>
      <c r="B1013">
        <v>7</v>
      </c>
      <c r="C1013">
        <v>1</v>
      </c>
      <c r="D1013">
        <v>4</v>
      </c>
      <c r="E1013">
        <v>12</v>
      </c>
      <c r="F1013" t="s">
        <v>92</v>
      </c>
      <c r="G1013">
        <v>34561.019999999997</v>
      </c>
      <c r="H1013">
        <f>_xlfn.XLOOKUP(tblFinancials[[#This Row],[DateKey]],tblCalendar[DateKey],tblCalendar[FullDate],"")</f>
        <v>45778</v>
      </c>
      <c r="I1013">
        <f>_xlfn.XLOOKUP(tblFinancials[[#This Row],[AccountKey]],tblAccounts[AccountKey],tblAccounts[AccountNumber],"")</f>
        <v>4010</v>
      </c>
      <c r="J1013" t="str">
        <f>_xlfn.XLOOKUP(tblFinancials[[#This Row],[AccountKey]],tblAccounts[AccountKey],tblAccounts[AccountName],"")</f>
        <v>Service Revenue</v>
      </c>
      <c r="K1013" s="8" t="str">
        <f>_xlfn.XLOOKUP(tblFinancials[[#This Row],[AccountKey]],tblAccounts[AccountKey],tblAccounts[FinancialStatement],"")</f>
        <v>Income Statement</v>
      </c>
      <c r="L1013" s="8" t="str">
        <f>_xlfn.XLOOKUP(tblFinancials[[#This Row],[AccountKey]],tblAccounts[AccountKey],tblAccounts[AccountCategory],"")</f>
        <v>Revenue</v>
      </c>
      <c r="M1013" s="8" t="str">
        <f>_xlfn.XLOOKUP(tblFinancials[[#This Row],[AccountKey]],tblAccounts[AccountKey],tblAccounts[NormalBalance],"")</f>
        <v>Credit</v>
      </c>
      <c r="N1013" s="8" t="str">
        <f>_xlfn.XLOOKUP(tblFinancials[[#This Row],[DepartmentKey]],tblDepartments[DepartmentKey],tblDepartments[DepartmentName],"")</f>
        <v>Information Technology</v>
      </c>
      <c r="O1013" s="8" t="str">
        <f>_xlfn.XLOOKUP(tblFinancials[[#This Row],[BusinessUnitKey]],tblBusinessUnits[BusinessUnitKey],tblBusinessUnits[BusinessUnitName],"")</f>
        <v xml:space="preserve">Manufacturing </v>
      </c>
      <c r="P1013" s="8" t="str">
        <f>_xlfn.XLOOKUP(tblFinancials[[#This Row],[RegionKey]],tblRegions[RegionKey],tblRegions[RegionName],"")</f>
        <v>East</v>
      </c>
    </row>
    <row r="1014" spans="1:16">
      <c r="A1014">
        <v>20250501</v>
      </c>
      <c r="B1014">
        <v>6</v>
      </c>
      <c r="C1014">
        <v>4</v>
      </c>
      <c r="D1014">
        <v>2</v>
      </c>
      <c r="E1014">
        <v>13</v>
      </c>
      <c r="F1014" t="s">
        <v>92</v>
      </c>
      <c r="G1014">
        <v>35600.6</v>
      </c>
      <c r="H1014">
        <f>_xlfn.XLOOKUP(tblFinancials[[#This Row],[DateKey]],tblCalendar[DateKey],tblCalendar[FullDate],"")</f>
        <v>45778</v>
      </c>
      <c r="I1014">
        <f>_xlfn.XLOOKUP(tblFinancials[[#This Row],[AccountKey]],tblAccounts[AccountKey],tblAccounts[AccountNumber],"")</f>
        <v>4020</v>
      </c>
      <c r="J1014" t="str">
        <f>_xlfn.XLOOKUP(tblFinancials[[#This Row],[AccountKey]],tblAccounts[AccountKey],tblAccounts[AccountName],"")</f>
        <v>Online Revenue</v>
      </c>
      <c r="K1014" s="8" t="str">
        <f>_xlfn.XLOOKUP(tblFinancials[[#This Row],[AccountKey]],tblAccounts[AccountKey],tblAccounts[FinancialStatement],"")</f>
        <v>Income Statement</v>
      </c>
      <c r="L1014" s="8" t="str">
        <f>_xlfn.XLOOKUP(tblFinancials[[#This Row],[AccountKey]],tblAccounts[AccountKey],tblAccounts[AccountCategory],"")</f>
        <v>Revenue</v>
      </c>
      <c r="M1014" s="8" t="str">
        <f>_xlfn.XLOOKUP(tblFinancials[[#This Row],[AccountKey]],tblAccounts[AccountKey],tblAccounts[NormalBalance],"")</f>
        <v>Credit</v>
      </c>
      <c r="N1014" s="8" t="str">
        <f>_xlfn.XLOOKUP(tblFinancials[[#This Row],[DepartmentKey]],tblDepartments[DepartmentKey],tblDepartments[DepartmentName],"")</f>
        <v>Operations</v>
      </c>
      <c r="O1014" s="8" t="str">
        <f>_xlfn.XLOOKUP(tblFinancials[[#This Row],[BusinessUnitKey]],tblBusinessUnits[BusinessUnitKey],tblBusinessUnits[BusinessUnitName],"")</f>
        <v>E-Commerce</v>
      </c>
      <c r="P1014" s="8" t="str">
        <f>_xlfn.XLOOKUP(tblFinancials[[#This Row],[RegionKey]],tblRegions[RegionKey],tblRegions[RegionName],"")</f>
        <v>Midwest</v>
      </c>
    </row>
    <row r="1015" spans="1:16">
      <c r="A1015">
        <v>20250501</v>
      </c>
      <c r="B1015">
        <v>5</v>
      </c>
      <c r="C1015">
        <v>1</v>
      </c>
      <c r="D1015">
        <v>4</v>
      </c>
      <c r="E1015">
        <v>13</v>
      </c>
      <c r="F1015" t="s">
        <v>92</v>
      </c>
      <c r="G1015">
        <v>33885.269999999997</v>
      </c>
      <c r="H1015">
        <f>_xlfn.XLOOKUP(tblFinancials[[#This Row],[DateKey]],tblCalendar[DateKey],tblCalendar[FullDate],"")</f>
        <v>45778</v>
      </c>
      <c r="I1015">
        <f>_xlfn.XLOOKUP(tblFinancials[[#This Row],[AccountKey]],tblAccounts[AccountKey],tblAccounts[AccountNumber],"")</f>
        <v>4020</v>
      </c>
      <c r="J1015" t="str">
        <f>_xlfn.XLOOKUP(tblFinancials[[#This Row],[AccountKey]],tblAccounts[AccountKey],tblAccounts[AccountName],"")</f>
        <v>Online Revenue</v>
      </c>
      <c r="K1015" s="8" t="str">
        <f>_xlfn.XLOOKUP(tblFinancials[[#This Row],[AccountKey]],tblAccounts[AccountKey],tblAccounts[FinancialStatement],"")</f>
        <v>Income Statement</v>
      </c>
      <c r="L1015" s="8" t="str">
        <f>_xlfn.XLOOKUP(tblFinancials[[#This Row],[AccountKey]],tblAccounts[AccountKey],tblAccounts[AccountCategory],"")</f>
        <v>Revenue</v>
      </c>
      <c r="M1015" s="8" t="str">
        <f>_xlfn.XLOOKUP(tblFinancials[[#This Row],[AccountKey]],tblAccounts[AccountKey],tblAccounts[NormalBalance],"")</f>
        <v>Credit</v>
      </c>
      <c r="N1015" s="8" t="str">
        <f>_xlfn.XLOOKUP(tblFinancials[[#This Row],[DepartmentKey]],tblDepartments[DepartmentKey],tblDepartments[DepartmentName],"")</f>
        <v>Marketing</v>
      </c>
      <c r="O1015" s="8" t="str">
        <f>_xlfn.XLOOKUP(tblFinancials[[#This Row],[BusinessUnitKey]],tblBusinessUnits[BusinessUnitKey],tblBusinessUnits[BusinessUnitName],"")</f>
        <v xml:space="preserve">Manufacturing </v>
      </c>
      <c r="P1015" s="8" t="str">
        <f>_xlfn.XLOOKUP(tblFinancials[[#This Row],[RegionKey]],tblRegions[RegionKey],tblRegions[RegionName],"")</f>
        <v>East</v>
      </c>
    </row>
    <row r="1016" spans="1:16">
      <c r="A1016">
        <v>20250501</v>
      </c>
      <c r="B1016">
        <v>8</v>
      </c>
      <c r="C1016">
        <v>3</v>
      </c>
      <c r="D1016">
        <v>4</v>
      </c>
      <c r="E1016">
        <v>13</v>
      </c>
      <c r="F1016" t="s">
        <v>92</v>
      </c>
      <c r="G1016">
        <v>34576.800000000003</v>
      </c>
      <c r="H1016">
        <f>_xlfn.XLOOKUP(tblFinancials[[#This Row],[DateKey]],tblCalendar[DateKey],tblCalendar[FullDate],"")</f>
        <v>45778</v>
      </c>
      <c r="I1016">
        <f>_xlfn.XLOOKUP(tblFinancials[[#This Row],[AccountKey]],tblAccounts[AccountKey],tblAccounts[AccountNumber],"")</f>
        <v>4020</v>
      </c>
      <c r="J1016" t="str">
        <f>_xlfn.XLOOKUP(tblFinancials[[#This Row],[AccountKey]],tblAccounts[AccountKey],tblAccounts[AccountName],"")</f>
        <v>Online Revenue</v>
      </c>
      <c r="K1016" s="8" t="str">
        <f>_xlfn.XLOOKUP(tblFinancials[[#This Row],[AccountKey]],tblAccounts[AccountKey],tblAccounts[FinancialStatement],"")</f>
        <v>Income Statement</v>
      </c>
      <c r="L1016" s="8" t="str">
        <f>_xlfn.XLOOKUP(tblFinancials[[#This Row],[AccountKey]],tblAccounts[AccountKey],tblAccounts[AccountCategory],"")</f>
        <v>Revenue</v>
      </c>
      <c r="M1016" s="8" t="str">
        <f>_xlfn.XLOOKUP(tblFinancials[[#This Row],[AccountKey]],tblAccounts[AccountKey],tblAccounts[NormalBalance],"")</f>
        <v>Credit</v>
      </c>
      <c r="N1016" s="8" t="str">
        <f>_xlfn.XLOOKUP(tblFinancials[[#This Row],[DepartmentKey]],tblDepartments[DepartmentKey],tblDepartments[DepartmentName],"")</f>
        <v>Customer Service</v>
      </c>
      <c r="O1016" s="8" t="str">
        <f>_xlfn.XLOOKUP(tblFinancials[[#This Row],[BusinessUnitKey]],tblBusinessUnits[BusinessUnitKey],tblBusinessUnits[BusinessUnitName],"")</f>
        <v>Retail</v>
      </c>
      <c r="P1016" s="8" t="str">
        <f>_xlfn.XLOOKUP(tblFinancials[[#This Row],[RegionKey]],tblRegions[RegionKey],tblRegions[RegionName],"")</f>
        <v>East</v>
      </c>
    </row>
    <row r="1017" spans="1:16">
      <c r="A1017">
        <v>20250501</v>
      </c>
      <c r="B1017">
        <v>2</v>
      </c>
      <c r="C1017">
        <v>2</v>
      </c>
      <c r="D1017">
        <v>3</v>
      </c>
      <c r="E1017">
        <v>11</v>
      </c>
      <c r="F1017" t="s">
        <v>92</v>
      </c>
      <c r="G1017">
        <v>34120.68</v>
      </c>
      <c r="H1017">
        <f>_xlfn.XLOOKUP(tblFinancials[[#This Row],[DateKey]],tblCalendar[DateKey],tblCalendar[FullDate],"")</f>
        <v>45778</v>
      </c>
      <c r="I1017">
        <f>_xlfn.XLOOKUP(tblFinancials[[#This Row],[AccountKey]],tblAccounts[AccountKey],tblAccounts[AccountNumber],"")</f>
        <v>4000</v>
      </c>
      <c r="J1017" t="str">
        <f>_xlfn.XLOOKUP(tblFinancials[[#This Row],[AccountKey]],tblAccounts[AccountKey],tblAccounts[AccountName],"")</f>
        <v>Product Revenue</v>
      </c>
      <c r="K1017" s="8" t="str">
        <f>_xlfn.XLOOKUP(tblFinancials[[#This Row],[AccountKey]],tblAccounts[AccountKey],tblAccounts[FinancialStatement],"")</f>
        <v>Income Statement</v>
      </c>
      <c r="L1017" s="8" t="str">
        <f>_xlfn.XLOOKUP(tblFinancials[[#This Row],[AccountKey]],tblAccounts[AccountKey],tblAccounts[AccountCategory],"")</f>
        <v>Revenue</v>
      </c>
      <c r="M1017" s="8" t="str">
        <f>_xlfn.XLOOKUP(tblFinancials[[#This Row],[AccountKey]],tblAccounts[AccountKey],tblAccounts[NormalBalance],"")</f>
        <v>Credit</v>
      </c>
      <c r="N1017" s="8" t="str">
        <f>_xlfn.XLOOKUP(tblFinancials[[#This Row],[DepartmentKey]],tblDepartments[DepartmentKey],tblDepartments[DepartmentName],"")</f>
        <v>Finance</v>
      </c>
      <c r="O1017" s="8" t="str">
        <f>_xlfn.XLOOKUP(tblFinancials[[#This Row],[BusinessUnitKey]],tblBusinessUnits[BusinessUnitKey],tblBusinessUnits[BusinessUnitName],"")</f>
        <v>Wholesale</v>
      </c>
      <c r="P1017" s="8" t="str">
        <f>_xlfn.XLOOKUP(tblFinancials[[#This Row],[RegionKey]],tblRegions[RegionKey],tblRegions[RegionName],"")</f>
        <v>South</v>
      </c>
    </row>
    <row r="1018" spans="1:16">
      <c r="A1018">
        <v>20250501</v>
      </c>
      <c r="B1018">
        <v>4</v>
      </c>
      <c r="C1018">
        <v>4</v>
      </c>
      <c r="D1018">
        <v>2</v>
      </c>
      <c r="E1018">
        <v>11</v>
      </c>
      <c r="F1018" t="s">
        <v>92</v>
      </c>
      <c r="G1018">
        <v>35954.57</v>
      </c>
      <c r="H1018">
        <f>_xlfn.XLOOKUP(tblFinancials[[#This Row],[DateKey]],tblCalendar[DateKey],tblCalendar[FullDate],"")</f>
        <v>45778</v>
      </c>
      <c r="I1018">
        <f>_xlfn.XLOOKUP(tblFinancials[[#This Row],[AccountKey]],tblAccounts[AccountKey],tblAccounts[AccountNumber],"")</f>
        <v>4000</v>
      </c>
      <c r="J1018" t="str">
        <f>_xlfn.XLOOKUP(tblFinancials[[#This Row],[AccountKey]],tblAccounts[AccountKey],tblAccounts[AccountName],"")</f>
        <v>Product Revenue</v>
      </c>
      <c r="K1018" s="8" t="str">
        <f>_xlfn.XLOOKUP(tblFinancials[[#This Row],[AccountKey]],tblAccounts[AccountKey],tblAccounts[FinancialStatement],"")</f>
        <v>Income Statement</v>
      </c>
      <c r="L1018" s="8" t="str">
        <f>_xlfn.XLOOKUP(tblFinancials[[#This Row],[AccountKey]],tblAccounts[AccountKey],tblAccounts[AccountCategory],"")</f>
        <v>Revenue</v>
      </c>
      <c r="M1018" s="8" t="str">
        <f>_xlfn.XLOOKUP(tblFinancials[[#This Row],[AccountKey]],tblAccounts[AccountKey],tblAccounts[NormalBalance],"")</f>
        <v>Credit</v>
      </c>
      <c r="N1018" s="8" t="str">
        <f>_xlfn.XLOOKUP(tblFinancials[[#This Row],[DepartmentKey]],tblDepartments[DepartmentKey],tblDepartments[DepartmentName],"")</f>
        <v>Sales</v>
      </c>
      <c r="O1018" s="8" t="str">
        <f>_xlfn.XLOOKUP(tblFinancials[[#This Row],[BusinessUnitKey]],tblBusinessUnits[BusinessUnitKey],tblBusinessUnits[BusinessUnitName],"")</f>
        <v>E-Commerce</v>
      </c>
      <c r="P1018" s="8" t="str">
        <f>_xlfn.XLOOKUP(tblFinancials[[#This Row],[RegionKey]],tblRegions[RegionKey],tblRegions[RegionName],"")</f>
        <v>Midwest</v>
      </c>
    </row>
    <row r="1019" spans="1:16">
      <c r="A1019">
        <v>20250501</v>
      </c>
      <c r="B1019">
        <v>3</v>
      </c>
      <c r="C1019">
        <v>2</v>
      </c>
      <c r="D1019">
        <v>3</v>
      </c>
      <c r="E1019">
        <v>12</v>
      </c>
      <c r="F1019" t="s">
        <v>92</v>
      </c>
      <c r="G1019">
        <v>34258.61</v>
      </c>
      <c r="H1019">
        <f>_xlfn.XLOOKUP(tblFinancials[[#This Row],[DateKey]],tblCalendar[DateKey],tblCalendar[FullDate],"")</f>
        <v>45778</v>
      </c>
      <c r="I1019">
        <f>_xlfn.XLOOKUP(tblFinancials[[#This Row],[AccountKey]],tblAccounts[AccountKey],tblAccounts[AccountNumber],"")</f>
        <v>4010</v>
      </c>
      <c r="J1019" t="str">
        <f>_xlfn.XLOOKUP(tblFinancials[[#This Row],[AccountKey]],tblAccounts[AccountKey],tblAccounts[AccountName],"")</f>
        <v>Service Revenue</v>
      </c>
      <c r="K1019" s="8" t="str">
        <f>_xlfn.XLOOKUP(tblFinancials[[#This Row],[AccountKey]],tblAccounts[AccountKey],tblAccounts[FinancialStatement],"")</f>
        <v>Income Statement</v>
      </c>
      <c r="L1019" s="8" t="str">
        <f>_xlfn.XLOOKUP(tblFinancials[[#This Row],[AccountKey]],tblAccounts[AccountKey],tblAccounts[AccountCategory],"")</f>
        <v>Revenue</v>
      </c>
      <c r="M1019" s="8" t="str">
        <f>_xlfn.XLOOKUP(tblFinancials[[#This Row],[AccountKey]],tblAccounts[AccountKey],tblAccounts[NormalBalance],"")</f>
        <v>Credit</v>
      </c>
      <c r="N1019" s="8" t="str">
        <f>_xlfn.XLOOKUP(tblFinancials[[#This Row],[DepartmentKey]],tblDepartments[DepartmentKey],tblDepartments[DepartmentName],"")</f>
        <v>Human Resources</v>
      </c>
      <c r="O1019" s="8" t="str">
        <f>_xlfn.XLOOKUP(tblFinancials[[#This Row],[BusinessUnitKey]],tblBusinessUnits[BusinessUnitKey],tblBusinessUnits[BusinessUnitName],"")</f>
        <v>Wholesale</v>
      </c>
      <c r="P1019" s="8" t="str">
        <f>_xlfn.XLOOKUP(tblFinancials[[#This Row],[RegionKey]],tblRegions[RegionKey],tblRegions[RegionName],"")</f>
        <v>South</v>
      </c>
    </row>
    <row r="1020" spans="1:16">
      <c r="A1020">
        <v>20250501</v>
      </c>
      <c r="B1020">
        <v>6</v>
      </c>
      <c r="C1020">
        <v>3</v>
      </c>
      <c r="D1020">
        <v>2</v>
      </c>
      <c r="E1020">
        <v>12</v>
      </c>
      <c r="F1020" t="s">
        <v>92</v>
      </c>
      <c r="G1020">
        <v>34375.440000000002</v>
      </c>
      <c r="H1020">
        <f>_xlfn.XLOOKUP(tblFinancials[[#This Row],[DateKey]],tblCalendar[DateKey],tblCalendar[FullDate],"")</f>
        <v>45778</v>
      </c>
      <c r="I1020">
        <f>_xlfn.XLOOKUP(tblFinancials[[#This Row],[AccountKey]],tblAccounts[AccountKey],tblAccounts[AccountNumber],"")</f>
        <v>4010</v>
      </c>
      <c r="J1020" t="str">
        <f>_xlfn.XLOOKUP(tblFinancials[[#This Row],[AccountKey]],tblAccounts[AccountKey],tblAccounts[AccountName],"")</f>
        <v>Service Revenue</v>
      </c>
      <c r="K1020" s="8" t="str">
        <f>_xlfn.XLOOKUP(tblFinancials[[#This Row],[AccountKey]],tblAccounts[AccountKey],tblAccounts[FinancialStatement],"")</f>
        <v>Income Statement</v>
      </c>
      <c r="L1020" s="8" t="str">
        <f>_xlfn.XLOOKUP(tblFinancials[[#This Row],[AccountKey]],tblAccounts[AccountKey],tblAccounts[AccountCategory],"")</f>
        <v>Revenue</v>
      </c>
      <c r="M1020" s="8" t="str">
        <f>_xlfn.XLOOKUP(tblFinancials[[#This Row],[AccountKey]],tblAccounts[AccountKey],tblAccounts[NormalBalance],"")</f>
        <v>Credit</v>
      </c>
      <c r="N1020" s="8" t="str">
        <f>_xlfn.XLOOKUP(tblFinancials[[#This Row],[DepartmentKey]],tblDepartments[DepartmentKey],tblDepartments[DepartmentName],"")</f>
        <v>Operations</v>
      </c>
      <c r="O1020" s="8" t="str">
        <f>_xlfn.XLOOKUP(tblFinancials[[#This Row],[BusinessUnitKey]],tblBusinessUnits[BusinessUnitKey],tblBusinessUnits[BusinessUnitName],"")</f>
        <v>Retail</v>
      </c>
      <c r="P1020" s="8" t="str">
        <f>_xlfn.XLOOKUP(tblFinancials[[#This Row],[RegionKey]],tblRegions[RegionKey],tblRegions[RegionName],"")</f>
        <v>Midwest</v>
      </c>
    </row>
    <row r="1021" spans="1:16">
      <c r="A1021">
        <v>20250501</v>
      </c>
      <c r="B1021">
        <v>7</v>
      </c>
      <c r="C1021">
        <v>3</v>
      </c>
      <c r="D1021">
        <v>4</v>
      </c>
      <c r="E1021">
        <v>12</v>
      </c>
      <c r="F1021" t="s">
        <v>92</v>
      </c>
      <c r="G1021">
        <v>37877.120000000003</v>
      </c>
      <c r="H1021">
        <f>_xlfn.XLOOKUP(tblFinancials[[#This Row],[DateKey]],tblCalendar[DateKey],tblCalendar[FullDate],"")</f>
        <v>45778</v>
      </c>
      <c r="I1021">
        <f>_xlfn.XLOOKUP(tblFinancials[[#This Row],[AccountKey]],tblAccounts[AccountKey],tblAccounts[AccountNumber],"")</f>
        <v>4010</v>
      </c>
      <c r="J1021" t="str">
        <f>_xlfn.XLOOKUP(tblFinancials[[#This Row],[AccountKey]],tblAccounts[AccountKey],tblAccounts[AccountName],"")</f>
        <v>Service Revenue</v>
      </c>
      <c r="K1021" s="8" t="str">
        <f>_xlfn.XLOOKUP(tblFinancials[[#This Row],[AccountKey]],tblAccounts[AccountKey],tblAccounts[FinancialStatement],"")</f>
        <v>Income Statement</v>
      </c>
      <c r="L1021" s="8" t="str">
        <f>_xlfn.XLOOKUP(tblFinancials[[#This Row],[AccountKey]],tblAccounts[AccountKey],tblAccounts[AccountCategory],"")</f>
        <v>Revenue</v>
      </c>
      <c r="M1021" s="8" t="str">
        <f>_xlfn.XLOOKUP(tblFinancials[[#This Row],[AccountKey]],tblAccounts[AccountKey],tblAccounts[NormalBalance],"")</f>
        <v>Credit</v>
      </c>
      <c r="N1021" s="8" t="str">
        <f>_xlfn.XLOOKUP(tblFinancials[[#This Row],[DepartmentKey]],tblDepartments[DepartmentKey],tblDepartments[DepartmentName],"")</f>
        <v>Information Technology</v>
      </c>
      <c r="O1021" s="8" t="str">
        <f>_xlfn.XLOOKUP(tblFinancials[[#This Row],[BusinessUnitKey]],tblBusinessUnits[BusinessUnitKey],tblBusinessUnits[BusinessUnitName],"")</f>
        <v>Retail</v>
      </c>
      <c r="P1021" s="8" t="str">
        <f>_xlfn.XLOOKUP(tblFinancials[[#This Row],[RegionKey]],tblRegions[RegionKey],tblRegions[RegionName],"")</f>
        <v>East</v>
      </c>
    </row>
    <row r="1022" spans="1:16">
      <c r="A1022">
        <v>20250501</v>
      </c>
      <c r="B1022">
        <v>6</v>
      </c>
      <c r="C1022">
        <v>1</v>
      </c>
      <c r="D1022">
        <v>1</v>
      </c>
      <c r="E1022">
        <v>14</v>
      </c>
      <c r="F1022" t="s">
        <v>92</v>
      </c>
      <c r="G1022">
        <v>-21254.51</v>
      </c>
      <c r="H1022">
        <f>_xlfn.XLOOKUP(tblFinancials[[#This Row],[DateKey]],tblCalendar[DateKey],tblCalendar[FullDate],"")</f>
        <v>45778</v>
      </c>
      <c r="I1022">
        <f>_xlfn.XLOOKUP(tblFinancials[[#This Row],[AccountKey]],tblAccounts[AccountKey],tblAccounts[AccountNumber],"")</f>
        <v>5000</v>
      </c>
      <c r="J1022" t="str">
        <f>_xlfn.XLOOKUP(tblFinancials[[#This Row],[AccountKey]],tblAccounts[AccountKey],tblAccounts[AccountName],"")</f>
        <v>Cost of Goods Sold</v>
      </c>
      <c r="K1022" s="8" t="str">
        <f>_xlfn.XLOOKUP(tblFinancials[[#This Row],[AccountKey]],tblAccounts[AccountKey],tblAccounts[FinancialStatement],"")</f>
        <v>Income Statement</v>
      </c>
      <c r="L1022" s="8" t="str">
        <f>_xlfn.XLOOKUP(tblFinancials[[#This Row],[AccountKey]],tblAccounts[AccountKey],tblAccounts[AccountCategory],"")</f>
        <v>Cost of Sales</v>
      </c>
      <c r="M1022" s="8" t="str">
        <f>_xlfn.XLOOKUP(tblFinancials[[#This Row],[AccountKey]],tblAccounts[AccountKey],tblAccounts[NormalBalance],"")</f>
        <v>Debit</v>
      </c>
      <c r="N1022" s="8" t="str">
        <f>_xlfn.XLOOKUP(tblFinancials[[#This Row],[DepartmentKey]],tblDepartments[DepartmentKey],tblDepartments[DepartmentName],"")</f>
        <v>Operations</v>
      </c>
      <c r="O1022" s="8" t="str">
        <f>_xlfn.XLOOKUP(tblFinancials[[#This Row],[BusinessUnitKey]],tblBusinessUnits[BusinessUnitKey],tblBusinessUnits[BusinessUnitName],"")</f>
        <v xml:space="preserve">Manufacturing </v>
      </c>
      <c r="P1022" s="8" t="str">
        <f>_xlfn.XLOOKUP(tblFinancials[[#This Row],[RegionKey]],tblRegions[RegionKey],tblRegions[RegionName],"")</f>
        <v>West</v>
      </c>
    </row>
    <row r="1023" spans="1:16">
      <c r="A1023">
        <v>20250501</v>
      </c>
      <c r="B1023">
        <v>4</v>
      </c>
      <c r="C1023">
        <v>3</v>
      </c>
      <c r="D1023">
        <v>1</v>
      </c>
      <c r="E1023">
        <v>14</v>
      </c>
      <c r="F1023" t="s">
        <v>92</v>
      </c>
      <c r="G1023">
        <v>-21445.25</v>
      </c>
      <c r="H1023">
        <f>_xlfn.XLOOKUP(tblFinancials[[#This Row],[DateKey]],tblCalendar[DateKey],tblCalendar[FullDate],"")</f>
        <v>45778</v>
      </c>
      <c r="I1023">
        <f>_xlfn.XLOOKUP(tblFinancials[[#This Row],[AccountKey]],tblAccounts[AccountKey],tblAccounts[AccountNumber],"")</f>
        <v>5000</v>
      </c>
      <c r="J1023" t="str">
        <f>_xlfn.XLOOKUP(tblFinancials[[#This Row],[AccountKey]],tblAccounts[AccountKey],tblAccounts[AccountName],"")</f>
        <v>Cost of Goods Sold</v>
      </c>
      <c r="K1023" s="8" t="str">
        <f>_xlfn.XLOOKUP(tblFinancials[[#This Row],[AccountKey]],tblAccounts[AccountKey],tblAccounts[FinancialStatement],"")</f>
        <v>Income Statement</v>
      </c>
      <c r="L1023" s="8" t="str">
        <f>_xlfn.XLOOKUP(tblFinancials[[#This Row],[AccountKey]],tblAccounts[AccountKey],tblAccounts[AccountCategory],"")</f>
        <v>Cost of Sales</v>
      </c>
      <c r="M1023" s="8" t="str">
        <f>_xlfn.XLOOKUP(tblFinancials[[#This Row],[AccountKey]],tblAccounts[AccountKey],tblAccounts[NormalBalance],"")</f>
        <v>Debit</v>
      </c>
      <c r="N1023" s="8" t="str">
        <f>_xlfn.XLOOKUP(tblFinancials[[#This Row],[DepartmentKey]],tblDepartments[DepartmentKey],tblDepartments[DepartmentName],"")</f>
        <v>Sales</v>
      </c>
      <c r="O1023" s="8" t="str">
        <f>_xlfn.XLOOKUP(tblFinancials[[#This Row],[BusinessUnitKey]],tblBusinessUnits[BusinessUnitKey],tblBusinessUnits[BusinessUnitName],"")</f>
        <v>Retail</v>
      </c>
      <c r="P1023" s="8" t="str">
        <f>_xlfn.XLOOKUP(tblFinancials[[#This Row],[RegionKey]],tblRegions[RegionKey],tblRegions[RegionName],"")</f>
        <v>West</v>
      </c>
    </row>
    <row r="1024" spans="1:16">
      <c r="A1024">
        <v>20250501</v>
      </c>
      <c r="B1024">
        <v>8</v>
      </c>
      <c r="C1024">
        <v>3</v>
      </c>
      <c r="D1024">
        <v>3</v>
      </c>
      <c r="E1024">
        <v>14</v>
      </c>
      <c r="F1024" t="s">
        <v>92</v>
      </c>
      <c r="G1024">
        <v>-21569.52</v>
      </c>
      <c r="H1024">
        <f>_xlfn.XLOOKUP(tblFinancials[[#This Row],[DateKey]],tblCalendar[DateKey],tblCalendar[FullDate],"")</f>
        <v>45778</v>
      </c>
      <c r="I1024">
        <f>_xlfn.XLOOKUP(tblFinancials[[#This Row],[AccountKey]],tblAccounts[AccountKey],tblAccounts[AccountNumber],"")</f>
        <v>5000</v>
      </c>
      <c r="J1024" t="str">
        <f>_xlfn.XLOOKUP(tblFinancials[[#This Row],[AccountKey]],tblAccounts[AccountKey],tblAccounts[AccountName],"")</f>
        <v>Cost of Goods Sold</v>
      </c>
      <c r="K1024" s="8" t="str">
        <f>_xlfn.XLOOKUP(tblFinancials[[#This Row],[AccountKey]],tblAccounts[AccountKey],tblAccounts[FinancialStatement],"")</f>
        <v>Income Statement</v>
      </c>
      <c r="L1024" s="8" t="str">
        <f>_xlfn.XLOOKUP(tblFinancials[[#This Row],[AccountKey]],tblAccounts[AccountKey],tblAccounts[AccountCategory],"")</f>
        <v>Cost of Sales</v>
      </c>
      <c r="M1024" s="8" t="str">
        <f>_xlfn.XLOOKUP(tblFinancials[[#This Row],[AccountKey]],tblAccounts[AccountKey],tblAccounts[NormalBalance],"")</f>
        <v>Debit</v>
      </c>
      <c r="N1024" s="8" t="str">
        <f>_xlfn.XLOOKUP(tblFinancials[[#This Row],[DepartmentKey]],tblDepartments[DepartmentKey],tblDepartments[DepartmentName],"")</f>
        <v>Customer Service</v>
      </c>
      <c r="O1024" s="8" t="str">
        <f>_xlfn.XLOOKUP(tblFinancials[[#This Row],[BusinessUnitKey]],tblBusinessUnits[BusinessUnitKey],tblBusinessUnits[BusinessUnitName],"")</f>
        <v>Retail</v>
      </c>
      <c r="P1024" s="8" t="str">
        <f>_xlfn.XLOOKUP(tblFinancials[[#This Row],[RegionKey]],tblRegions[RegionKey],tblRegions[RegionName],"")</f>
        <v>South</v>
      </c>
    </row>
    <row r="1025" spans="1:16">
      <c r="A1025">
        <v>20250501</v>
      </c>
      <c r="B1025">
        <v>4</v>
      </c>
      <c r="C1025">
        <v>4</v>
      </c>
      <c r="D1025">
        <v>2</v>
      </c>
      <c r="E1025">
        <v>14</v>
      </c>
      <c r="F1025" t="s">
        <v>92</v>
      </c>
      <c r="G1025">
        <v>-21399.71</v>
      </c>
      <c r="H1025">
        <f>_xlfn.XLOOKUP(tblFinancials[[#This Row],[DateKey]],tblCalendar[DateKey],tblCalendar[FullDate],"")</f>
        <v>45778</v>
      </c>
      <c r="I1025">
        <f>_xlfn.XLOOKUP(tblFinancials[[#This Row],[AccountKey]],tblAccounts[AccountKey],tblAccounts[AccountNumber],"")</f>
        <v>5000</v>
      </c>
      <c r="J1025" t="str">
        <f>_xlfn.XLOOKUP(tblFinancials[[#This Row],[AccountKey]],tblAccounts[AccountKey],tblAccounts[AccountName],"")</f>
        <v>Cost of Goods Sold</v>
      </c>
      <c r="K1025" s="8" t="str">
        <f>_xlfn.XLOOKUP(tblFinancials[[#This Row],[AccountKey]],tblAccounts[AccountKey],tblAccounts[FinancialStatement],"")</f>
        <v>Income Statement</v>
      </c>
      <c r="L1025" s="8" t="str">
        <f>_xlfn.XLOOKUP(tblFinancials[[#This Row],[AccountKey]],tblAccounts[AccountKey],tblAccounts[AccountCategory],"")</f>
        <v>Cost of Sales</v>
      </c>
      <c r="M1025" s="8" t="str">
        <f>_xlfn.XLOOKUP(tblFinancials[[#This Row],[AccountKey]],tblAccounts[AccountKey],tblAccounts[NormalBalance],"")</f>
        <v>Debit</v>
      </c>
      <c r="N1025" s="8" t="str">
        <f>_xlfn.XLOOKUP(tblFinancials[[#This Row],[DepartmentKey]],tblDepartments[DepartmentKey],tblDepartments[DepartmentName],"")</f>
        <v>Sales</v>
      </c>
      <c r="O1025" s="8" t="str">
        <f>_xlfn.XLOOKUP(tblFinancials[[#This Row],[BusinessUnitKey]],tblBusinessUnits[BusinessUnitKey],tblBusinessUnits[BusinessUnitName],"")</f>
        <v>E-Commerce</v>
      </c>
      <c r="P1025" s="8" t="str">
        <f>_xlfn.XLOOKUP(tblFinancials[[#This Row],[RegionKey]],tblRegions[RegionKey],tblRegions[RegionName],"")</f>
        <v>Midwest</v>
      </c>
    </row>
    <row r="1026" spans="1:16">
      <c r="A1026">
        <v>20250501</v>
      </c>
      <c r="B1026">
        <v>5</v>
      </c>
      <c r="C1026">
        <v>1</v>
      </c>
      <c r="D1026">
        <v>1</v>
      </c>
      <c r="E1026">
        <v>14</v>
      </c>
      <c r="F1026" t="s">
        <v>92</v>
      </c>
      <c r="G1026">
        <v>-21032.06</v>
      </c>
      <c r="H1026">
        <f>_xlfn.XLOOKUP(tblFinancials[[#This Row],[DateKey]],tblCalendar[DateKey],tblCalendar[FullDate],"")</f>
        <v>45778</v>
      </c>
      <c r="I1026">
        <f>_xlfn.XLOOKUP(tblFinancials[[#This Row],[AccountKey]],tblAccounts[AccountKey],tblAccounts[AccountNumber],"")</f>
        <v>5000</v>
      </c>
      <c r="J1026" t="str">
        <f>_xlfn.XLOOKUP(tblFinancials[[#This Row],[AccountKey]],tblAccounts[AccountKey],tblAccounts[AccountName],"")</f>
        <v>Cost of Goods Sold</v>
      </c>
      <c r="K1026" s="8" t="str">
        <f>_xlfn.XLOOKUP(tblFinancials[[#This Row],[AccountKey]],tblAccounts[AccountKey],tblAccounts[FinancialStatement],"")</f>
        <v>Income Statement</v>
      </c>
      <c r="L1026" s="8" t="str">
        <f>_xlfn.XLOOKUP(tblFinancials[[#This Row],[AccountKey]],tblAccounts[AccountKey],tblAccounts[AccountCategory],"")</f>
        <v>Cost of Sales</v>
      </c>
      <c r="M1026" s="8" t="str">
        <f>_xlfn.XLOOKUP(tblFinancials[[#This Row],[AccountKey]],tblAccounts[AccountKey],tblAccounts[NormalBalance],"")</f>
        <v>Debit</v>
      </c>
      <c r="N1026" s="8" t="str">
        <f>_xlfn.XLOOKUP(tblFinancials[[#This Row],[DepartmentKey]],tblDepartments[DepartmentKey],tblDepartments[DepartmentName],"")</f>
        <v>Marketing</v>
      </c>
      <c r="O1026" s="8" t="str">
        <f>_xlfn.XLOOKUP(tblFinancials[[#This Row],[BusinessUnitKey]],tblBusinessUnits[BusinessUnitKey],tblBusinessUnits[BusinessUnitName],"")</f>
        <v xml:space="preserve">Manufacturing </v>
      </c>
      <c r="P1026" s="8" t="str">
        <f>_xlfn.XLOOKUP(tblFinancials[[#This Row],[RegionKey]],tblRegions[RegionKey],tblRegions[RegionName],"")</f>
        <v>West</v>
      </c>
    </row>
    <row r="1027" spans="1:16">
      <c r="A1027">
        <v>20250501</v>
      </c>
      <c r="B1027">
        <v>6</v>
      </c>
      <c r="C1027">
        <v>1</v>
      </c>
      <c r="D1027">
        <v>3</v>
      </c>
      <c r="E1027">
        <v>14</v>
      </c>
      <c r="F1027" t="s">
        <v>92</v>
      </c>
      <c r="G1027">
        <v>-20698.66</v>
      </c>
      <c r="H1027">
        <f>_xlfn.XLOOKUP(tblFinancials[[#This Row],[DateKey]],tblCalendar[DateKey],tblCalendar[FullDate],"")</f>
        <v>45778</v>
      </c>
      <c r="I1027">
        <f>_xlfn.XLOOKUP(tblFinancials[[#This Row],[AccountKey]],tblAccounts[AccountKey],tblAccounts[AccountNumber],"")</f>
        <v>5000</v>
      </c>
      <c r="J1027" t="str">
        <f>_xlfn.XLOOKUP(tblFinancials[[#This Row],[AccountKey]],tblAccounts[AccountKey],tblAccounts[AccountName],"")</f>
        <v>Cost of Goods Sold</v>
      </c>
      <c r="K1027" s="8" t="str">
        <f>_xlfn.XLOOKUP(tblFinancials[[#This Row],[AccountKey]],tblAccounts[AccountKey],tblAccounts[FinancialStatement],"")</f>
        <v>Income Statement</v>
      </c>
      <c r="L1027" s="8" t="str">
        <f>_xlfn.XLOOKUP(tblFinancials[[#This Row],[AccountKey]],tblAccounts[AccountKey],tblAccounts[AccountCategory],"")</f>
        <v>Cost of Sales</v>
      </c>
      <c r="M1027" s="8" t="str">
        <f>_xlfn.XLOOKUP(tblFinancials[[#This Row],[AccountKey]],tblAccounts[AccountKey],tblAccounts[NormalBalance],"")</f>
        <v>Debit</v>
      </c>
      <c r="N1027" s="8" t="str">
        <f>_xlfn.XLOOKUP(tblFinancials[[#This Row],[DepartmentKey]],tblDepartments[DepartmentKey],tblDepartments[DepartmentName],"")</f>
        <v>Operations</v>
      </c>
      <c r="O1027" s="8" t="str">
        <f>_xlfn.XLOOKUP(tblFinancials[[#This Row],[BusinessUnitKey]],tblBusinessUnits[BusinessUnitKey],tblBusinessUnits[BusinessUnitName],"")</f>
        <v xml:space="preserve">Manufacturing </v>
      </c>
      <c r="P1027" s="8" t="str">
        <f>_xlfn.XLOOKUP(tblFinancials[[#This Row],[RegionKey]],tblRegions[RegionKey],tblRegions[RegionName],"")</f>
        <v>South</v>
      </c>
    </row>
    <row r="1028" spans="1:16">
      <c r="A1028">
        <v>20250501</v>
      </c>
      <c r="B1028">
        <v>7</v>
      </c>
      <c r="C1028">
        <v>3</v>
      </c>
      <c r="D1028">
        <v>2</v>
      </c>
      <c r="E1028">
        <v>14</v>
      </c>
      <c r="F1028" t="s">
        <v>92</v>
      </c>
      <c r="G1028">
        <v>-20527.669999999998</v>
      </c>
      <c r="H1028">
        <f>_xlfn.XLOOKUP(tblFinancials[[#This Row],[DateKey]],tblCalendar[DateKey],tblCalendar[FullDate],"")</f>
        <v>45778</v>
      </c>
      <c r="I1028">
        <f>_xlfn.XLOOKUP(tblFinancials[[#This Row],[AccountKey]],tblAccounts[AccountKey],tblAccounts[AccountNumber],"")</f>
        <v>5000</v>
      </c>
      <c r="J1028" t="str">
        <f>_xlfn.XLOOKUP(tblFinancials[[#This Row],[AccountKey]],tblAccounts[AccountKey],tblAccounts[AccountName],"")</f>
        <v>Cost of Goods Sold</v>
      </c>
      <c r="K1028" s="8" t="str">
        <f>_xlfn.XLOOKUP(tblFinancials[[#This Row],[AccountKey]],tblAccounts[AccountKey],tblAccounts[FinancialStatement],"")</f>
        <v>Income Statement</v>
      </c>
      <c r="L1028" s="8" t="str">
        <f>_xlfn.XLOOKUP(tblFinancials[[#This Row],[AccountKey]],tblAccounts[AccountKey],tblAccounts[AccountCategory],"")</f>
        <v>Cost of Sales</v>
      </c>
      <c r="M1028" s="8" t="str">
        <f>_xlfn.XLOOKUP(tblFinancials[[#This Row],[AccountKey]],tblAccounts[AccountKey],tblAccounts[NormalBalance],"")</f>
        <v>Debit</v>
      </c>
      <c r="N1028" s="8" t="str">
        <f>_xlfn.XLOOKUP(tblFinancials[[#This Row],[DepartmentKey]],tblDepartments[DepartmentKey],tblDepartments[DepartmentName],"")</f>
        <v>Information Technology</v>
      </c>
      <c r="O1028" s="8" t="str">
        <f>_xlfn.XLOOKUP(tblFinancials[[#This Row],[BusinessUnitKey]],tblBusinessUnits[BusinessUnitKey],tblBusinessUnits[BusinessUnitName],"")</f>
        <v>Retail</v>
      </c>
      <c r="P1028" s="8" t="str">
        <f>_xlfn.XLOOKUP(tblFinancials[[#This Row],[RegionKey]],tblRegions[RegionKey],tblRegions[RegionName],"")</f>
        <v>Midwest</v>
      </c>
    </row>
    <row r="1029" spans="1:16">
      <c r="A1029">
        <v>20250501</v>
      </c>
      <c r="B1029">
        <v>8</v>
      </c>
      <c r="C1029">
        <v>2</v>
      </c>
      <c r="D1029">
        <v>3</v>
      </c>
      <c r="E1029">
        <v>14</v>
      </c>
      <c r="F1029" t="s">
        <v>92</v>
      </c>
      <c r="G1029">
        <v>-20241.64</v>
      </c>
      <c r="H1029">
        <f>_xlfn.XLOOKUP(tblFinancials[[#This Row],[DateKey]],tblCalendar[DateKey],tblCalendar[FullDate],"")</f>
        <v>45778</v>
      </c>
      <c r="I1029">
        <f>_xlfn.XLOOKUP(tblFinancials[[#This Row],[AccountKey]],tblAccounts[AccountKey],tblAccounts[AccountNumber],"")</f>
        <v>5000</v>
      </c>
      <c r="J1029" t="str">
        <f>_xlfn.XLOOKUP(tblFinancials[[#This Row],[AccountKey]],tblAccounts[AccountKey],tblAccounts[AccountName],"")</f>
        <v>Cost of Goods Sold</v>
      </c>
      <c r="K1029" s="8" t="str">
        <f>_xlfn.XLOOKUP(tblFinancials[[#This Row],[AccountKey]],tblAccounts[AccountKey],tblAccounts[FinancialStatement],"")</f>
        <v>Income Statement</v>
      </c>
      <c r="L1029" s="8" t="str">
        <f>_xlfn.XLOOKUP(tblFinancials[[#This Row],[AccountKey]],tblAccounts[AccountKey],tblAccounts[AccountCategory],"")</f>
        <v>Cost of Sales</v>
      </c>
      <c r="M1029" s="8" t="str">
        <f>_xlfn.XLOOKUP(tblFinancials[[#This Row],[AccountKey]],tblAccounts[AccountKey],tblAccounts[NormalBalance],"")</f>
        <v>Debit</v>
      </c>
      <c r="N1029" s="8" t="str">
        <f>_xlfn.XLOOKUP(tblFinancials[[#This Row],[DepartmentKey]],tblDepartments[DepartmentKey],tblDepartments[DepartmentName],"")</f>
        <v>Customer Service</v>
      </c>
      <c r="O1029" s="8" t="str">
        <f>_xlfn.XLOOKUP(tblFinancials[[#This Row],[BusinessUnitKey]],tblBusinessUnits[BusinessUnitKey],tblBusinessUnits[BusinessUnitName],"")</f>
        <v>Wholesale</v>
      </c>
      <c r="P1029" s="8" t="str">
        <f>_xlfn.XLOOKUP(tblFinancials[[#This Row],[RegionKey]],tblRegions[RegionKey],tblRegions[RegionName],"")</f>
        <v>South</v>
      </c>
    </row>
    <row r="1030" spans="1:16">
      <c r="A1030">
        <v>20250501</v>
      </c>
      <c r="B1030">
        <v>8</v>
      </c>
      <c r="C1030">
        <v>3</v>
      </c>
      <c r="D1030">
        <v>4</v>
      </c>
      <c r="E1030">
        <v>14</v>
      </c>
      <c r="F1030" t="s">
        <v>92</v>
      </c>
      <c r="G1030">
        <v>-21549.79</v>
      </c>
      <c r="H1030">
        <f>_xlfn.XLOOKUP(tblFinancials[[#This Row],[DateKey]],tblCalendar[DateKey],tblCalendar[FullDate],"")</f>
        <v>45778</v>
      </c>
      <c r="I1030">
        <f>_xlfn.XLOOKUP(tblFinancials[[#This Row],[AccountKey]],tblAccounts[AccountKey],tblAccounts[AccountNumber],"")</f>
        <v>5000</v>
      </c>
      <c r="J1030" t="str">
        <f>_xlfn.XLOOKUP(tblFinancials[[#This Row],[AccountKey]],tblAccounts[AccountKey],tblAccounts[AccountName],"")</f>
        <v>Cost of Goods Sold</v>
      </c>
      <c r="K1030" s="8" t="str">
        <f>_xlfn.XLOOKUP(tblFinancials[[#This Row],[AccountKey]],tblAccounts[AccountKey],tblAccounts[FinancialStatement],"")</f>
        <v>Income Statement</v>
      </c>
      <c r="L1030" s="8" t="str">
        <f>_xlfn.XLOOKUP(tblFinancials[[#This Row],[AccountKey]],tblAccounts[AccountKey],tblAccounts[AccountCategory],"")</f>
        <v>Cost of Sales</v>
      </c>
      <c r="M1030" s="8" t="str">
        <f>_xlfn.XLOOKUP(tblFinancials[[#This Row],[AccountKey]],tblAccounts[AccountKey],tblAccounts[NormalBalance],"")</f>
        <v>Debit</v>
      </c>
      <c r="N1030" s="8" t="str">
        <f>_xlfn.XLOOKUP(tblFinancials[[#This Row],[DepartmentKey]],tblDepartments[DepartmentKey],tblDepartments[DepartmentName],"")</f>
        <v>Customer Service</v>
      </c>
      <c r="O1030" s="8" t="str">
        <f>_xlfn.XLOOKUP(tblFinancials[[#This Row],[BusinessUnitKey]],tblBusinessUnits[BusinessUnitKey],tblBusinessUnits[BusinessUnitName],"")</f>
        <v>Retail</v>
      </c>
      <c r="P1030" s="8" t="str">
        <f>_xlfn.XLOOKUP(tblFinancials[[#This Row],[RegionKey]],tblRegions[RegionKey],tblRegions[RegionName],"")</f>
        <v>East</v>
      </c>
    </row>
    <row r="1031" spans="1:16">
      <c r="A1031">
        <v>20250501</v>
      </c>
      <c r="B1031">
        <v>6</v>
      </c>
      <c r="C1031">
        <v>2</v>
      </c>
      <c r="D1031">
        <v>4</v>
      </c>
      <c r="E1031">
        <v>14</v>
      </c>
      <c r="F1031" t="s">
        <v>92</v>
      </c>
      <c r="G1031">
        <v>-19320.09</v>
      </c>
      <c r="H1031">
        <f>_xlfn.XLOOKUP(tblFinancials[[#This Row],[DateKey]],tblCalendar[DateKey],tblCalendar[FullDate],"")</f>
        <v>45778</v>
      </c>
      <c r="I1031">
        <f>_xlfn.XLOOKUP(tblFinancials[[#This Row],[AccountKey]],tblAccounts[AccountKey],tblAccounts[AccountNumber],"")</f>
        <v>5000</v>
      </c>
      <c r="J1031" t="str">
        <f>_xlfn.XLOOKUP(tblFinancials[[#This Row],[AccountKey]],tblAccounts[AccountKey],tblAccounts[AccountName],"")</f>
        <v>Cost of Goods Sold</v>
      </c>
      <c r="K1031" s="8" t="str">
        <f>_xlfn.XLOOKUP(tblFinancials[[#This Row],[AccountKey]],tblAccounts[AccountKey],tblAccounts[FinancialStatement],"")</f>
        <v>Income Statement</v>
      </c>
      <c r="L1031" s="8" t="str">
        <f>_xlfn.XLOOKUP(tblFinancials[[#This Row],[AccountKey]],tblAccounts[AccountKey],tblAccounts[AccountCategory],"")</f>
        <v>Cost of Sales</v>
      </c>
      <c r="M1031" s="8" t="str">
        <f>_xlfn.XLOOKUP(tblFinancials[[#This Row],[AccountKey]],tblAccounts[AccountKey],tblAccounts[NormalBalance],"")</f>
        <v>Debit</v>
      </c>
      <c r="N1031" s="8" t="str">
        <f>_xlfn.XLOOKUP(tblFinancials[[#This Row],[DepartmentKey]],tblDepartments[DepartmentKey],tblDepartments[DepartmentName],"")</f>
        <v>Operations</v>
      </c>
      <c r="O1031" s="8" t="str">
        <f>_xlfn.XLOOKUP(tblFinancials[[#This Row],[BusinessUnitKey]],tblBusinessUnits[BusinessUnitKey],tblBusinessUnits[BusinessUnitName],"")</f>
        <v>Wholesale</v>
      </c>
      <c r="P1031" s="8" t="str">
        <f>_xlfn.XLOOKUP(tblFinancials[[#This Row],[RegionKey]],tblRegions[RegionKey],tblRegions[RegionName],"")</f>
        <v>East</v>
      </c>
    </row>
    <row r="1032" spans="1:16">
      <c r="A1032">
        <v>20250501</v>
      </c>
      <c r="B1032">
        <v>5</v>
      </c>
      <c r="C1032">
        <v>4</v>
      </c>
      <c r="D1032">
        <v>1</v>
      </c>
      <c r="E1032">
        <v>14</v>
      </c>
      <c r="F1032" t="s">
        <v>92</v>
      </c>
      <c r="G1032">
        <v>-19947.36</v>
      </c>
      <c r="H1032">
        <f>_xlfn.XLOOKUP(tblFinancials[[#This Row],[DateKey]],tblCalendar[DateKey],tblCalendar[FullDate],"")</f>
        <v>45778</v>
      </c>
      <c r="I1032">
        <f>_xlfn.XLOOKUP(tblFinancials[[#This Row],[AccountKey]],tblAccounts[AccountKey],tblAccounts[AccountNumber],"")</f>
        <v>5000</v>
      </c>
      <c r="J1032" t="str">
        <f>_xlfn.XLOOKUP(tblFinancials[[#This Row],[AccountKey]],tblAccounts[AccountKey],tblAccounts[AccountName],"")</f>
        <v>Cost of Goods Sold</v>
      </c>
      <c r="K1032" s="8" t="str">
        <f>_xlfn.XLOOKUP(tblFinancials[[#This Row],[AccountKey]],tblAccounts[AccountKey],tblAccounts[FinancialStatement],"")</f>
        <v>Income Statement</v>
      </c>
      <c r="L1032" s="8" t="str">
        <f>_xlfn.XLOOKUP(tblFinancials[[#This Row],[AccountKey]],tblAccounts[AccountKey],tblAccounts[AccountCategory],"")</f>
        <v>Cost of Sales</v>
      </c>
      <c r="M1032" s="8" t="str">
        <f>_xlfn.XLOOKUP(tblFinancials[[#This Row],[AccountKey]],tblAccounts[AccountKey],tblAccounts[NormalBalance],"")</f>
        <v>Debit</v>
      </c>
      <c r="N1032" s="8" t="str">
        <f>_xlfn.XLOOKUP(tblFinancials[[#This Row],[DepartmentKey]],tblDepartments[DepartmentKey],tblDepartments[DepartmentName],"")</f>
        <v>Marketing</v>
      </c>
      <c r="O1032" s="8" t="str">
        <f>_xlfn.XLOOKUP(tblFinancials[[#This Row],[BusinessUnitKey]],tblBusinessUnits[BusinessUnitKey],tblBusinessUnits[BusinessUnitName],"")</f>
        <v>E-Commerce</v>
      </c>
      <c r="P1032" s="8" t="str">
        <f>_xlfn.XLOOKUP(tblFinancials[[#This Row],[RegionKey]],tblRegions[RegionKey],tblRegions[RegionName],"")</f>
        <v>West</v>
      </c>
    </row>
    <row r="1033" spans="1:16">
      <c r="A1033">
        <v>20250501</v>
      </c>
      <c r="B1033">
        <v>6</v>
      </c>
      <c r="C1033">
        <v>3</v>
      </c>
      <c r="D1033">
        <v>2</v>
      </c>
      <c r="E1033">
        <v>14</v>
      </c>
      <c r="F1033" t="s">
        <v>92</v>
      </c>
      <c r="G1033">
        <v>-16609.990000000002</v>
      </c>
      <c r="H1033">
        <f>_xlfn.XLOOKUP(tblFinancials[[#This Row],[DateKey]],tblCalendar[DateKey],tblCalendar[FullDate],"")</f>
        <v>45778</v>
      </c>
      <c r="I1033">
        <f>_xlfn.XLOOKUP(tblFinancials[[#This Row],[AccountKey]],tblAccounts[AccountKey],tblAccounts[AccountNumber],"")</f>
        <v>5000</v>
      </c>
      <c r="J1033" t="str">
        <f>_xlfn.XLOOKUP(tblFinancials[[#This Row],[AccountKey]],tblAccounts[AccountKey],tblAccounts[AccountName],"")</f>
        <v>Cost of Goods Sold</v>
      </c>
      <c r="K1033" s="8" t="str">
        <f>_xlfn.XLOOKUP(tblFinancials[[#This Row],[AccountKey]],tblAccounts[AccountKey],tblAccounts[FinancialStatement],"")</f>
        <v>Income Statement</v>
      </c>
      <c r="L1033" s="8" t="str">
        <f>_xlfn.XLOOKUP(tblFinancials[[#This Row],[AccountKey]],tblAccounts[AccountKey],tblAccounts[AccountCategory],"")</f>
        <v>Cost of Sales</v>
      </c>
      <c r="M1033" s="8" t="str">
        <f>_xlfn.XLOOKUP(tblFinancials[[#This Row],[AccountKey]],tblAccounts[AccountKey],tblAccounts[NormalBalance],"")</f>
        <v>Debit</v>
      </c>
      <c r="N1033" s="8" t="str">
        <f>_xlfn.XLOOKUP(tblFinancials[[#This Row],[DepartmentKey]],tblDepartments[DepartmentKey],tblDepartments[DepartmentName],"")</f>
        <v>Operations</v>
      </c>
      <c r="O1033" s="8" t="str">
        <f>_xlfn.XLOOKUP(tblFinancials[[#This Row],[BusinessUnitKey]],tblBusinessUnits[BusinessUnitKey],tblBusinessUnits[BusinessUnitName],"")</f>
        <v>Retail</v>
      </c>
      <c r="P1033" s="8" t="str">
        <f>_xlfn.XLOOKUP(tblFinancials[[#This Row],[RegionKey]],tblRegions[RegionKey],tblRegions[RegionName],"")</f>
        <v>Midwest</v>
      </c>
    </row>
    <row r="1034" spans="1:16">
      <c r="A1034">
        <v>20250501</v>
      </c>
      <c r="B1034">
        <v>1</v>
      </c>
      <c r="C1034">
        <v>1</v>
      </c>
      <c r="D1034">
        <v>1</v>
      </c>
      <c r="E1034">
        <v>17</v>
      </c>
      <c r="F1034" t="s">
        <v>92</v>
      </c>
      <c r="G1034">
        <v>-9236.35</v>
      </c>
      <c r="H1034">
        <f>_xlfn.XLOOKUP(tblFinancials[[#This Row],[DateKey]],tblCalendar[DateKey],tblCalendar[FullDate],"")</f>
        <v>45778</v>
      </c>
      <c r="I1034">
        <f>_xlfn.XLOOKUP(tblFinancials[[#This Row],[AccountKey]],tblAccounts[AccountKey],tblAccounts[AccountNumber],"")</f>
        <v>6120</v>
      </c>
      <c r="J1034" t="str">
        <f>_xlfn.XLOOKUP(tblFinancials[[#This Row],[AccountKey]],tblAccounts[AccountKey],tblAccounts[AccountName],"")</f>
        <v>Employee Benefits</v>
      </c>
      <c r="K1034" s="8" t="str">
        <f>_xlfn.XLOOKUP(tblFinancials[[#This Row],[AccountKey]],tblAccounts[AccountKey],tblAccounts[FinancialStatement],"")</f>
        <v>Income Statement</v>
      </c>
      <c r="L1034" s="8" t="str">
        <f>_xlfn.XLOOKUP(tblFinancials[[#This Row],[AccountKey]],tblAccounts[AccountKey],tblAccounts[AccountCategory],"")</f>
        <v>Operating Expense</v>
      </c>
      <c r="M1034" s="8" t="str">
        <f>_xlfn.XLOOKUP(tblFinancials[[#This Row],[AccountKey]],tblAccounts[AccountKey],tblAccounts[NormalBalance],"")</f>
        <v>Debit</v>
      </c>
      <c r="N1034" s="8" t="str">
        <f>_xlfn.XLOOKUP(tblFinancials[[#This Row],[DepartmentKey]],tblDepartments[DepartmentKey],tblDepartments[DepartmentName],"")</f>
        <v>Executive</v>
      </c>
      <c r="O1034" s="8" t="str">
        <f>_xlfn.XLOOKUP(tblFinancials[[#This Row],[BusinessUnitKey]],tblBusinessUnits[BusinessUnitKey],tblBusinessUnits[BusinessUnitName],"")</f>
        <v xml:space="preserve">Manufacturing </v>
      </c>
      <c r="P1034" s="8" t="str">
        <f>_xlfn.XLOOKUP(tblFinancials[[#This Row],[RegionKey]],tblRegions[RegionKey],tblRegions[RegionName],"")</f>
        <v>West</v>
      </c>
    </row>
    <row r="1035" spans="1:16">
      <c r="A1035">
        <v>20250501</v>
      </c>
      <c r="B1035">
        <v>1</v>
      </c>
      <c r="C1035">
        <v>4</v>
      </c>
      <c r="D1035">
        <v>2</v>
      </c>
      <c r="E1035">
        <v>22</v>
      </c>
      <c r="F1035" t="s">
        <v>92</v>
      </c>
      <c r="G1035">
        <v>-9364.86</v>
      </c>
      <c r="H1035">
        <f>_xlfn.XLOOKUP(tblFinancials[[#This Row],[DateKey]],tblCalendar[DateKey],tblCalendar[FullDate],"")</f>
        <v>45778</v>
      </c>
      <c r="I1035">
        <f>_xlfn.XLOOKUP(tblFinancials[[#This Row],[AccountKey]],tblAccounts[AccountKey],tblAccounts[AccountNumber],"")</f>
        <v>6700</v>
      </c>
      <c r="J1035" t="str">
        <f>_xlfn.XLOOKUP(tblFinancials[[#This Row],[AccountKey]],tblAccounts[AccountKey],tblAccounts[AccountName],"")</f>
        <v>Insurance Expense</v>
      </c>
      <c r="K1035" s="8" t="str">
        <f>_xlfn.XLOOKUP(tblFinancials[[#This Row],[AccountKey]],tblAccounts[AccountKey],tblAccounts[FinancialStatement],"")</f>
        <v>Income Statement</v>
      </c>
      <c r="L1035" s="8" t="str">
        <f>_xlfn.XLOOKUP(tblFinancials[[#This Row],[AccountKey]],tblAccounts[AccountKey],tblAccounts[AccountCategory],"")</f>
        <v>Operating Expense</v>
      </c>
      <c r="M1035" s="8" t="str">
        <f>_xlfn.XLOOKUP(tblFinancials[[#This Row],[AccountKey]],tblAccounts[AccountKey],tblAccounts[NormalBalance],"")</f>
        <v>Debit</v>
      </c>
      <c r="N1035" s="8" t="str">
        <f>_xlfn.XLOOKUP(tblFinancials[[#This Row],[DepartmentKey]],tblDepartments[DepartmentKey],tblDepartments[DepartmentName],"")</f>
        <v>Executive</v>
      </c>
      <c r="O1035" s="8" t="str">
        <f>_xlfn.XLOOKUP(tblFinancials[[#This Row],[BusinessUnitKey]],tblBusinessUnits[BusinessUnitKey],tblBusinessUnits[BusinessUnitName],"")</f>
        <v>E-Commerce</v>
      </c>
      <c r="P1035" s="8" t="str">
        <f>_xlfn.XLOOKUP(tblFinancials[[#This Row],[RegionKey]],tblRegions[RegionKey],tblRegions[RegionName],"")</f>
        <v>Midwest</v>
      </c>
    </row>
    <row r="1036" spans="1:16">
      <c r="A1036">
        <v>20250501</v>
      </c>
      <c r="B1036">
        <v>4</v>
      </c>
      <c r="C1036">
        <v>1</v>
      </c>
      <c r="D1036">
        <v>3</v>
      </c>
      <c r="E1036">
        <v>18</v>
      </c>
      <c r="F1036" t="s">
        <v>92</v>
      </c>
      <c r="G1036">
        <v>-8679.8700000000008</v>
      </c>
      <c r="H1036">
        <f>_xlfn.XLOOKUP(tblFinancials[[#This Row],[DateKey]],tblCalendar[DateKey],tblCalendar[FullDate],"")</f>
        <v>45778</v>
      </c>
      <c r="I1036">
        <f>_xlfn.XLOOKUP(tblFinancials[[#This Row],[AccountKey]],tblAccounts[AccountKey],tblAccounts[AccountNumber],"")</f>
        <v>6200</v>
      </c>
      <c r="J1036" t="str">
        <f>_xlfn.XLOOKUP(tblFinancials[[#This Row],[AccountKey]],tblAccounts[AccountKey],tblAccounts[AccountName],"")</f>
        <v>Marketing Expense</v>
      </c>
      <c r="K1036" s="8" t="str">
        <f>_xlfn.XLOOKUP(tblFinancials[[#This Row],[AccountKey]],tblAccounts[AccountKey],tblAccounts[FinancialStatement],"")</f>
        <v>Income Statement</v>
      </c>
      <c r="L1036" s="8" t="str">
        <f>_xlfn.XLOOKUP(tblFinancials[[#This Row],[AccountKey]],tblAccounts[AccountKey],tblAccounts[AccountCategory],"")</f>
        <v>Operating Expense</v>
      </c>
      <c r="M1036" s="8" t="str">
        <f>_xlfn.XLOOKUP(tblFinancials[[#This Row],[AccountKey]],tblAccounts[AccountKey],tblAccounts[NormalBalance],"")</f>
        <v>Debit</v>
      </c>
      <c r="N1036" s="8" t="str">
        <f>_xlfn.XLOOKUP(tblFinancials[[#This Row],[DepartmentKey]],tblDepartments[DepartmentKey],tblDepartments[DepartmentName],"")</f>
        <v>Sales</v>
      </c>
      <c r="O1036" s="8" t="str">
        <f>_xlfn.XLOOKUP(tblFinancials[[#This Row],[BusinessUnitKey]],tblBusinessUnits[BusinessUnitKey],tblBusinessUnits[BusinessUnitName],"")</f>
        <v xml:space="preserve">Manufacturing </v>
      </c>
      <c r="P1036" s="8" t="str">
        <f>_xlfn.XLOOKUP(tblFinancials[[#This Row],[RegionKey]],tblRegions[RegionKey],tblRegions[RegionName],"")</f>
        <v>South</v>
      </c>
    </row>
    <row r="1037" spans="1:16">
      <c r="A1037">
        <v>20250501</v>
      </c>
      <c r="B1037">
        <v>8</v>
      </c>
      <c r="C1037">
        <v>1</v>
      </c>
      <c r="D1037">
        <v>2</v>
      </c>
      <c r="E1037">
        <v>15</v>
      </c>
      <c r="F1037" t="s">
        <v>92</v>
      </c>
      <c r="G1037">
        <v>-7524.73</v>
      </c>
      <c r="H1037">
        <f>_xlfn.XLOOKUP(tblFinancials[[#This Row],[DateKey]],tblCalendar[DateKey],tblCalendar[FullDate],"")</f>
        <v>45778</v>
      </c>
      <c r="I1037">
        <f>_xlfn.XLOOKUP(tblFinancials[[#This Row],[AccountKey]],tblAccounts[AccountKey],tblAccounts[AccountNumber],"")</f>
        <v>6100</v>
      </c>
      <c r="J1037" t="str">
        <f>_xlfn.XLOOKUP(tblFinancials[[#This Row],[AccountKey]],tblAccounts[AccountKey],tblAccounts[AccountName],"")</f>
        <v>Salaries Expense</v>
      </c>
      <c r="K1037" s="8" t="str">
        <f>_xlfn.XLOOKUP(tblFinancials[[#This Row],[AccountKey]],tblAccounts[AccountKey],tblAccounts[FinancialStatement],"")</f>
        <v>Income Statement</v>
      </c>
      <c r="L1037" s="8" t="str">
        <f>_xlfn.XLOOKUP(tblFinancials[[#This Row],[AccountKey]],tblAccounts[AccountKey],tblAccounts[AccountCategory],"")</f>
        <v>Operating Expense</v>
      </c>
      <c r="M1037" s="8" t="str">
        <f>_xlfn.XLOOKUP(tblFinancials[[#This Row],[AccountKey]],tblAccounts[AccountKey],tblAccounts[NormalBalance],"")</f>
        <v>Debit</v>
      </c>
      <c r="N1037" s="8" t="str">
        <f>_xlfn.XLOOKUP(tblFinancials[[#This Row],[DepartmentKey]],tblDepartments[DepartmentKey],tblDepartments[DepartmentName],"")</f>
        <v>Customer Service</v>
      </c>
      <c r="O1037" s="8" t="str">
        <f>_xlfn.XLOOKUP(tblFinancials[[#This Row],[BusinessUnitKey]],tblBusinessUnits[BusinessUnitKey],tblBusinessUnits[BusinessUnitName],"")</f>
        <v xml:space="preserve">Manufacturing </v>
      </c>
      <c r="P1037" s="8" t="str">
        <f>_xlfn.XLOOKUP(tblFinancials[[#This Row],[RegionKey]],tblRegions[RegionKey],tblRegions[RegionName],"")</f>
        <v>Midwest</v>
      </c>
    </row>
    <row r="1038" spans="1:16">
      <c r="A1038">
        <v>20250501</v>
      </c>
      <c r="B1038">
        <v>3</v>
      </c>
      <c r="C1038">
        <v>4</v>
      </c>
      <c r="D1038">
        <v>4</v>
      </c>
      <c r="E1038">
        <v>25</v>
      </c>
      <c r="F1038" t="s">
        <v>92</v>
      </c>
      <c r="G1038">
        <v>-7469.65</v>
      </c>
      <c r="H1038">
        <f>_xlfn.XLOOKUP(tblFinancials[[#This Row],[DateKey]],tblCalendar[DateKey],tblCalendar[FullDate],"")</f>
        <v>45778</v>
      </c>
      <c r="I1038">
        <f>_xlfn.XLOOKUP(tblFinancials[[#This Row],[AccountKey]],tblAccounts[AccountKey],tblAccounts[AccountNumber],"")</f>
        <v>8200</v>
      </c>
      <c r="J1038" t="str">
        <f>_xlfn.XLOOKUP(tblFinancials[[#This Row],[AccountKey]],tblAccounts[AccountKey],tblAccounts[AccountName],"")</f>
        <v>Income Tax Expense</v>
      </c>
      <c r="K1038" s="8" t="str">
        <f>_xlfn.XLOOKUP(tblFinancials[[#This Row],[AccountKey]],tblAccounts[AccountKey],tblAccounts[FinancialStatement],"")</f>
        <v>Income Statement</v>
      </c>
      <c r="L1038" s="8" t="str">
        <f>_xlfn.XLOOKUP(tblFinancials[[#This Row],[AccountKey]],tblAccounts[AccountKey],tblAccounts[AccountCategory],"")</f>
        <v>Tax Expense</v>
      </c>
      <c r="M1038" s="8" t="str">
        <f>_xlfn.XLOOKUP(tblFinancials[[#This Row],[AccountKey]],tblAccounts[AccountKey],tblAccounts[NormalBalance],"")</f>
        <v>Debit</v>
      </c>
      <c r="N1038" s="8" t="str">
        <f>_xlfn.XLOOKUP(tblFinancials[[#This Row],[DepartmentKey]],tblDepartments[DepartmentKey],tblDepartments[DepartmentName],"")</f>
        <v>Human Resources</v>
      </c>
      <c r="O1038" s="8" t="str">
        <f>_xlfn.XLOOKUP(tblFinancials[[#This Row],[BusinessUnitKey]],tblBusinessUnits[BusinessUnitKey],tblBusinessUnits[BusinessUnitName],"")</f>
        <v>E-Commerce</v>
      </c>
      <c r="P1038" s="8" t="str">
        <f>_xlfn.XLOOKUP(tblFinancials[[#This Row],[RegionKey]],tblRegions[RegionKey],tblRegions[RegionName],"")</f>
        <v>East</v>
      </c>
    </row>
    <row r="1039" spans="1:16">
      <c r="A1039">
        <v>20250501</v>
      </c>
      <c r="B1039">
        <v>4</v>
      </c>
      <c r="C1039">
        <v>4</v>
      </c>
      <c r="D1039">
        <v>1</v>
      </c>
      <c r="E1039">
        <v>16</v>
      </c>
      <c r="F1039" t="s">
        <v>92</v>
      </c>
      <c r="G1039">
        <v>-7233.73</v>
      </c>
      <c r="H1039">
        <f>_xlfn.XLOOKUP(tblFinancials[[#This Row],[DateKey]],tblCalendar[DateKey],tblCalendar[FullDate],"")</f>
        <v>45778</v>
      </c>
      <c r="I1039">
        <f>_xlfn.XLOOKUP(tblFinancials[[#This Row],[AccountKey]],tblAccounts[AccountKey],tblAccounts[AccountNumber],"")</f>
        <v>6110</v>
      </c>
      <c r="J1039" t="str">
        <f>_xlfn.XLOOKUP(tblFinancials[[#This Row],[AccountKey]],tblAccounts[AccountKey],tblAccounts[AccountName],"")</f>
        <v>Payroll Taxes</v>
      </c>
      <c r="K1039" s="8" t="str">
        <f>_xlfn.XLOOKUP(tblFinancials[[#This Row],[AccountKey]],tblAccounts[AccountKey],tblAccounts[FinancialStatement],"")</f>
        <v>Income Statement</v>
      </c>
      <c r="L1039" s="8" t="str">
        <f>_xlfn.XLOOKUP(tblFinancials[[#This Row],[AccountKey]],tblAccounts[AccountKey],tblAccounts[AccountCategory],"")</f>
        <v>Operating Expense</v>
      </c>
      <c r="M1039" s="8" t="str">
        <f>_xlfn.XLOOKUP(tblFinancials[[#This Row],[AccountKey]],tblAccounts[AccountKey],tblAccounts[NormalBalance],"")</f>
        <v>Debit</v>
      </c>
      <c r="N1039" s="8" t="str">
        <f>_xlfn.XLOOKUP(tblFinancials[[#This Row],[DepartmentKey]],tblDepartments[DepartmentKey],tblDepartments[DepartmentName],"")</f>
        <v>Sales</v>
      </c>
      <c r="O1039" s="8" t="str">
        <f>_xlfn.XLOOKUP(tblFinancials[[#This Row],[BusinessUnitKey]],tblBusinessUnits[BusinessUnitKey],tblBusinessUnits[BusinessUnitName],"")</f>
        <v>E-Commerce</v>
      </c>
      <c r="P1039" s="8" t="str">
        <f>_xlfn.XLOOKUP(tblFinancials[[#This Row],[RegionKey]],tblRegions[RegionKey],tblRegions[RegionName],"")</f>
        <v>West</v>
      </c>
    </row>
    <row r="1040" spans="1:16">
      <c r="A1040">
        <v>20250501</v>
      </c>
      <c r="B1040">
        <v>1</v>
      </c>
      <c r="C1040">
        <v>2</v>
      </c>
      <c r="D1040">
        <v>2</v>
      </c>
      <c r="E1040">
        <v>25</v>
      </c>
      <c r="F1040" t="s">
        <v>92</v>
      </c>
      <c r="G1040">
        <v>-7447.52</v>
      </c>
      <c r="H1040">
        <f>_xlfn.XLOOKUP(tblFinancials[[#This Row],[DateKey]],tblCalendar[DateKey],tblCalendar[FullDate],"")</f>
        <v>45778</v>
      </c>
      <c r="I1040">
        <f>_xlfn.XLOOKUP(tblFinancials[[#This Row],[AccountKey]],tblAccounts[AccountKey],tblAccounts[AccountNumber],"")</f>
        <v>8200</v>
      </c>
      <c r="J1040" t="str">
        <f>_xlfn.XLOOKUP(tblFinancials[[#This Row],[AccountKey]],tblAccounts[AccountKey],tblAccounts[AccountName],"")</f>
        <v>Income Tax Expense</v>
      </c>
      <c r="K1040" s="8" t="str">
        <f>_xlfn.XLOOKUP(tblFinancials[[#This Row],[AccountKey]],tblAccounts[AccountKey],tblAccounts[FinancialStatement],"")</f>
        <v>Income Statement</v>
      </c>
      <c r="L1040" s="8" t="str">
        <f>_xlfn.XLOOKUP(tblFinancials[[#This Row],[AccountKey]],tblAccounts[AccountKey],tblAccounts[AccountCategory],"")</f>
        <v>Tax Expense</v>
      </c>
      <c r="M1040" s="8" t="str">
        <f>_xlfn.XLOOKUP(tblFinancials[[#This Row],[AccountKey]],tblAccounts[AccountKey],tblAccounts[NormalBalance],"")</f>
        <v>Debit</v>
      </c>
      <c r="N1040" s="8" t="str">
        <f>_xlfn.XLOOKUP(tblFinancials[[#This Row],[DepartmentKey]],tblDepartments[DepartmentKey],tblDepartments[DepartmentName],"")</f>
        <v>Executive</v>
      </c>
      <c r="O1040" s="8" t="str">
        <f>_xlfn.XLOOKUP(tblFinancials[[#This Row],[BusinessUnitKey]],tblBusinessUnits[BusinessUnitKey],tblBusinessUnits[BusinessUnitName],"")</f>
        <v>Wholesale</v>
      </c>
      <c r="P1040" s="8" t="str">
        <f>_xlfn.XLOOKUP(tblFinancials[[#This Row],[RegionKey]],tblRegions[RegionKey],tblRegions[RegionName],"")</f>
        <v>Midwest</v>
      </c>
    </row>
    <row r="1041" spans="1:16">
      <c r="A1041">
        <v>20250501</v>
      </c>
      <c r="B1041">
        <v>2</v>
      </c>
      <c r="C1041">
        <v>1</v>
      </c>
      <c r="D1041">
        <v>2</v>
      </c>
      <c r="E1041">
        <v>20</v>
      </c>
      <c r="F1041" t="s">
        <v>92</v>
      </c>
      <c r="G1041">
        <v>-8981.77</v>
      </c>
      <c r="H1041">
        <f>_xlfn.XLOOKUP(tblFinancials[[#This Row],[DateKey]],tblCalendar[DateKey],tblCalendar[FullDate],"")</f>
        <v>45778</v>
      </c>
      <c r="I1041">
        <f>_xlfn.XLOOKUP(tblFinancials[[#This Row],[AccountKey]],tblAccounts[AccountKey],tblAccounts[AccountNumber],"")</f>
        <v>6500</v>
      </c>
      <c r="J1041" t="str">
        <f>_xlfn.XLOOKUP(tblFinancials[[#This Row],[AccountKey]],tblAccounts[AccountKey],tblAccounts[AccountName],"")</f>
        <v>Rent Expense</v>
      </c>
      <c r="K1041" s="8" t="str">
        <f>_xlfn.XLOOKUP(tblFinancials[[#This Row],[AccountKey]],tblAccounts[AccountKey],tblAccounts[FinancialStatement],"")</f>
        <v>Income Statement</v>
      </c>
      <c r="L1041" s="8" t="str">
        <f>_xlfn.XLOOKUP(tblFinancials[[#This Row],[AccountKey]],tblAccounts[AccountKey],tblAccounts[AccountCategory],"")</f>
        <v>Operating Expense</v>
      </c>
      <c r="M1041" s="8" t="str">
        <f>_xlfn.XLOOKUP(tblFinancials[[#This Row],[AccountKey]],tblAccounts[AccountKey],tblAccounts[NormalBalance],"")</f>
        <v>Debit</v>
      </c>
      <c r="N1041" s="8" t="str">
        <f>_xlfn.XLOOKUP(tblFinancials[[#This Row],[DepartmentKey]],tblDepartments[DepartmentKey],tblDepartments[DepartmentName],"")</f>
        <v>Finance</v>
      </c>
      <c r="O1041" s="8" t="str">
        <f>_xlfn.XLOOKUP(tblFinancials[[#This Row],[BusinessUnitKey]],tblBusinessUnits[BusinessUnitKey],tblBusinessUnits[BusinessUnitName],"")</f>
        <v xml:space="preserve">Manufacturing </v>
      </c>
      <c r="P1041" s="8" t="str">
        <f>_xlfn.XLOOKUP(tblFinancials[[#This Row],[RegionKey]],tblRegions[RegionKey],tblRegions[RegionName],"")</f>
        <v>Midwest</v>
      </c>
    </row>
    <row r="1042" spans="1:16">
      <c r="A1042">
        <v>20250501</v>
      </c>
      <c r="B1042">
        <v>2</v>
      </c>
      <c r="C1042">
        <v>4</v>
      </c>
      <c r="D1042">
        <v>4</v>
      </c>
      <c r="E1042">
        <v>21</v>
      </c>
      <c r="F1042" t="s">
        <v>92</v>
      </c>
      <c r="G1042">
        <v>-7048.23</v>
      </c>
      <c r="H1042">
        <f>_xlfn.XLOOKUP(tblFinancials[[#This Row],[DateKey]],tblCalendar[DateKey],tblCalendar[FullDate],"")</f>
        <v>45778</v>
      </c>
      <c r="I1042">
        <f>_xlfn.XLOOKUP(tblFinancials[[#This Row],[AccountKey]],tblAccounts[AccountKey],tblAccounts[AccountNumber],"")</f>
        <v>6600</v>
      </c>
      <c r="J1042" t="str">
        <f>_xlfn.XLOOKUP(tblFinancials[[#This Row],[AccountKey]],tblAccounts[AccountKey],tblAccounts[AccountName],"")</f>
        <v>Utilities Expense</v>
      </c>
      <c r="K1042" s="8" t="str">
        <f>_xlfn.XLOOKUP(tblFinancials[[#This Row],[AccountKey]],tblAccounts[AccountKey],tblAccounts[FinancialStatement],"")</f>
        <v>Income Statement</v>
      </c>
      <c r="L1042" s="8" t="str">
        <f>_xlfn.XLOOKUP(tblFinancials[[#This Row],[AccountKey]],tblAccounts[AccountKey],tblAccounts[AccountCategory],"")</f>
        <v>Operating Expense</v>
      </c>
      <c r="M1042" s="8" t="str">
        <f>_xlfn.XLOOKUP(tblFinancials[[#This Row],[AccountKey]],tblAccounts[AccountKey],tblAccounts[NormalBalance],"")</f>
        <v>Debit</v>
      </c>
      <c r="N1042" s="8" t="str">
        <f>_xlfn.XLOOKUP(tblFinancials[[#This Row],[DepartmentKey]],tblDepartments[DepartmentKey],tblDepartments[DepartmentName],"")</f>
        <v>Finance</v>
      </c>
      <c r="O1042" s="8" t="str">
        <f>_xlfn.XLOOKUP(tblFinancials[[#This Row],[BusinessUnitKey]],tblBusinessUnits[BusinessUnitKey],tblBusinessUnits[BusinessUnitName],"")</f>
        <v>E-Commerce</v>
      </c>
      <c r="P1042" s="8" t="str">
        <f>_xlfn.XLOOKUP(tblFinancials[[#This Row],[RegionKey]],tblRegions[RegionKey],tblRegions[RegionName],"")</f>
        <v>East</v>
      </c>
    </row>
    <row r="1043" spans="1:16">
      <c r="A1043">
        <v>20250501</v>
      </c>
      <c r="B1043">
        <v>4</v>
      </c>
      <c r="C1043">
        <v>4</v>
      </c>
      <c r="D1043">
        <v>1</v>
      </c>
      <c r="E1043">
        <v>15</v>
      </c>
      <c r="F1043" t="s">
        <v>92</v>
      </c>
      <c r="G1043">
        <v>-8080.76</v>
      </c>
      <c r="H1043">
        <f>_xlfn.XLOOKUP(tblFinancials[[#This Row],[DateKey]],tblCalendar[DateKey],tblCalendar[FullDate],"")</f>
        <v>45778</v>
      </c>
      <c r="I1043">
        <f>_xlfn.XLOOKUP(tblFinancials[[#This Row],[AccountKey]],tblAccounts[AccountKey],tblAccounts[AccountNumber],"")</f>
        <v>6100</v>
      </c>
      <c r="J1043" t="str">
        <f>_xlfn.XLOOKUP(tblFinancials[[#This Row],[AccountKey]],tblAccounts[AccountKey],tblAccounts[AccountName],"")</f>
        <v>Salaries Expense</v>
      </c>
      <c r="K1043" s="8" t="str">
        <f>_xlfn.XLOOKUP(tblFinancials[[#This Row],[AccountKey]],tblAccounts[AccountKey],tblAccounts[FinancialStatement],"")</f>
        <v>Income Statement</v>
      </c>
      <c r="L1043" s="8" t="str">
        <f>_xlfn.XLOOKUP(tblFinancials[[#This Row],[AccountKey]],tblAccounts[AccountKey],tblAccounts[AccountCategory],"")</f>
        <v>Operating Expense</v>
      </c>
      <c r="M1043" s="8" t="str">
        <f>_xlfn.XLOOKUP(tblFinancials[[#This Row],[AccountKey]],tblAccounts[AccountKey],tblAccounts[NormalBalance],"")</f>
        <v>Debit</v>
      </c>
      <c r="N1043" s="8" t="str">
        <f>_xlfn.XLOOKUP(tblFinancials[[#This Row],[DepartmentKey]],tblDepartments[DepartmentKey],tblDepartments[DepartmentName],"")</f>
        <v>Sales</v>
      </c>
      <c r="O1043" s="8" t="str">
        <f>_xlfn.XLOOKUP(tblFinancials[[#This Row],[BusinessUnitKey]],tblBusinessUnits[BusinessUnitKey],tblBusinessUnits[BusinessUnitName],"")</f>
        <v>E-Commerce</v>
      </c>
      <c r="P1043" s="8" t="str">
        <f>_xlfn.XLOOKUP(tblFinancials[[#This Row],[RegionKey]],tblRegions[RegionKey],tblRegions[RegionName],"")</f>
        <v>West</v>
      </c>
    </row>
    <row r="1044" spans="1:16">
      <c r="A1044">
        <v>20250501</v>
      </c>
      <c r="B1044">
        <v>7</v>
      </c>
      <c r="C1044">
        <v>1</v>
      </c>
      <c r="D1044">
        <v>1</v>
      </c>
      <c r="E1044">
        <v>17</v>
      </c>
      <c r="F1044" t="s">
        <v>92</v>
      </c>
      <c r="G1044">
        <v>-8278.2000000000007</v>
      </c>
      <c r="H1044">
        <f>_xlfn.XLOOKUP(tblFinancials[[#This Row],[DateKey]],tblCalendar[DateKey],tblCalendar[FullDate],"")</f>
        <v>45778</v>
      </c>
      <c r="I1044">
        <f>_xlfn.XLOOKUP(tblFinancials[[#This Row],[AccountKey]],tblAccounts[AccountKey],tblAccounts[AccountNumber],"")</f>
        <v>6120</v>
      </c>
      <c r="J1044" t="str">
        <f>_xlfn.XLOOKUP(tblFinancials[[#This Row],[AccountKey]],tblAccounts[AccountKey],tblAccounts[AccountName],"")</f>
        <v>Employee Benefits</v>
      </c>
      <c r="K1044" s="8" t="str">
        <f>_xlfn.XLOOKUP(tblFinancials[[#This Row],[AccountKey]],tblAccounts[AccountKey],tblAccounts[FinancialStatement],"")</f>
        <v>Income Statement</v>
      </c>
      <c r="L1044" s="8" t="str">
        <f>_xlfn.XLOOKUP(tblFinancials[[#This Row],[AccountKey]],tblAccounts[AccountKey],tblAccounts[AccountCategory],"")</f>
        <v>Operating Expense</v>
      </c>
      <c r="M1044" s="8" t="str">
        <f>_xlfn.XLOOKUP(tblFinancials[[#This Row],[AccountKey]],tblAccounts[AccountKey],tblAccounts[NormalBalance],"")</f>
        <v>Debit</v>
      </c>
      <c r="N1044" s="8" t="str">
        <f>_xlfn.XLOOKUP(tblFinancials[[#This Row],[DepartmentKey]],tblDepartments[DepartmentKey],tblDepartments[DepartmentName],"")</f>
        <v>Information Technology</v>
      </c>
      <c r="O1044" s="8" t="str">
        <f>_xlfn.XLOOKUP(tblFinancials[[#This Row],[BusinessUnitKey]],tblBusinessUnits[BusinessUnitKey],tblBusinessUnits[BusinessUnitName],"")</f>
        <v xml:space="preserve">Manufacturing </v>
      </c>
      <c r="P1044" s="8" t="str">
        <f>_xlfn.XLOOKUP(tblFinancials[[#This Row],[RegionKey]],tblRegions[RegionKey],tblRegions[RegionName],"")</f>
        <v>West</v>
      </c>
    </row>
    <row r="1045" spans="1:16">
      <c r="A1045">
        <v>20250501</v>
      </c>
      <c r="B1045">
        <v>1</v>
      </c>
      <c r="C1045">
        <v>3</v>
      </c>
      <c r="D1045">
        <v>4</v>
      </c>
      <c r="E1045">
        <v>15</v>
      </c>
      <c r="F1045" t="s">
        <v>92</v>
      </c>
      <c r="G1045">
        <v>-9312.65</v>
      </c>
      <c r="H1045">
        <f>_xlfn.XLOOKUP(tblFinancials[[#This Row],[DateKey]],tblCalendar[DateKey],tblCalendar[FullDate],"")</f>
        <v>45778</v>
      </c>
      <c r="I1045">
        <f>_xlfn.XLOOKUP(tblFinancials[[#This Row],[AccountKey]],tblAccounts[AccountKey],tblAccounts[AccountNumber],"")</f>
        <v>6100</v>
      </c>
      <c r="J1045" t="str">
        <f>_xlfn.XLOOKUP(tblFinancials[[#This Row],[AccountKey]],tblAccounts[AccountKey],tblAccounts[AccountName],"")</f>
        <v>Salaries Expense</v>
      </c>
      <c r="K1045" s="8" t="str">
        <f>_xlfn.XLOOKUP(tblFinancials[[#This Row],[AccountKey]],tblAccounts[AccountKey],tblAccounts[FinancialStatement],"")</f>
        <v>Income Statement</v>
      </c>
      <c r="L1045" s="8" t="str">
        <f>_xlfn.XLOOKUP(tblFinancials[[#This Row],[AccountKey]],tblAccounts[AccountKey],tblAccounts[AccountCategory],"")</f>
        <v>Operating Expense</v>
      </c>
      <c r="M1045" s="8" t="str">
        <f>_xlfn.XLOOKUP(tblFinancials[[#This Row],[AccountKey]],tblAccounts[AccountKey],tblAccounts[NormalBalance],"")</f>
        <v>Debit</v>
      </c>
      <c r="N1045" s="8" t="str">
        <f>_xlfn.XLOOKUP(tblFinancials[[#This Row],[DepartmentKey]],tblDepartments[DepartmentKey],tblDepartments[DepartmentName],"")</f>
        <v>Executive</v>
      </c>
      <c r="O1045" s="8" t="str">
        <f>_xlfn.XLOOKUP(tblFinancials[[#This Row],[BusinessUnitKey]],tblBusinessUnits[BusinessUnitKey],tblBusinessUnits[BusinessUnitName],"")</f>
        <v>Retail</v>
      </c>
      <c r="P1045" s="8" t="str">
        <f>_xlfn.XLOOKUP(tblFinancials[[#This Row],[RegionKey]],tblRegions[RegionKey],tblRegions[RegionName],"")</f>
        <v>East</v>
      </c>
    </row>
    <row r="1046" spans="1:16">
      <c r="A1046">
        <v>20250601</v>
      </c>
      <c r="B1046">
        <v>1</v>
      </c>
      <c r="C1046">
        <v>2</v>
      </c>
      <c r="D1046">
        <v>3</v>
      </c>
      <c r="E1046">
        <v>11</v>
      </c>
      <c r="F1046" t="s">
        <v>92</v>
      </c>
      <c r="G1046">
        <v>34672.720000000001</v>
      </c>
      <c r="H1046">
        <f>_xlfn.XLOOKUP(tblFinancials[[#This Row],[DateKey]],tblCalendar[DateKey],tblCalendar[FullDate],"")</f>
        <v>45809</v>
      </c>
      <c r="I1046">
        <f>_xlfn.XLOOKUP(tblFinancials[[#This Row],[AccountKey]],tblAccounts[AccountKey],tblAccounts[AccountNumber],"")</f>
        <v>4000</v>
      </c>
      <c r="J1046" t="str">
        <f>_xlfn.XLOOKUP(tblFinancials[[#This Row],[AccountKey]],tblAccounts[AccountKey],tblAccounts[AccountName],"")</f>
        <v>Product Revenue</v>
      </c>
      <c r="K1046" s="8" t="str">
        <f>_xlfn.XLOOKUP(tblFinancials[[#This Row],[AccountKey]],tblAccounts[AccountKey],tblAccounts[FinancialStatement],"")</f>
        <v>Income Statement</v>
      </c>
      <c r="L1046" s="8" t="str">
        <f>_xlfn.XLOOKUP(tblFinancials[[#This Row],[AccountKey]],tblAccounts[AccountKey],tblAccounts[AccountCategory],"")</f>
        <v>Revenue</v>
      </c>
      <c r="M1046" s="8" t="str">
        <f>_xlfn.XLOOKUP(tblFinancials[[#This Row],[AccountKey]],tblAccounts[AccountKey],tblAccounts[NormalBalance],"")</f>
        <v>Credit</v>
      </c>
      <c r="N1046" s="8" t="str">
        <f>_xlfn.XLOOKUP(tblFinancials[[#This Row],[DepartmentKey]],tblDepartments[DepartmentKey],tblDepartments[DepartmentName],"")</f>
        <v>Executive</v>
      </c>
      <c r="O1046" s="8" t="str">
        <f>_xlfn.XLOOKUP(tblFinancials[[#This Row],[BusinessUnitKey]],tblBusinessUnits[BusinessUnitKey],tblBusinessUnits[BusinessUnitName],"")</f>
        <v>Wholesale</v>
      </c>
      <c r="P1046" s="8" t="str">
        <f>_xlfn.XLOOKUP(tblFinancials[[#This Row],[RegionKey]],tblRegions[RegionKey],tblRegions[RegionName],"")</f>
        <v>South</v>
      </c>
    </row>
    <row r="1047" spans="1:16">
      <c r="A1047">
        <v>20250601</v>
      </c>
      <c r="B1047">
        <v>2</v>
      </c>
      <c r="C1047">
        <v>4</v>
      </c>
      <c r="D1047">
        <v>2</v>
      </c>
      <c r="E1047">
        <v>13</v>
      </c>
      <c r="F1047" t="s">
        <v>92</v>
      </c>
      <c r="G1047">
        <v>34702.44</v>
      </c>
      <c r="H1047">
        <f>_xlfn.XLOOKUP(tblFinancials[[#This Row],[DateKey]],tblCalendar[DateKey],tblCalendar[FullDate],"")</f>
        <v>45809</v>
      </c>
      <c r="I1047">
        <f>_xlfn.XLOOKUP(tblFinancials[[#This Row],[AccountKey]],tblAccounts[AccountKey],tblAccounts[AccountNumber],"")</f>
        <v>4020</v>
      </c>
      <c r="J1047" t="str">
        <f>_xlfn.XLOOKUP(tblFinancials[[#This Row],[AccountKey]],tblAccounts[AccountKey],tblAccounts[AccountName],"")</f>
        <v>Online Revenue</v>
      </c>
      <c r="K1047" s="8" t="str">
        <f>_xlfn.XLOOKUP(tblFinancials[[#This Row],[AccountKey]],tblAccounts[AccountKey],tblAccounts[FinancialStatement],"")</f>
        <v>Income Statement</v>
      </c>
      <c r="L1047" s="8" t="str">
        <f>_xlfn.XLOOKUP(tblFinancials[[#This Row],[AccountKey]],tblAccounts[AccountKey],tblAccounts[AccountCategory],"")</f>
        <v>Revenue</v>
      </c>
      <c r="M1047" s="8" t="str">
        <f>_xlfn.XLOOKUP(tblFinancials[[#This Row],[AccountKey]],tblAccounts[AccountKey],tblAccounts[NormalBalance],"")</f>
        <v>Credit</v>
      </c>
      <c r="N1047" s="8" t="str">
        <f>_xlfn.XLOOKUP(tblFinancials[[#This Row],[DepartmentKey]],tblDepartments[DepartmentKey],tblDepartments[DepartmentName],"")</f>
        <v>Finance</v>
      </c>
      <c r="O1047" s="8" t="str">
        <f>_xlfn.XLOOKUP(tblFinancials[[#This Row],[BusinessUnitKey]],tblBusinessUnits[BusinessUnitKey],tblBusinessUnits[BusinessUnitName],"")</f>
        <v>E-Commerce</v>
      </c>
      <c r="P1047" s="8" t="str">
        <f>_xlfn.XLOOKUP(tblFinancials[[#This Row],[RegionKey]],tblRegions[RegionKey],tblRegions[RegionName],"")</f>
        <v>Midwest</v>
      </c>
    </row>
    <row r="1048" spans="1:16">
      <c r="A1048">
        <v>20250601</v>
      </c>
      <c r="B1048">
        <v>8</v>
      </c>
      <c r="C1048">
        <v>1</v>
      </c>
      <c r="D1048">
        <v>2</v>
      </c>
      <c r="E1048">
        <v>12</v>
      </c>
      <c r="F1048" t="s">
        <v>92</v>
      </c>
      <c r="G1048">
        <v>35518.160000000003</v>
      </c>
      <c r="H1048">
        <f>_xlfn.XLOOKUP(tblFinancials[[#This Row],[DateKey]],tblCalendar[DateKey],tblCalendar[FullDate],"")</f>
        <v>45809</v>
      </c>
      <c r="I1048">
        <f>_xlfn.XLOOKUP(tblFinancials[[#This Row],[AccountKey]],tblAccounts[AccountKey],tblAccounts[AccountNumber],"")</f>
        <v>4010</v>
      </c>
      <c r="J1048" t="str">
        <f>_xlfn.XLOOKUP(tblFinancials[[#This Row],[AccountKey]],tblAccounts[AccountKey],tblAccounts[AccountName],"")</f>
        <v>Service Revenue</v>
      </c>
      <c r="K1048" s="8" t="str">
        <f>_xlfn.XLOOKUP(tblFinancials[[#This Row],[AccountKey]],tblAccounts[AccountKey],tblAccounts[FinancialStatement],"")</f>
        <v>Income Statement</v>
      </c>
      <c r="L1048" s="8" t="str">
        <f>_xlfn.XLOOKUP(tblFinancials[[#This Row],[AccountKey]],tblAccounts[AccountKey],tblAccounts[AccountCategory],"")</f>
        <v>Revenue</v>
      </c>
      <c r="M1048" s="8" t="str">
        <f>_xlfn.XLOOKUP(tblFinancials[[#This Row],[AccountKey]],tblAccounts[AccountKey],tblAccounts[NormalBalance],"")</f>
        <v>Credit</v>
      </c>
      <c r="N1048" s="8" t="str">
        <f>_xlfn.XLOOKUP(tblFinancials[[#This Row],[DepartmentKey]],tblDepartments[DepartmentKey],tblDepartments[DepartmentName],"")</f>
        <v>Customer Service</v>
      </c>
      <c r="O1048" s="8" t="str">
        <f>_xlfn.XLOOKUP(tblFinancials[[#This Row],[BusinessUnitKey]],tblBusinessUnits[BusinessUnitKey],tblBusinessUnits[BusinessUnitName],"")</f>
        <v xml:space="preserve">Manufacturing </v>
      </c>
      <c r="P1048" s="8" t="str">
        <f>_xlfn.XLOOKUP(tblFinancials[[#This Row],[RegionKey]],tblRegions[RegionKey],tblRegions[RegionName],"")</f>
        <v>Midwest</v>
      </c>
    </row>
    <row r="1049" spans="1:16">
      <c r="A1049">
        <v>20250601</v>
      </c>
      <c r="B1049">
        <v>2</v>
      </c>
      <c r="C1049">
        <v>4</v>
      </c>
      <c r="D1049">
        <v>2</v>
      </c>
      <c r="E1049">
        <v>11</v>
      </c>
      <c r="F1049" t="s">
        <v>92</v>
      </c>
      <c r="G1049">
        <v>36365.26</v>
      </c>
      <c r="H1049">
        <f>_xlfn.XLOOKUP(tblFinancials[[#This Row],[DateKey]],tblCalendar[DateKey],tblCalendar[FullDate],"")</f>
        <v>45809</v>
      </c>
      <c r="I1049">
        <f>_xlfn.XLOOKUP(tblFinancials[[#This Row],[AccountKey]],tblAccounts[AccountKey],tblAccounts[AccountNumber],"")</f>
        <v>4000</v>
      </c>
      <c r="J1049" t="str">
        <f>_xlfn.XLOOKUP(tblFinancials[[#This Row],[AccountKey]],tblAccounts[AccountKey],tblAccounts[AccountName],"")</f>
        <v>Product Revenue</v>
      </c>
      <c r="K1049" s="8" t="str">
        <f>_xlfn.XLOOKUP(tblFinancials[[#This Row],[AccountKey]],tblAccounts[AccountKey],tblAccounts[FinancialStatement],"")</f>
        <v>Income Statement</v>
      </c>
      <c r="L1049" s="8" t="str">
        <f>_xlfn.XLOOKUP(tblFinancials[[#This Row],[AccountKey]],tblAccounts[AccountKey],tblAccounts[AccountCategory],"")</f>
        <v>Revenue</v>
      </c>
      <c r="M1049" s="8" t="str">
        <f>_xlfn.XLOOKUP(tblFinancials[[#This Row],[AccountKey]],tblAccounts[AccountKey],tblAccounts[NormalBalance],"")</f>
        <v>Credit</v>
      </c>
      <c r="N1049" s="8" t="str">
        <f>_xlfn.XLOOKUP(tblFinancials[[#This Row],[DepartmentKey]],tblDepartments[DepartmentKey],tblDepartments[DepartmentName],"")</f>
        <v>Finance</v>
      </c>
      <c r="O1049" s="8" t="str">
        <f>_xlfn.XLOOKUP(tblFinancials[[#This Row],[BusinessUnitKey]],tblBusinessUnits[BusinessUnitKey],tblBusinessUnits[BusinessUnitName],"")</f>
        <v>E-Commerce</v>
      </c>
      <c r="P1049" s="8" t="str">
        <f>_xlfn.XLOOKUP(tblFinancials[[#This Row],[RegionKey]],tblRegions[RegionKey],tblRegions[RegionName],"")</f>
        <v>Midwest</v>
      </c>
    </row>
    <row r="1050" spans="1:16">
      <c r="A1050">
        <v>20250601</v>
      </c>
      <c r="B1050">
        <v>3</v>
      </c>
      <c r="C1050">
        <v>2</v>
      </c>
      <c r="D1050">
        <v>4</v>
      </c>
      <c r="E1050">
        <v>11</v>
      </c>
      <c r="F1050" t="s">
        <v>92</v>
      </c>
      <c r="G1050">
        <v>34963.26</v>
      </c>
      <c r="H1050">
        <f>_xlfn.XLOOKUP(tblFinancials[[#This Row],[DateKey]],tblCalendar[DateKey],tblCalendar[FullDate],"")</f>
        <v>45809</v>
      </c>
      <c r="I1050">
        <f>_xlfn.XLOOKUP(tblFinancials[[#This Row],[AccountKey]],tblAccounts[AccountKey],tblAccounts[AccountNumber],"")</f>
        <v>4000</v>
      </c>
      <c r="J1050" t="str">
        <f>_xlfn.XLOOKUP(tblFinancials[[#This Row],[AccountKey]],tblAccounts[AccountKey],tblAccounts[AccountName],"")</f>
        <v>Product Revenue</v>
      </c>
      <c r="K1050" s="8" t="str">
        <f>_xlfn.XLOOKUP(tblFinancials[[#This Row],[AccountKey]],tblAccounts[AccountKey],tblAccounts[FinancialStatement],"")</f>
        <v>Income Statement</v>
      </c>
      <c r="L1050" s="8" t="str">
        <f>_xlfn.XLOOKUP(tblFinancials[[#This Row],[AccountKey]],tblAccounts[AccountKey],tblAccounts[AccountCategory],"")</f>
        <v>Revenue</v>
      </c>
      <c r="M1050" s="8" t="str">
        <f>_xlfn.XLOOKUP(tblFinancials[[#This Row],[AccountKey]],tblAccounts[AccountKey],tblAccounts[NormalBalance],"")</f>
        <v>Credit</v>
      </c>
      <c r="N1050" s="8" t="str">
        <f>_xlfn.XLOOKUP(tblFinancials[[#This Row],[DepartmentKey]],tblDepartments[DepartmentKey],tblDepartments[DepartmentName],"")</f>
        <v>Human Resources</v>
      </c>
      <c r="O1050" s="8" t="str">
        <f>_xlfn.XLOOKUP(tblFinancials[[#This Row],[BusinessUnitKey]],tblBusinessUnits[BusinessUnitKey],tblBusinessUnits[BusinessUnitName],"")</f>
        <v>Wholesale</v>
      </c>
      <c r="P1050" s="8" t="str">
        <f>_xlfn.XLOOKUP(tblFinancials[[#This Row],[RegionKey]],tblRegions[RegionKey],tblRegions[RegionName],"")</f>
        <v>East</v>
      </c>
    </row>
    <row r="1051" spans="1:16">
      <c r="A1051">
        <v>20250601</v>
      </c>
      <c r="B1051">
        <v>1</v>
      </c>
      <c r="C1051">
        <v>2</v>
      </c>
      <c r="D1051">
        <v>1</v>
      </c>
      <c r="E1051">
        <v>11</v>
      </c>
      <c r="F1051" t="s">
        <v>92</v>
      </c>
      <c r="G1051">
        <v>34939.57</v>
      </c>
      <c r="H1051">
        <f>_xlfn.XLOOKUP(tblFinancials[[#This Row],[DateKey]],tblCalendar[DateKey],tblCalendar[FullDate],"")</f>
        <v>45809</v>
      </c>
      <c r="I1051">
        <f>_xlfn.XLOOKUP(tblFinancials[[#This Row],[AccountKey]],tblAccounts[AccountKey],tblAccounts[AccountNumber],"")</f>
        <v>4000</v>
      </c>
      <c r="J1051" t="str">
        <f>_xlfn.XLOOKUP(tblFinancials[[#This Row],[AccountKey]],tblAccounts[AccountKey],tblAccounts[AccountName],"")</f>
        <v>Product Revenue</v>
      </c>
      <c r="K1051" s="8" t="str">
        <f>_xlfn.XLOOKUP(tblFinancials[[#This Row],[AccountKey]],tblAccounts[AccountKey],tblAccounts[FinancialStatement],"")</f>
        <v>Income Statement</v>
      </c>
      <c r="L1051" s="8" t="str">
        <f>_xlfn.XLOOKUP(tblFinancials[[#This Row],[AccountKey]],tblAccounts[AccountKey],tblAccounts[AccountCategory],"")</f>
        <v>Revenue</v>
      </c>
      <c r="M1051" s="8" t="str">
        <f>_xlfn.XLOOKUP(tblFinancials[[#This Row],[AccountKey]],tblAccounts[AccountKey],tblAccounts[NormalBalance],"")</f>
        <v>Credit</v>
      </c>
      <c r="N1051" s="8" t="str">
        <f>_xlfn.XLOOKUP(tblFinancials[[#This Row],[DepartmentKey]],tblDepartments[DepartmentKey],tblDepartments[DepartmentName],"")</f>
        <v>Executive</v>
      </c>
      <c r="O1051" s="8" t="str">
        <f>_xlfn.XLOOKUP(tblFinancials[[#This Row],[BusinessUnitKey]],tblBusinessUnits[BusinessUnitKey],tblBusinessUnits[BusinessUnitName],"")</f>
        <v>Wholesale</v>
      </c>
      <c r="P1051" s="8" t="str">
        <f>_xlfn.XLOOKUP(tblFinancials[[#This Row],[RegionKey]],tblRegions[RegionKey],tblRegions[RegionName],"")</f>
        <v>West</v>
      </c>
    </row>
    <row r="1052" spans="1:16">
      <c r="A1052">
        <v>20250601</v>
      </c>
      <c r="B1052">
        <v>2</v>
      </c>
      <c r="C1052">
        <v>1</v>
      </c>
      <c r="D1052">
        <v>3</v>
      </c>
      <c r="E1052">
        <v>13</v>
      </c>
      <c r="F1052" t="s">
        <v>92</v>
      </c>
      <c r="G1052">
        <v>36396.61</v>
      </c>
      <c r="H1052">
        <f>_xlfn.XLOOKUP(tblFinancials[[#This Row],[DateKey]],tblCalendar[DateKey],tblCalendar[FullDate],"")</f>
        <v>45809</v>
      </c>
      <c r="I1052">
        <f>_xlfn.XLOOKUP(tblFinancials[[#This Row],[AccountKey]],tblAccounts[AccountKey],tblAccounts[AccountNumber],"")</f>
        <v>4020</v>
      </c>
      <c r="J1052" t="str">
        <f>_xlfn.XLOOKUP(tblFinancials[[#This Row],[AccountKey]],tblAccounts[AccountKey],tblAccounts[AccountName],"")</f>
        <v>Online Revenue</v>
      </c>
      <c r="K1052" s="8" t="str">
        <f>_xlfn.XLOOKUP(tblFinancials[[#This Row],[AccountKey]],tblAccounts[AccountKey],tblAccounts[FinancialStatement],"")</f>
        <v>Income Statement</v>
      </c>
      <c r="L1052" s="8" t="str">
        <f>_xlfn.XLOOKUP(tblFinancials[[#This Row],[AccountKey]],tblAccounts[AccountKey],tblAccounts[AccountCategory],"")</f>
        <v>Revenue</v>
      </c>
      <c r="M1052" s="8" t="str">
        <f>_xlfn.XLOOKUP(tblFinancials[[#This Row],[AccountKey]],tblAccounts[AccountKey],tblAccounts[NormalBalance],"")</f>
        <v>Credit</v>
      </c>
      <c r="N1052" s="8" t="str">
        <f>_xlfn.XLOOKUP(tblFinancials[[#This Row],[DepartmentKey]],tblDepartments[DepartmentKey],tblDepartments[DepartmentName],"")</f>
        <v>Finance</v>
      </c>
      <c r="O1052" s="8" t="str">
        <f>_xlfn.XLOOKUP(tblFinancials[[#This Row],[BusinessUnitKey]],tblBusinessUnits[BusinessUnitKey],tblBusinessUnits[BusinessUnitName],"")</f>
        <v xml:space="preserve">Manufacturing </v>
      </c>
      <c r="P1052" s="8" t="str">
        <f>_xlfn.XLOOKUP(tblFinancials[[#This Row],[RegionKey]],tblRegions[RegionKey],tblRegions[RegionName],"")</f>
        <v>South</v>
      </c>
    </row>
    <row r="1053" spans="1:16">
      <c r="A1053">
        <v>20250601</v>
      </c>
      <c r="B1053">
        <v>5</v>
      </c>
      <c r="C1053">
        <v>2</v>
      </c>
      <c r="D1053">
        <v>1</v>
      </c>
      <c r="E1053">
        <v>13</v>
      </c>
      <c r="F1053" t="s">
        <v>92</v>
      </c>
      <c r="G1053">
        <v>35266.75</v>
      </c>
      <c r="H1053">
        <f>_xlfn.XLOOKUP(tblFinancials[[#This Row],[DateKey]],tblCalendar[DateKey],tblCalendar[FullDate],"")</f>
        <v>45809</v>
      </c>
      <c r="I1053">
        <f>_xlfn.XLOOKUP(tblFinancials[[#This Row],[AccountKey]],tblAccounts[AccountKey],tblAccounts[AccountNumber],"")</f>
        <v>4020</v>
      </c>
      <c r="J1053" t="str">
        <f>_xlfn.XLOOKUP(tblFinancials[[#This Row],[AccountKey]],tblAccounts[AccountKey],tblAccounts[AccountName],"")</f>
        <v>Online Revenue</v>
      </c>
      <c r="K1053" s="8" t="str">
        <f>_xlfn.XLOOKUP(tblFinancials[[#This Row],[AccountKey]],tblAccounts[AccountKey],tblAccounts[FinancialStatement],"")</f>
        <v>Income Statement</v>
      </c>
      <c r="L1053" s="8" t="str">
        <f>_xlfn.XLOOKUP(tblFinancials[[#This Row],[AccountKey]],tblAccounts[AccountKey],tblAccounts[AccountCategory],"")</f>
        <v>Revenue</v>
      </c>
      <c r="M1053" s="8" t="str">
        <f>_xlfn.XLOOKUP(tblFinancials[[#This Row],[AccountKey]],tblAccounts[AccountKey],tblAccounts[NormalBalance],"")</f>
        <v>Credit</v>
      </c>
      <c r="N1053" s="8" t="str">
        <f>_xlfn.XLOOKUP(tblFinancials[[#This Row],[DepartmentKey]],tblDepartments[DepartmentKey],tblDepartments[DepartmentName],"")</f>
        <v>Marketing</v>
      </c>
      <c r="O1053" s="8" t="str">
        <f>_xlfn.XLOOKUP(tblFinancials[[#This Row],[BusinessUnitKey]],tblBusinessUnits[BusinessUnitKey],tblBusinessUnits[BusinessUnitName],"")</f>
        <v>Wholesale</v>
      </c>
      <c r="P1053" s="8" t="str">
        <f>_xlfn.XLOOKUP(tblFinancials[[#This Row],[RegionKey]],tblRegions[RegionKey],tblRegions[RegionName],"")</f>
        <v>West</v>
      </c>
    </row>
    <row r="1054" spans="1:16">
      <c r="A1054">
        <v>20250601</v>
      </c>
      <c r="B1054">
        <v>7</v>
      </c>
      <c r="C1054">
        <v>1</v>
      </c>
      <c r="D1054">
        <v>1</v>
      </c>
      <c r="E1054">
        <v>13</v>
      </c>
      <c r="F1054" t="s">
        <v>92</v>
      </c>
      <c r="G1054">
        <v>35385.31</v>
      </c>
      <c r="H1054">
        <f>_xlfn.XLOOKUP(tblFinancials[[#This Row],[DateKey]],tblCalendar[DateKey],tblCalendar[FullDate],"")</f>
        <v>45809</v>
      </c>
      <c r="I1054">
        <f>_xlfn.XLOOKUP(tblFinancials[[#This Row],[AccountKey]],tblAccounts[AccountKey],tblAccounts[AccountNumber],"")</f>
        <v>4020</v>
      </c>
      <c r="J1054" t="str">
        <f>_xlfn.XLOOKUP(tblFinancials[[#This Row],[AccountKey]],tblAccounts[AccountKey],tblAccounts[AccountName],"")</f>
        <v>Online Revenue</v>
      </c>
      <c r="K1054" s="8" t="str">
        <f>_xlfn.XLOOKUP(tblFinancials[[#This Row],[AccountKey]],tblAccounts[AccountKey],tblAccounts[FinancialStatement],"")</f>
        <v>Income Statement</v>
      </c>
      <c r="L1054" s="8" t="str">
        <f>_xlfn.XLOOKUP(tblFinancials[[#This Row],[AccountKey]],tblAccounts[AccountKey],tblAccounts[AccountCategory],"")</f>
        <v>Revenue</v>
      </c>
      <c r="M1054" s="8" t="str">
        <f>_xlfn.XLOOKUP(tblFinancials[[#This Row],[AccountKey]],tblAccounts[AccountKey],tblAccounts[NormalBalance],"")</f>
        <v>Credit</v>
      </c>
      <c r="N1054" s="8" t="str">
        <f>_xlfn.XLOOKUP(tblFinancials[[#This Row],[DepartmentKey]],tblDepartments[DepartmentKey],tblDepartments[DepartmentName],"")</f>
        <v>Information Technology</v>
      </c>
      <c r="O1054" s="8" t="str">
        <f>_xlfn.XLOOKUP(tblFinancials[[#This Row],[BusinessUnitKey]],tblBusinessUnits[BusinessUnitKey],tblBusinessUnits[BusinessUnitName],"")</f>
        <v xml:space="preserve">Manufacturing </v>
      </c>
      <c r="P1054" s="8" t="str">
        <f>_xlfn.XLOOKUP(tblFinancials[[#This Row],[RegionKey]],tblRegions[RegionKey],tblRegions[RegionName],"")</f>
        <v>West</v>
      </c>
    </row>
    <row r="1055" spans="1:16">
      <c r="A1055">
        <v>20250601</v>
      </c>
      <c r="B1055">
        <v>3</v>
      </c>
      <c r="C1055">
        <v>2</v>
      </c>
      <c r="D1055">
        <v>3</v>
      </c>
      <c r="E1055">
        <v>13</v>
      </c>
      <c r="F1055" t="s">
        <v>92</v>
      </c>
      <c r="G1055">
        <v>35669.519999999997</v>
      </c>
      <c r="H1055">
        <f>_xlfn.XLOOKUP(tblFinancials[[#This Row],[DateKey]],tblCalendar[DateKey],tblCalendar[FullDate],"")</f>
        <v>45809</v>
      </c>
      <c r="I1055">
        <f>_xlfn.XLOOKUP(tblFinancials[[#This Row],[AccountKey]],tblAccounts[AccountKey],tblAccounts[AccountNumber],"")</f>
        <v>4020</v>
      </c>
      <c r="J1055" t="str">
        <f>_xlfn.XLOOKUP(tblFinancials[[#This Row],[AccountKey]],tblAccounts[AccountKey],tblAccounts[AccountName],"")</f>
        <v>Online Revenue</v>
      </c>
      <c r="K1055" s="8" t="str">
        <f>_xlfn.XLOOKUP(tblFinancials[[#This Row],[AccountKey]],tblAccounts[AccountKey],tblAccounts[FinancialStatement],"")</f>
        <v>Income Statement</v>
      </c>
      <c r="L1055" s="8" t="str">
        <f>_xlfn.XLOOKUP(tblFinancials[[#This Row],[AccountKey]],tblAccounts[AccountKey],tblAccounts[AccountCategory],"")</f>
        <v>Revenue</v>
      </c>
      <c r="M1055" s="8" t="str">
        <f>_xlfn.XLOOKUP(tblFinancials[[#This Row],[AccountKey]],tblAccounts[AccountKey],tblAccounts[NormalBalance],"")</f>
        <v>Credit</v>
      </c>
      <c r="N1055" s="8" t="str">
        <f>_xlfn.XLOOKUP(tblFinancials[[#This Row],[DepartmentKey]],tblDepartments[DepartmentKey],tblDepartments[DepartmentName],"")</f>
        <v>Human Resources</v>
      </c>
      <c r="O1055" s="8" t="str">
        <f>_xlfn.XLOOKUP(tblFinancials[[#This Row],[BusinessUnitKey]],tblBusinessUnits[BusinessUnitKey],tblBusinessUnits[BusinessUnitName],"")</f>
        <v>Wholesale</v>
      </c>
      <c r="P1055" s="8" t="str">
        <f>_xlfn.XLOOKUP(tblFinancials[[#This Row],[RegionKey]],tblRegions[RegionKey],tblRegions[RegionName],"")</f>
        <v>South</v>
      </c>
    </row>
    <row r="1056" spans="1:16">
      <c r="A1056">
        <v>20250601</v>
      </c>
      <c r="B1056">
        <v>3</v>
      </c>
      <c r="C1056">
        <v>2</v>
      </c>
      <c r="D1056">
        <v>2</v>
      </c>
      <c r="E1056">
        <v>12</v>
      </c>
      <c r="F1056" t="s">
        <v>92</v>
      </c>
      <c r="G1056">
        <v>36534.15</v>
      </c>
      <c r="H1056">
        <f>_xlfn.XLOOKUP(tblFinancials[[#This Row],[DateKey]],tblCalendar[DateKey],tblCalendar[FullDate],"")</f>
        <v>45809</v>
      </c>
      <c r="I1056">
        <f>_xlfn.XLOOKUP(tblFinancials[[#This Row],[AccountKey]],tblAccounts[AccountKey],tblAccounts[AccountNumber],"")</f>
        <v>4010</v>
      </c>
      <c r="J1056" t="str">
        <f>_xlfn.XLOOKUP(tblFinancials[[#This Row],[AccountKey]],tblAccounts[AccountKey],tblAccounts[AccountName],"")</f>
        <v>Service Revenue</v>
      </c>
      <c r="K1056" s="8" t="str">
        <f>_xlfn.XLOOKUP(tblFinancials[[#This Row],[AccountKey]],tblAccounts[AccountKey],tblAccounts[FinancialStatement],"")</f>
        <v>Income Statement</v>
      </c>
      <c r="L1056" s="8" t="str">
        <f>_xlfn.XLOOKUP(tblFinancials[[#This Row],[AccountKey]],tblAccounts[AccountKey],tblAccounts[AccountCategory],"")</f>
        <v>Revenue</v>
      </c>
      <c r="M1056" s="8" t="str">
        <f>_xlfn.XLOOKUP(tblFinancials[[#This Row],[AccountKey]],tblAccounts[AccountKey],tblAccounts[NormalBalance],"")</f>
        <v>Credit</v>
      </c>
      <c r="N1056" s="8" t="str">
        <f>_xlfn.XLOOKUP(tblFinancials[[#This Row],[DepartmentKey]],tblDepartments[DepartmentKey],tblDepartments[DepartmentName],"")</f>
        <v>Human Resources</v>
      </c>
      <c r="O1056" s="8" t="str">
        <f>_xlfn.XLOOKUP(tblFinancials[[#This Row],[BusinessUnitKey]],tblBusinessUnits[BusinessUnitKey],tblBusinessUnits[BusinessUnitName],"")</f>
        <v>Wholesale</v>
      </c>
      <c r="P1056" s="8" t="str">
        <f>_xlfn.XLOOKUP(tblFinancials[[#This Row],[RegionKey]],tblRegions[RegionKey],tblRegions[RegionName],"")</f>
        <v>Midwest</v>
      </c>
    </row>
    <row r="1057" spans="1:16">
      <c r="A1057">
        <v>20250601</v>
      </c>
      <c r="B1057">
        <v>1</v>
      </c>
      <c r="C1057">
        <v>4</v>
      </c>
      <c r="D1057">
        <v>2</v>
      </c>
      <c r="E1057">
        <v>12</v>
      </c>
      <c r="F1057" t="s">
        <v>92</v>
      </c>
      <c r="G1057">
        <v>35726.79</v>
      </c>
      <c r="H1057">
        <f>_xlfn.XLOOKUP(tblFinancials[[#This Row],[DateKey]],tblCalendar[DateKey],tblCalendar[FullDate],"")</f>
        <v>45809</v>
      </c>
      <c r="I1057">
        <f>_xlfn.XLOOKUP(tblFinancials[[#This Row],[AccountKey]],tblAccounts[AccountKey],tblAccounts[AccountNumber],"")</f>
        <v>4010</v>
      </c>
      <c r="J1057" t="str">
        <f>_xlfn.XLOOKUP(tblFinancials[[#This Row],[AccountKey]],tblAccounts[AccountKey],tblAccounts[AccountName],"")</f>
        <v>Service Revenue</v>
      </c>
      <c r="K1057" s="8" t="str">
        <f>_xlfn.XLOOKUP(tblFinancials[[#This Row],[AccountKey]],tblAccounts[AccountKey],tblAccounts[FinancialStatement],"")</f>
        <v>Income Statement</v>
      </c>
      <c r="L1057" s="8" t="str">
        <f>_xlfn.XLOOKUP(tblFinancials[[#This Row],[AccountKey]],tblAccounts[AccountKey],tblAccounts[AccountCategory],"")</f>
        <v>Revenue</v>
      </c>
      <c r="M1057" s="8" t="str">
        <f>_xlfn.XLOOKUP(tblFinancials[[#This Row],[AccountKey]],tblAccounts[AccountKey],tblAccounts[NormalBalance],"")</f>
        <v>Credit</v>
      </c>
      <c r="N1057" s="8" t="str">
        <f>_xlfn.XLOOKUP(tblFinancials[[#This Row],[DepartmentKey]],tblDepartments[DepartmentKey],tblDepartments[DepartmentName],"")</f>
        <v>Executive</v>
      </c>
      <c r="O1057" s="8" t="str">
        <f>_xlfn.XLOOKUP(tblFinancials[[#This Row],[BusinessUnitKey]],tblBusinessUnits[BusinessUnitKey],tblBusinessUnits[BusinessUnitName],"")</f>
        <v>E-Commerce</v>
      </c>
      <c r="P1057" s="8" t="str">
        <f>_xlfn.XLOOKUP(tblFinancials[[#This Row],[RegionKey]],tblRegions[RegionKey],tblRegions[RegionName],"")</f>
        <v>Midwest</v>
      </c>
    </row>
    <row r="1058" spans="1:16">
      <c r="A1058">
        <v>20250601</v>
      </c>
      <c r="B1058">
        <v>6</v>
      </c>
      <c r="C1058">
        <v>3</v>
      </c>
      <c r="D1058">
        <v>3</v>
      </c>
      <c r="E1058">
        <v>14</v>
      </c>
      <c r="F1058" t="s">
        <v>92</v>
      </c>
      <c r="G1058">
        <v>-21264.560000000001</v>
      </c>
      <c r="H1058">
        <f>_xlfn.XLOOKUP(tblFinancials[[#This Row],[DateKey]],tblCalendar[DateKey],tblCalendar[FullDate],"")</f>
        <v>45809</v>
      </c>
      <c r="I1058">
        <f>_xlfn.XLOOKUP(tblFinancials[[#This Row],[AccountKey]],tblAccounts[AccountKey],tblAccounts[AccountNumber],"")</f>
        <v>5000</v>
      </c>
      <c r="J1058" t="str">
        <f>_xlfn.XLOOKUP(tblFinancials[[#This Row],[AccountKey]],tblAccounts[AccountKey],tblAccounts[AccountName],"")</f>
        <v>Cost of Goods Sold</v>
      </c>
      <c r="K1058" s="8" t="str">
        <f>_xlfn.XLOOKUP(tblFinancials[[#This Row],[AccountKey]],tblAccounts[AccountKey],tblAccounts[FinancialStatement],"")</f>
        <v>Income Statement</v>
      </c>
      <c r="L1058" s="8" t="str">
        <f>_xlfn.XLOOKUP(tblFinancials[[#This Row],[AccountKey]],tblAccounts[AccountKey],tblAccounts[AccountCategory],"")</f>
        <v>Cost of Sales</v>
      </c>
      <c r="M1058" s="8" t="str">
        <f>_xlfn.XLOOKUP(tblFinancials[[#This Row],[AccountKey]],tblAccounts[AccountKey],tblAccounts[NormalBalance],"")</f>
        <v>Debit</v>
      </c>
      <c r="N1058" s="8" t="str">
        <f>_xlfn.XLOOKUP(tblFinancials[[#This Row],[DepartmentKey]],tblDepartments[DepartmentKey],tblDepartments[DepartmentName],"")</f>
        <v>Operations</v>
      </c>
      <c r="O1058" s="8" t="str">
        <f>_xlfn.XLOOKUP(tblFinancials[[#This Row],[BusinessUnitKey]],tblBusinessUnits[BusinessUnitKey],tblBusinessUnits[BusinessUnitName],"")</f>
        <v>Retail</v>
      </c>
      <c r="P1058" s="8" t="str">
        <f>_xlfn.XLOOKUP(tblFinancials[[#This Row],[RegionKey]],tblRegions[RegionKey],tblRegions[RegionName],"")</f>
        <v>South</v>
      </c>
    </row>
    <row r="1059" spans="1:16">
      <c r="A1059">
        <v>20250601</v>
      </c>
      <c r="B1059">
        <v>2</v>
      </c>
      <c r="C1059">
        <v>3</v>
      </c>
      <c r="D1059">
        <v>4</v>
      </c>
      <c r="E1059">
        <v>14</v>
      </c>
      <c r="F1059" t="s">
        <v>92</v>
      </c>
      <c r="G1059">
        <v>-21258.82</v>
      </c>
      <c r="H1059">
        <f>_xlfn.XLOOKUP(tblFinancials[[#This Row],[DateKey]],tblCalendar[DateKey],tblCalendar[FullDate],"")</f>
        <v>45809</v>
      </c>
      <c r="I1059">
        <f>_xlfn.XLOOKUP(tblFinancials[[#This Row],[AccountKey]],tblAccounts[AccountKey],tblAccounts[AccountNumber],"")</f>
        <v>5000</v>
      </c>
      <c r="J1059" t="str">
        <f>_xlfn.XLOOKUP(tblFinancials[[#This Row],[AccountKey]],tblAccounts[AccountKey],tblAccounts[AccountName],"")</f>
        <v>Cost of Goods Sold</v>
      </c>
      <c r="K1059" s="8" t="str">
        <f>_xlfn.XLOOKUP(tblFinancials[[#This Row],[AccountKey]],tblAccounts[AccountKey],tblAccounts[FinancialStatement],"")</f>
        <v>Income Statement</v>
      </c>
      <c r="L1059" s="8" t="str">
        <f>_xlfn.XLOOKUP(tblFinancials[[#This Row],[AccountKey]],tblAccounts[AccountKey],tblAccounts[AccountCategory],"")</f>
        <v>Cost of Sales</v>
      </c>
      <c r="M1059" s="8" t="str">
        <f>_xlfn.XLOOKUP(tblFinancials[[#This Row],[AccountKey]],tblAccounts[AccountKey],tblAccounts[NormalBalance],"")</f>
        <v>Debit</v>
      </c>
      <c r="N1059" s="8" t="str">
        <f>_xlfn.XLOOKUP(tblFinancials[[#This Row],[DepartmentKey]],tblDepartments[DepartmentKey],tblDepartments[DepartmentName],"")</f>
        <v>Finance</v>
      </c>
      <c r="O1059" s="8" t="str">
        <f>_xlfn.XLOOKUP(tblFinancials[[#This Row],[BusinessUnitKey]],tblBusinessUnits[BusinessUnitKey],tblBusinessUnits[BusinessUnitName],"")</f>
        <v>Retail</v>
      </c>
      <c r="P1059" s="8" t="str">
        <f>_xlfn.XLOOKUP(tblFinancials[[#This Row],[RegionKey]],tblRegions[RegionKey],tblRegions[RegionName],"")</f>
        <v>East</v>
      </c>
    </row>
    <row r="1060" spans="1:16">
      <c r="A1060">
        <v>20250601</v>
      </c>
      <c r="B1060">
        <v>7</v>
      </c>
      <c r="C1060">
        <v>2</v>
      </c>
      <c r="D1060">
        <v>2</v>
      </c>
      <c r="E1060">
        <v>14</v>
      </c>
      <c r="F1060" t="s">
        <v>92</v>
      </c>
      <c r="G1060">
        <v>-20641.86</v>
      </c>
      <c r="H1060">
        <f>_xlfn.XLOOKUP(tblFinancials[[#This Row],[DateKey]],tblCalendar[DateKey],tblCalendar[FullDate],"")</f>
        <v>45809</v>
      </c>
      <c r="I1060">
        <f>_xlfn.XLOOKUP(tblFinancials[[#This Row],[AccountKey]],tblAccounts[AccountKey],tblAccounts[AccountNumber],"")</f>
        <v>5000</v>
      </c>
      <c r="J1060" t="str">
        <f>_xlfn.XLOOKUP(tblFinancials[[#This Row],[AccountKey]],tblAccounts[AccountKey],tblAccounts[AccountName],"")</f>
        <v>Cost of Goods Sold</v>
      </c>
      <c r="K1060" s="8" t="str">
        <f>_xlfn.XLOOKUP(tblFinancials[[#This Row],[AccountKey]],tblAccounts[AccountKey],tblAccounts[FinancialStatement],"")</f>
        <v>Income Statement</v>
      </c>
      <c r="L1060" s="8" t="str">
        <f>_xlfn.XLOOKUP(tblFinancials[[#This Row],[AccountKey]],tblAccounts[AccountKey],tblAccounts[AccountCategory],"")</f>
        <v>Cost of Sales</v>
      </c>
      <c r="M1060" s="8" t="str">
        <f>_xlfn.XLOOKUP(tblFinancials[[#This Row],[AccountKey]],tblAccounts[AccountKey],tblAccounts[NormalBalance],"")</f>
        <v>Debit</v>
      </c>
      <c r="N1060" s="8" t="str">
        <f>_xlfn.XLOOKUP(tblFinancials[[#This Row],[DepartmentKey]],tblDepartments[DepartmentKey],tblDepartments[DepartmentName],"")</f>
        <v>Information Technology</v>
      </c>
      <c r="O1060" s="8" t="str">
        <f>_xlfn.XLOOKUP(tblFinancials[[#This Row],[BusinessUnitKey]],tblBusinessUnits[BusinessUnitKey],tblBusinessUnits[BusinessUnitName],"")</f>
        <v>Wholesale</v>
      </c>
      <c r="P1060" s="8" t="str">
        <f>_xlfn.XLOOKUP(tblFinancials[[#This Row],[RegionKey]],tblRegions[RegionKey],tblRegions[RegionName],"")</f>
        <v>Midwest</v>
      </c>
    </row>
    <row r="1061" spans="1:16">
      <c r="A1061">
        <v>20250601</v>
      </c>
      <c r="B1061">
        <v>8</v>
      </c>
      <c r="C1061">
        <v>2</v>
      </c>
      <c r="D1061">
        <v>1</v>
      </c>
      <c r="E1061">
        <v>14</v>
      </c>
      <c r="F1061" t="s">
        <v>92</v>
      </c>
      <c r="G1061">
        <v>-21044.51</v>
      </c>
      <c r="H1061">
        <f>_xlfn.XLOOKUP(tblFinancials[[#This Row],[DateKey]],tblCalendar[DateKey],tblCalendar[FullDate],"")</f>
        <v>45809</v>
      </c>
      <c r="I1061">
        <f>_xlfn.XLOOKUP(tblFinancials[[#This Row],[AccountKey]],tblAccounts[AccountKey],tblAccounts[AccountNumber],"")</f>
        <v>5000</v>
      </c>
      <c r="J1061" t="str">
        <f>_xlfn.XLOOKUP(tblFinancials[[#This Row],[AccountKey]],tblAccounts[AccountKey],tblAccounts[AccountName],"")</f>
        <v>Cost of Goods Sold</v>
      </c>
      <c r="K1061" s="8" t="str">
        <f>_xlfn.XLOOKUP(tblFinancials[[#This Row],[AccountKey]],tblAccounts[AccountKey],tblAccounts[FinancialStatement],"")</f>
        <v>Income Statement</v>
      </c>
      <c r="L1061" s="8" t="str">
        <f>_xlfn.XLOOKUP(tblFinancials[[#This Row],[AccountKey]],tblAccounts[AccountKey],tblAccounts[AccountCategory],"")</f>
        <v>Cost of Sales</v>
      </c>
      <c r="M1061" s="8" t="str">
        <f>_xlfn.XLOOKUP(tblFinancials[[#This Row],[AccountKey]],tblAccounts[AccountKey],tblAccounts[NormalBalance],"")</f>
        <v>Debit</v>
      </c>
      <c r="N1061" s="8" t="str">
        <f>_xlfn.XLOOKUP(tblFinancials[[#This Row],[DepartmentKey]],tblDepartments[DepartmentKey],tblDepartments[DepartmentName],"")</f>
        <v>Customer Service</v>
      </c>
      <c r="O1061" s="8" t="str">
        <f>_xlfn.XLOOKUP(tblFinancials[[#This Row],[BusinessUnitKey]],tblBusinessUnits[BusinessUnitKey],tblBusinessUnits[BusinessUnitName],"")</f>
        <v>Wholesale</v>
      </c>
      <c r="P1061" s="8" t="str">
        <f>_xlfn.XLOOKUP(tblFinancials[[#This Row],[RegionKey]],tblRegions[RegionKey],tblRegions[RegionName],"")</f>
        <v>West</v>
      </c>
    </row>
    <row r="1062" spans="1:16">
      <c r="A1062">
        <v>20250601</v>
      </c>
      <c r="B1062">
        <v>1</v>
      </c>
      <c r="C1062">
        <v>1</v>
      </c>
      <c r="D1062">
        <v>1</v>
      </c>
      <c r="E1062">
        <v>14</v>
      </c>
      <c r="F1062" t="s">
        <v>92</v>
      </c>
      <c r="G1062">
        <v>-20476.46</v>
      </c>
      <c r="H1062">
        <f>_xlfn.XLOOKUP(tblFinancials[[#This Row],[DateKey]],tblCalendar[DateKey],tblCalendar[FullDate],"")</f>
        <v>45809</v>
      </c>
      <c r="I1062">
        <f>_xlfn.XLOOKUP(tblFinancials[[#This Row],[AccountKey]],tblAccounts[AccountKey],tblAccounts[AccountNumber],"")</f>
        <v>5000</v>
      </c>
      <c r="J1062" t="str">
        <f>_xlfn.XLOOKUP(tblFinancials[[#This Row],[AccountKey]],tblAccounts[AccountKey],tblAccounts[AccountName],"")</f>
        <v>Cost of Goods Sold</v>
      </c>
      <c r="K1062" s="8" t="str">
        <f>_xlfn.XLOOKUP(tblFinancials[[#This Row],[AccountKey]],tblAccounts[AccountKey],tblAccounts[FinancialStatement],"")</f>
        <v>Income Statement</v>
      </c>
      <c r="L1062" s="8" t="str">
        <f>_xlfn.XLOOKUP(tblFinancials[[#This Row],[AccountKey]],tblAccounts[AccountKey],tblAccounts[AccountCategory],"")</f>
        <v>Cost of Sales</v>
      </c>
      <c r="M1062" s="8" t="str">
        <f>_xlfn.XLOOKUP(tblFinancials[[#This Row],[AccountKey]],tblAccounts[AccountKey],tblAccounts[NormalBalance],"")</f>
        <v>Debit</v>
      </c>
      <c r="N1062" s="8" t="str">
        <f>_xlfn.XLOOKUP(tblFinancials[[#This Row],[DepartmentKey]],tblDepartments[DepartmentKey],tblDepartments[DepartmentName],"")</f>
        <v>Executive</v>
      </c>
      <c r="O1062" s="8" t="str">
        <f>_xlfn.XLOOKUP(tblFinancials[[#This Row],[BusinessUnitKey]],tblBusinessUnits[BusinessUnitKey],tblBusinessUnits[BusinessUnitName],"")</f>
        <v xml:space="preserve">Manufacturing </v>
      </c>
      <c r="P1062" s="8" t="str">
        <f>_xlfn.XLOOKUP(tblFinancials[[#This Row],[RegionKey]],tblRegions[RegionKey],tblRegions[RegionName],"")</f>
        <v>West</v>
      </c>
    </row>
    <row r="1063" spans="1:16">
      <c r="A1063">
        <v>20250601</v>
      </c>
      <c r="B1063">
        <v>8</v>
      </c>
      <c r="C1063">
        <v>1</v>
      </c>
      <c r="D1063">
        <v>4</v>
      </c>
      <c r="E1063">
        <v>14</v>
      </c>
      <c r="F1063" t="s">
        <v>92</v>
      </c>
      <c r="G1063">
        <v>-20505.2</v>
      </c>
      <c r="H1063">
        <f>_xlfn.XLOOKUP(tblFinancials[[#This Row],[DateKey]],tblCalendar[DateKey],tblCalendar[FullDate],"")</f>
        <v>45809</v>
      </c>
      <c r="I1063">
        <f>_xlfn.XLOOKUP(tblFinancials[[#This Row],[AccountKey]],tblAccounts[AccountKey],tblAccounts[AccountNumber],"")</f>
        <v>5000</v>
      </c>
      <c r="J1063" t="str">
        <f>_xlfn.XLOOKUP(tblFinancials[[#This Row],[AccountKey]],tblAccounts[AccountKey],tblAccounts[AccountName],"")</f>
        <v>Cost of Goods Sold</v>
      </c>
      <c r="K1063" s="8" t="str">
        <f>_xlfn.XLOOKUP(tblFinancials[[#This Row],[AccountKey]],tblAccounts[AccountKey],tblAccounts[FinancialStatement],"")</f>
        <v>Income Statement</v>
      </c>
      <c r="L1063" s="8" t="str">
        <f>_xlfn.XLOOKUP(tblFinancials[[#This Row],[AccountKey]],tblAccounts[AccountKey],tblAccounts[AccountCategory],"")</f>
        <v>Cost of Sales</v>
      </c>
      <c r="M1063" s="8" t="str">
        <f>_xlfn.XLOOKUP(tblFinancials[[#This Row],[AccountKey]],tblAccounts[AccountKey],tblAccounts[NormalBalance],"")</f>
        <v>Debit</v>
      </c>
      <c r="N1063" s="8" t="str">
        <f>_xlfn.XLOOKUP(tblFinancials[[#This Row],[DepartmentKey]],tblDepartments[DepartmentKey],tblDepartments[DepartmentName],"")</f>
        <v>Customer Service</v>
      </c>
      <c r="O1063" s="8" t="str">
        <f>_xlfn.XLOOKUP(tblFinancials[[#This Row],[BusinessUnitKey]],tblBusinessUnits[BusinessUnitKey],tblBusinessUnits[BusinessUnitName],"")</f>
        <v xml:space="preserve">Manufacturing </v>
      </c>
      <c r="P1063" s="8" t="str">
        <f>_xlfn.XLOOKUP(tblFinancials[[#This Row],[RegionKey]],tblRegions[RegionKey],tblRegions[RegionName],"")</f>
        <v>East</v>
      </c>
    </row>
    <row r="1064" spans="1:16">
      <c r="A1064">
        <v>20250601</v>
      </c>
      <c r="B1064">
        <v>5</v>
      </c>
      <c r="C1064">
        <v>4</v>
      </c>
      <c r="D1064">
        <v>3</v>
      </c>
      <c r="E1064">
        <v>14</v>
      </c>
      <c r="F1064" t="s">
        <v>92</v>
      </c>
      <c r="G1064">
        <v>-20165.93</v>
      </c>
      <c r="H1064">
        <f>_xlfn.XLOOKUP(tblFinancials[[#This Row],[DateKey]],tblCalendar[DateKey],tblCalendar[FullDate],"")</f>
        <v>45809</v>
      </c>
      <c r="I1064">
        <f>_xlfn.XLOOKUP(tblFinancials[[#This Row],[AccountKey]],tblAccounts[AccountKey],tblAccounts[AccountNumber],"")</f>
        <v>5000</v>
      </c>
      <c r="J1064" t="str">
        <f>_xlfn.XLOOKUP(tblFinancials[[#This Row],[AccountKey]],tblAccounts[AccountKey],tblAccounts[AccountName],"")</f>
        <v>Cost of Goods Sold</v>
      </c>
      <c r="K1064" s="8" t="str">
        <f>_xlfn.XLOOKUP(tblFinancials[[#This Row],[AccountKey]],tblAccounts[AccountKey],tblAccounts[FinancialStatement],"")</f>
        <v>Income Statement</v>
      </c>
      <c r="L1064" s="8" t="str">
        <f>_xlfn.XLOOKUP(tblFinancials[[#This Row],[AccountKey]],tblAccounts[AccountKey],tblAccounts[AccountCategory],"")</f>
        <v>Cost of Sales</v>
      </c>
      <c r="M1064" s="8" t="str">
        <f>_xlfn.XLOOKUP(tblFinancials[[#This Row],[AccountKey]],tblAccounts[AccountKey],tblAccounts[NormalBalance],"")</f>
        <v>Debit</v>
      </c>
      <c r="N1064" s="8" t="str">
        <f>_xlfn.XLOOKUP(tblFinancials[[#This Row],[DepartmentKey]],tblDepartments[DepartmentKey],tblDepartments[DepartmentName],"")</f>
        <v>Marketing</v>
      </c>
      <c r="O1064" s="8" t="str">
        <f>_xlfn.XLOOKUP(tblFinancials[[#This Row],[BusinessUnitKey]],tblBusinessUnits[BusinessUnitKey],tblBusinessUnits[BusinessUnitName],"")</f>
        <v>E-Commerce</v>
      </c>
      <c r="P1064" s="8" t="str">
        <f>_xlfn.XLOOKUP(tblFinancials[[#This Row],[RegionKey]],tblRegions[RegionKey],tblRegions[RegionName],"")</f>
        <v>South</v>
      </c>
    </row>
    <row r="1065" spans="1:16">
      <c r="A1065">
        <v>20250601</v>
      </c>
      <c r="B1065">
        <v>6</v>
      </c>
      <c r="C1065">
        <v>4</v>
      </c>
      <c r="D1065">
        <v>3</v>
      </c>
      <c r="E1065">
        <v>14</v>
      </c>
      <c r="F1065" t="s">
        <v>92</v>
      </c>
      <c r="G1065">
        <v>-20019.939999999999</v>
      </c>
      <c r="H1065">
        <f>_xlfn.XLOOKUP(tblFinancials[[#This Row],[DateKey]],tblCalendar[DateKey],tblCalendar[FullDate],"")</f>
        <v>45809</v>
      </c>
      <c r="I1065">
        <f>_xlfn.XLOOKUP(tblFinancials[[#This Row],[AccountKey]],tblAccounts[AccountKey],tblAccounts[AccountNumber],"")</f>
        <v>5000</v>
      </c>
      <c r="J1065" t="str">
        <f>_xlfn.XLOOKUP(tblFinancials[[#This Row],[AccountKey]],tblAccounts[AccountKey],tblAccounts[AccountName],"")</f>
        <v>Cost of Goods Sold</v>
      </c>
      <c r="K1065" s="8" t="str">
        <f>_xlfn.XLOOKUP(tblFinancials[[#This Row],[AccountKey]],tblAccounts[AccountKey],tblAccounts[FinancialStatement],"")</f>
        <v>Income Statement</v>
      </c>
      <c r="L1065" s="8" t="str">
        <f>_xlfn.XLOOKUP(tblFinancials[[#This Row],[AccountKey]],tblAccounts[AccountKey],tblAccounts[AccountCategory],"")</f>
        <v>Cost of Sales</v>
      </c>
      <c r="M1065" s="8" t="str">
        <f>_xlfn.XLOOKUP(tblFinancials[[#This Row],[AccountKey]],tblAccounts[AccountKey],tblAccounts[NormalBalance],"")</f>
        <v>Debit</v>
      </c>
      <c r="N1065" s="8" t="str">
        <f>_xlfn.XLOOKUP(tblFinancials[[#This Row],[DepartmentKey]],tblDepartments[DepartmentKey],tblDepartments[DepartmentName],"")</f>
        <v>Operations</v>
      </c>
      <c r="O1065" s="8" t="str">
        <f>_xlfn.XLOOKUP(tblFinancials[[#This Row],[BusinessUnitKey]],tblBusinessUnits[BusinessUnitKey],tblBusinessUnits[BusinessUnitName],"")</f>
        <v>E-Commerce</v>
      </c>
      <c r="P1065" s="8" t="str">
        <f>_xlfn.XLOOKUP(tblFinancials[[#This Row],[RegionKey]],tblRegions[RegionKey],tblRegions[RegionName],"")</f>
        <v>South</v>
      </c>
    </row>
    <row r="1066" spans="1:16">
      <c r="A1066">
        <v>20250601</v>
      </c>
      <c r="B1066">
        <v>8</v>
      </c>
      <c r="C1066">
        <v>3</v>
      </c>
      <c r="D1066">
        <v>1</v>
      </c>
      <c r="E1066">
        <v>14</v>
      </c>
      <c r="F1066" t="s">
        <v>92</v>
      </c>
      <c r="G1066">
        <v>-21288.73</v>
      </c>
      <c r="H1066">
        <f>_xlfn.XLOOKUP(tblFinancials[[#This Row],[DateKey]],tblCalendar[DateKey],tblCalendar[FullDate],"")</f>
        <v>45809</v>
      </c>
      <c r="I1066">
        <f>_xlfn.XLOOKUP(tblFinancials[[#This Row],[AccountKey]],tblAccounts[AccountKey],tblAccounts[AccountNumber],"")</f>
        <v>5000</v>
      </c>
      <c r="J1066" t="str">
        <f>_xlfn.XLOOKUP(tblFinancials[[#This Row],[AccountKey]],tblAccounts[AccountKey],tblAccounts[AccountName],"")</f>
        <v>Cost of Goods Sold</v>
      </c>
      <c r="K1066" s="8" t="str">
        <f>_xlfn.XLOOKUP(tblFinancials[[#This Row],[AccountKey]],tblAccounts[AccountKey],tblAccounts[FinancialStatement],"")</f>
        <v>Income Statement</v>
      </c>
      <c r="L1066" s="8" t="str">
        <f>_xlfn.XLOOKUP(tblFinancials[[#This Row],[AccountKey]],tblAccounts[AccountKey],tblAccounts[AccountCategory],"")</f>
        <v>Cost of Sales</v>
      </c>
      <c r="M1066" s="8" t="str">
        <f>_xlfn.XLOOKUP(tblFinancials[[#This Row],[AccountKey]],tblAccounts[AccountKey],tblAccounts[NormalBalance],"")</f>
        <v>Debit</v>
      </c>
      <c r="N1066" s="8" t="str">
        <f>_xlfn.XLOOKUP(tblFinancials[[#This Row],[DepartmentKey]],tblDepartments[DepartmentKey],tblDepartments[DepartmentName],"")</f>
        <v>Customer Service</v>
      </c>
      <c r="O1066" s="8" t="str">
        <f>_xlfn.XLOOKUP(tblFinancials[[#This Row],[BusinessUnitKey]],tblBusinessUnits[BusinessUnitKey],tblBusinessUnits[BusinessUnitName],"")</f>
        <v>Retail</v>
      </c>
      <c r="P1066" s="8" t="str">
        <f>_xlfn.XLOOKUP(tblFinancials[[#This Row],[RegionKey]],tblRegions[RegionKey],tblRegions[RegionName],"")</f>
        <v>West</v>
      </c>
    </row>
    <row r="1067" spans="1:16">
      <c r="A1067">
        <v>20250601</v>
      </c>
      <c r="B1067">
        <v>1</v>
      </c>
      <c r="C1067">
        <v>2</v>
      </c>
      <c r="D1067">
        <v>1</v>
      </c>
      <c r="E1067">
        <v>14</v>
      </c>
      <c r="F1067" t="s">
        <v>92</v>
      </c>
      <c r="G1067">
        <v>-20166.259999999998</v>
      </c>
      <c r="H1067">
        <f>_xlfn.XLOOKUP(tblFinancials[[#This Row],[DateKey]],tblCalendar[DateKey],tblCalendar[FullDate],"")</f>
        <v>45809</v>
      </c>
      <c r="I1067">
        <f>_xlfn.XLOOKUP(tblFinancials[[#This Row],[AccountKey]],tblAccounts[AccountKey],tblAccounts[AccountNumber],"")</f>
        <v>5000</v>
      </c>
      <c r="J1067" t="str">
        <f>_xlfn.XLOOKUP(tblFinancials[[#This Row],[AccountKey]],tblAccounts[AccountKey],tblAccounts[AccountName],"")</f>
        <v>Cost of Goods Sold</v>
      </c>
      <c r="K1067" s="8" t="str">
        <f>_xlfn.XLOOKUP(tblFinancials[[#This Row],[AccountKey]],tblAccounts[AccountKey],tblAccounts[FinancialStatement],"")</f>
        <v>Income Statement</v>
      </c>
      <c r="L1067" s="8" t="str">
        <f>_xlfn.XLOOKUP(tblFinancials[[#This Row],[AccountKey]],tblAccounts[AccountKey],tblAccounts[AccountCategory],"")</f>
        <v>Cost of Sales</v>
      </c>
      <c r="M1067" s="8" t="str">
        <f>_xlfn.XLOOKUP(tblFinancials[[#This Row],[AccountKey]],tblAccounts[AccountKey],tblAccounts[NormalBalance],"")</f>
        <v>Debit</v>
      </c>
      <c r="N1067" s="8" t="str">
        <f>_xlfn.XLOOKUP(tblFinancials[[#This Row],[DepartmentKey]],tblDepartments[DepartmentKey],tblDepartments[DepartmentName],"")</f>
        <v>Executive</v>
      </c>
      <c r="O1067" s="8" t="str">
        <f>_xlfn.XLOOKUP(tblFinancials[[#This Row],[BusinessUnitKey]],tblBusinessUnits[BusinessUnitKey],tblBusinessUnits[BusinessUnitName],"")</f>
        <v>Wholesale</v>
      </c>
      <c r="P1067" s="8" t="str">
        <f>_xlfn.XLOOKUP(tblFinancials[[#This Row],[RegionKey]],tblRegions[RegionKey],tblRegions[RegionName],"")</f>
        <v>West</v>
      </c>
    </row>
    <row r="1068" spans="1:16">
      <c r="A1068">
        <v>20250601</v>
      </c>
      <c r="B1068">
        <v>4</v>
      </c>
      <c r="C1068">
        <v>3</v>
      </c>
      <c r="D1068">
        <v>2</v>
      </c>
      <c r="E1068">
        <v>14</v>
      </c>
      <c r="F1068" t="s">
        <v>92</v>
      </c>
      <c r="G1068">
        <v>-19709.84</v>
      </c>
      <c r="H1068">
        <f>_xlfn.XLOOKUP(tblFinancials[[#This Row],[DateKey]],tblCalendar[DateKey],tblCalendar[FullDate],"")</f>
        <v>45809</v>
      </c>
      <c r="I1068">
        <f>_xlfn.XLOOKUP(tblFinancials[[#This Row],[AccountKey]],tblAccounts[AccountKey],tblAccounts[AccountNumber],"")</f>
        <v>5000</v>
      </c>
      <c r="J1068" t="str">
        <f>_xlfn.XLOOKUP(tblFinancials[[#This Row],[AccountKey]],tblAccounts[AccountKey],tblAccounts[AccountName],"")</f>
        <v>Cost of Goods Sold</v>
      </c>
      <c r="K1068" s="8" t="str">
        <f>_xlfn.XLOOKUP(tblFinancials[[#This Row],[AccountKey]],tblAccounts[AccountKey],tblAccounts[FinancialStatement],"")</f>
        <v>Income Statement</v>
      </c>
      <c r="L1068" s="8" t="str">
        <f>_xlfn.XLOOKUP(tblFinancials[[#This Row],[AccountKey]],tblAccounts[AccountKey],tblAccounts[AccountCategory],"")</f>
        <v>Cost of Sales</v>
      </c>
      <c r="M1068" s="8" t="str">
        <f>_xlfn.XLOOKUP(tblFinancials[[#This Row],[AccountKey]],tblAccounts[AccountKey],tblAccounts[NormalBalance],"")</f>
        <v>Debit</v>
      </c>
      <c r="N1068" s="8" t="str">
        <f>_xlfn.XLOOKUP(tblFinancials[[#This Row],[DepartmentKey]],tblDepartments[DepartmentKey],tblDepartments[DepartmentName],"")</f>
        <v>Sales</v>
      </c>
      <c r="O1068" s="8" t="str">
        <f>_xlfn.XLOOKUP(tblFinancials[[#This Row],[BusinessUnitKey]],tblBusinessUnits[BusinessUnitKey],tblBusinessUnits[BusinessUnitName],"")</f>
        <v>Retail</v>
      </c>
      <c r="P1068" s="8" t="str">
        <f>_xlfn.XLOOKUP(tblFinancials[[#This Row],[RegionKey]],tblRegions[RegionKey],tblRegions[RegionName],"")</f>
        <v>Midwest</v>
      </c>
    </row>
    <row r="1069" spans="1:16">
      <c r="A1069">
        <v>20250601</v>
      </c>
      <c r="B1069">
        <v>7</v>
      </c>
      <c r="C1069">
        <v>2</v>
      </c>
      <c r="D1069">
        <v>1</v>
      </c>
      <c r="E1069">
        <v>14</v>
      </c>
      <c r="F1069" t="s">
        <v>92</v>
      </c>
      <c r="G1069">
        <v>-22750.11</v>
      </c>
      <c r="H1069">
        <f>_xlfn.XLOOKUP(tblFinancials[[#This Row],[DateKey]],tblCalendar[DateKey],tblCalendar[FullDate],"")</f>
        <v>45809</v>
      </c>
      <c r="I1069">
        <f>_xlfn.XLOOKUP(tblFinancials[[#This Row],[AccountKey]],tblAccounts[AccountKey],tblAccounts[AccountNumber],"")</f>
        <v>5000</v>
      </c>
      <c r="J1069" t="str">
        <f>_xlfn.XLOOKUP(tblFinancials[[#This Row],[AccountKey]],tblAccounts[AccountKey],tblAccounts[AccountName],"")</f>
        <v>Cost of Goods Sold</v>
      </c>
      <c r="K1069" s="8" t="str">
        <f>_xlfn.XLOOKUP(tblFinancials[[#This Row],[AccountKey]],tblAccounts[AccountKey],tblAccounts[FinancialStatement],"")</f>
        <v>Income Statement</v>
      </c>
      <c r="L1069" s="8" t="str">
        <f>_xlfn.XLOOKUP(tblFinancials[[#This Row],[AccountKey]],tblAccounts[AccountKey],tblAccounts[AccountCategory],"")</f>
        <v>Cost of Sales</v>
      </c>
      <c r="M1069" s="8" t="str">
        <f>_xlfn.XLOOKUP(tblFinancials[[#This Row],[AccountKey]],tblAccounts[AccountKey],tblAccounts[NormalBalance],"")</f>
        <v>Debit</v>
      </c>
      <c r="N1069" s="8" t="str">
        <f>_xlfn.XLOOKUP(tblFinancials[[#This Row],[DepartmentKey]],tblDepartments[DepartmentKey],tblDepartments[DepartmentName],"")</f>
        <v>Information Technology</v>
      </c>
      <c r="O1069" s="8" t="str">
        <f>_xlfn.XLOOKUP(tblFinancials[[#This Row],[BusinessUnitKey]],tblBusinessUnits[BusinessUnitKey],tblBusinessUnits[BusinessUnitName],"")</f>
        <v>Wholesale</v>
      </c>
      <c r="P1069" s="8" t="str">
        <f>_xlfn.XLOOKUP(tblFinancials[[#This Row],[RegionKey]],tblRegions[RegionKey],tblRegions[RegionName],"")</f>
        <v>West</v>
      </c>
    </row>
    <row r="1070" spans="1:16">
      <c r="A1070">
        <v>20250601</v>
      </c>
      <c r="B1070">
        <v>4</v>
      </c>
      <c r="C1070">
        <v>2</v>
      </c>
      <c r="D1070">
        <v>4</v>
      </c>
      <c r="E1070">
        <v>15</v>
      </c>
      <c r="F1070" t="s">
        <v>92</v>
      </c>
      <c r="G1070">
        <v>-9187.81</v>
      </c>
      <c r="H1070">
        <f>_xlfn.XLOOKUP(tblFinancials[[#This Row],[DateKey]],tblCalendar[DateKey],tblCalendar[FullDate],"")</f>
        <v>45809</v>
      </c>
      <c r="I1070">
        <f>_xlfn.XLOOKUP(tblFinancials[[#This Row],[AccountKey]],tblAccounts[AccountKey],tblAccounts[AccountNumber],"")</f>
        <v>6100</v>
      </c>
      <c r="J1070" t="str">
        <f>_xlfn.XLOOKUP(tblFinancials[[#This Row],[AccountKey]],tblAccounts[AccountKey],tblAccounts[AccountName],"")</f>
        <v>Salaries Expense</v>
      </c>
      <c r="K1070" s="8" t="str">
        <f>_xlfn.XLOOKUP(tblFinancials[[#This Row],[AccountKey]],tblAccounts[AccountKey],tblAccounts[FinancialStatement],"")</f>
        <v>Income Statement</v>
      </c>
      <c r="L1070" s="8" t="str">
        <f>_xlfn.XLOOKUP(tblFinancials[[#This Row],[AccountKey]],tblAccounts[AccountKey],tblAccounts[AccountCategory],"")</f>
        <v>Operating Expense</v>
      </c>
      <c r="M1070" s="8" t="str">
        <f>_xlfn.XLOOKUP(tblFinancials[[#This Row],[AccountKey]],tblAccounts[AccountKey],tblAccounts[NormalBalance],"")</f>
        <v>Debit</v>
      </c>
      <c r="N1070" s="8" t="str">
        <f>_xlfn.XLOOKUP(tblFinancials[[#This Row],[DepartmentKey]],tblDepartments[DepartmentKey],tblDepartments[DepartmentName],"")</f>
        <v>Sales</v>
      </c>
      <c r="O1070" s="8" t="str">
        <f>_xlfn.XLOOKUP(tblFinancials[[#This Row],[BusinessUnitKey]],tblBusinessUnits[BusinessUnitKey],tblBusinessUnits[BusinessUnitName],"")</f>
        <v>Wholesale</v>
      </c>
      <c r="P1070" s="8" t="str">
        <f>_xlfn.XLOOKUP(tblFinancials[[#This Row],[RegionKey]],tblRegions[RegionKey],tblRegions[RegionName],"")</f>
        <v>East</v>
      </c>
    </row>
    <row r="1071" spans="1:16">
      <c r="A1071">
        <v>20250601</v>
      </c>
      <c r="B1071">
        <v>2</v>
      </c>
      <c r="C1071">
        <v>3</v>
      </c>
      <c r="D1071">
        <v>1</v>
      </c>
      <c r="E1071">
        <v>18</v>
      </c>
      <c r="F1071" t="s">
        <v>92</v>
      </c>
      <c r="G1071">
        <v>-7882.14</v>
      </c>
      <c r="H1071">
        <f>_xlfn.XLOOKUP(tblFinancials[[#This Row],[DateKey]],tblCalendar[DateKey],tblCalendar[FullDate],"")</f>
        <v>45809</v>
      </c>
      <c r="I1071">
        <f>_xlfn.XLOOKUP(tblFinancials[[#This Row],[AccountKey]],tblAccounts[AccountKey],tblAccounts[AccountNumber],"")</f>
        <v>6200</v>
      </c>
      <c r="J1071" t="str">
        <f>_xlfn.XLOOKUP(tblFinancials[[#This Row],[AccountKey]],tblAccounts[AccountKey],tblAccounts[AccountName],"")</f>
        <v>Marketing Expense</v>
      </c>
      <c r="K1071" s="8" t="str">
        <f>_xlfn.XLOOKUP(tblFinancials[[#This Row],[AccountKey]],tblAccounts[AccountKey],tblAccounts[FinancialStatement],"")</f>
        <v>Income Statement</v>
      </c>
      <c r="L1071" s="8" t="str">
        <f>_xlfn.XLOOKUP(tblFinancials[[#This Row],[AccountKey]],tblAccounts[AccountKey],tblAccounts[AccountCategory],"")</f>
        <v>Operating Expense</v>
      </c>
      <c r="M1071" s="8" t="str">
        <f>_xlfn.XLOOKUP(tblFinancials[[#This Row],[AccountKey]],tblAccounts[AccountKey],tblAccounts[NormalBalance],"")</f>
        <v>Debit</v>
      </c>
      <c r="N1071" s="8" t="str">
        <f>_xlfn.XLOOKUP(tblFinancials[[#This Row],[DepartmentKey]],tblDepartments[DepartmentKey],tblDepartments[DepartmentName],"")</f>
        <v>Finance</v>
      </c>
      <c r="O1071" s="8" t="str">
        <f>_xlfn.XLOOKUP(tblFinancials[[#This Row],[BusinessUnitKey]],tblBusinessUnits[BusinessUnitKey],tblBusinessUnits[BusinessUnitName],"")</f>
        <v>Retail</v>
      </c>
      <c r="P1071" s="8" t="str">
        <f>_xlfn.XLOOKUP(tblFinancials[[#This Row],[RegionKey]],tblRegions[RegionKey],tblRegions[RegionName],"")</f>
        <v>West</v>
      </c>
    </row>
    <row r="1072" spans="1:16">
      <c r="A1072">
        <v>20250601</v>
      </c>
      <c r="B1072">
        <v>1</v>
      </c>
      <c r="C1072">
        <v>1</v>
      </c>
      <c r="D1072">
        <v>1</v>
      </c>
      <c r="E1072">
        <v>25</v>
      </c>
      <c r="F1072" t="s">
        <v>92</v>
      </c>
      <c r="G1072">
        <v>-8952.6200000000008</v>
      </c>
      <c r="H1072">
        <f>_xlfn.XLOOKUP(tblFinancials[[#This Row],[DateKey]],tblCalendar[DateKey],tblCalendar[FullDate],"")</f>
        <v>45809</v>
      </c>
      <c r="I1072">
        <f>_xlfn.XLOOKUP(tblFinancials[[#This Row],[AccountKey]],tblAccounts[AccountKey],tblAccounts[AccountNumber],"")</f>
        <v>8200</v>
      </c>
      <c r="J1072" t="str">
        <f>_xlfn.XLOOKUP(tblFinancials[[#This Row],[AccountKey]],tblAccounts[AccountKey],tblAccounts[AccountName],"")</f>
        <v>Income Tax Expense</v>
      </c>
      <c r="K1072" s="8" t="str">
        <f>_xlfn.XLOOKUP(tblFinancials[[#This Row],[AccountKey]],tblAccounts[AccountKey],tblAccounts[FinancialStatement],"")</f>
        <v>Income Statement</v>
      </c>
      <c r="L1072" s="8" t="str">
        <f>_xlfn.XLOOKUP(tblFinancials[[#This Row],[AccountKey]],tblAccounts[AccountKey],tblAccounts[AccountCategory],"")</f>
        <v>Tax Expense</v>
      </c>
      <c r="M1072" s="8" t="str">
        <f>_xlfn.XLOOKUP(tblFinancials[[#This Row],[AccountKey]],tblAccounts[AccountKey],tblAccounts[NormalBalance],"")</f>
        <v>Debit</v>
      </c>
      <c r="N1072" s="8" t="str">
        <f>_xlfn.XLOOKUP(tblFinancials[[#This Row],[DepartmentKey]],tblDepartments[DepartmentKey],tblDepartments[DepartmentName],"")</f>
        <v>Executive</v>
      </c>
      <c r="O1072" s="8" t="str">
        <f>_xlfn.XLOOKUP(tblFinancials[[#This Row],[BusinessUnitKey]],tblBusinessUnits[BusinessUnitKey],tblBusinessUnits[BusinessUnitName],"")</f>
        <v xml:space="preserve">Manufacturing </v>
      </c>
      <c r="P1072" s="8" t="str">
        <f>_xlfn.XLOOKUP(tblFinancials[[#This Row],[RegionKey]],tblRegions[RegionKey],tblRegions[RegionName],"")</f>
        <v>West</v>
      </c>
    </row>
    <row r="1073" spans="1:16">
      <c r="A1073">
        <v>20250601</v>
      </c>
      <c r="B1073">
        <v>4</v>
      </c>
      <c r="C1073">
        <v>2</v>
      </c>
      <c r="D1073">
        <v>2</v>
      </c>
      <c r="E1073">
        <v>18</v>
      </c>
      <c r="F1073" t="s">
        <v>92</v>
      </c>
      <c r="G1073">
        <v>-7751.81</v>
      </c>
      <c r="H1073">
        <f>_xlfn.XLOOKUP(tblFinancials[[#This Row],[DateKey]],tblCalendar[DateKey],tblCalendar[FullDate],"")</f>
        <v>45809</v>
      </c>
      <c r="I1073">
        <f>_xlfn.XLOOKUP(tblFinancials[[#This Row],[AccountKey]],tblAccounts[AccountKey],tblAccounts[AccountNumber],"")</f>
        <v>6200</v>
      </c>
      <c r="J1073" t="str">
        <f>_xlfn.XLOOKUP(tblFinancials[[#This Row],[AccountKey]],tblAccounts[AccountKey],tblAccounts[AccountName],"")</f>
        <v>Marketing Expense</v>
      </c>
      <c r="K1073" s="8" t="str">
        <f>_xlfn.XLOOKUP(tblFinancials[[#This Row],[AccountKey]],tblAccounts[AccountKey],tblAccounts[FinancialStatement],"")</f>
        <v>Income Statement</v>
      </c>
      <c r="L1073" s="8" t="str">
        <f>_xlfn.XLOOKUP(tblFinancials[[#This Row],[AccountKey]],tblAccounts[AccountKey],tblAccounts[AccountCategory],"")</f>
        <v>Operating Expense</v>
      </c>
      <c r="M1073" s="8" t="str">
        <f>_xlfn.XLOOKUP(tblFinancials[[#This Row],[AccountKey]],tblAccounts[AccountKey],tblAccounts[NormalBalance],"")</f>
        <v>Debit</v>
      </c>
      <c r="N1073" s="8" t="str">
        <f>_xlfn.XLOOKUP(tblFinancials[[#This Row],[DepartmentKey]],tblDepartments[DepartmentKey],tblDepartments[DepartmentName],"")</f>
        <v>Sales</v>
      </c>
      <c r="O1073" s="8" t="str">
        <f>_xlfn.XLOOKUP(tblFinancials[[#This Row],[BusinessUnitKey]],tblBusinessUnits[BusinessUnitKey],tblBusinessUnits[BusinessUnitName],"")</f>
        <v>Wholesale</v>
      </c>
      <c r="P1073" s="8" t="str">
        <f>_xlfn.XLOOKUP(tblFinancials[[#This Row],[RegionKey]],tblRegions[RegionKey],tblRegions[RegionName],"")</f>
        <v>Midwest</v>
      </c>
    </row>
    <row r="1074" spans="1:16">
      <c r="A1074">
        <v>20250601</v>
      </c>
      <c r="B1074">
        <v>3</v>
      </c>
      <c r="C1074">
        <v>4</v>
      </c>
      <c r="D1074">
        <v>2</v>
      </c>
      <c r="E1074">
        <v>24</v>
      </c>
      <c r="F1074" t="s">
        <v>92</v>
      </c>
      <c r="G1074">
        <v>-9045.4500000000007</v>
      </c>
      <c r="H1074">
        <f>_xlfn.XLOOKUP(tblFinancials[[#This Row],[DateKey]],tblCalendar[DateKey],tblCalendar[FullDate],"")</f>
        <v>45809</v>
      </c>
      <c r="I1074">
        <f>_xlfn.XLOOKUP(tblFinancials[[#This Row],[AccountKey]],tblAccounts[AccountKey],tblAccounts[AccountNumber],"")</f>
        <v>6900</v>
      </c>
      <c r="J1074" t="str">
        <f>_xlfn.XLOOKUP(tblFinancials[[#This Row],[AccountKey]],tblAccounts[AccountKey],tblAccounts[AccountName],"")</f>
        <v>Professional Services</v>
      </c>
      <c r="K1074" s="8" t="str">
        <f>_xlfn.XLOOKUP(tblFinancials[[#This Row],[AccountKey]],tblAccounts[AccountKey],tblAccounts[FinancialStatement],"")</f>
        <v>Income Statement</v>
      </c>
      <c r="L1074" s="8" t="str">
        <f>_xlfn.XLOOKUP(tblFinancials[[#This Row],[AccountKey]],tblAccounts[AccountKey],tblAccounts[AccountCategory],"")</f>
        <v>Operating Expense</v>
      </c>
      <c r="M1074" s="8" t="str">
        <f>_xlfn.XLOOKUP(tblFinancials[[#This Row],[AccountKey]],tblAccounts[AccountKey],tblAccounts[NormalBalance],"")</f>
        <v>Debit</v>
      </c>
      <c r="N1074" s="8" t="str">
        <f>_xlfn.XLOOKUP(tblFinancials[[#This Row],[DepartmentKey]],tblDepartments[DepartmentKey],tblDepartments[DepartmentName],"")</f>
        <v>Human Resources</v>
      </c>
      <c r="O1074" s="8" t="str">
        <f>_xlfn.XLOOKUP(tblFinancials[[#This Row],[BusinessUnitKey]],tblBusinessUnits[BusinessUnitKey],tblBusinessUnits[BusinessUnitName],"")</f>
        <v>E-Commerce</v>
      </c>
      <c r="P1074" s="8" t="str">
        <f>_xlfn.XLOOKUP(tblFinancials[[#This Row],[RegionKey]],tblRegions[RegionKey],tblRegions[RegionName],"")</f>
        <v>Midwest</v>
      </c>
    </row>
    <row r="1075" spans="1:16">
      <c r="A1075">
        <v>20250601</v>
      </c>
      <c r="B1075">
        <v>6</v>
      </c>
      <c r="C1075">
        <v>2</v>
      </c>
      <c r="D1075">
        <v>1</v>
      </c>
      <c r="E1075">
        <v>15</v>
      </c>
      <c r="F1075" t="s">
        <v>92</v>
      </c>
      <c r="G1075">
        <v>-8604.6299999999992</v>
      </c>
      <c r="H1075">
        <f>_xlfn.XLOOKUP(tblFinancials[[#This Row],[DateKey]],tblCalendar[DateKey],tblCalendar[FullDate],"")</f>
        <v>45809</v>
      </c>
      <c r="I1075">
        <f>_xlfn.XLOOKUP(tblFinancials[[#This Row],[AccountKey]],tblAccounts[AccountKey],tblAccounts[AccountNumber],"")</f>
        <v>6100</v>
      </c>
      <c r="J1075" t="str">
        <f>_xlfn.XLOOKUP(tblFinancials[[#This Row],[AccountKey]],tblAccounts[AccountKey],tblAccounts[AccountName],"")</f>
        <v>Salaries Expense</v>
      </c>
      <c r="K1075" s="8" t="str">
        <f>_xlfn.XLOOKUP(tblFinancials[[#This Row],[AccountKey]],tblAccounts[AccountKey],tblAccounts[FinancialStatement],"")</f>
        <v>Income Statement</v>
      </c>
      <c r="L1075" s="8" t="str">
        <f>_xlfn.XLOOKUP(tblFinancials[[#This Row],[AccountKey]],tblAccounts[AccountKey],tblAccounts[AccountCategory],"")</f>
        <v>Operating Expense</v>
      </c>
      <c r="M1075" s="8" t="str">
        <f>_xlfn.XLOOKUP(tblFinancials[[#This Row],[AccountKey]],tblAccounts[AccountKey],tblAccounts[NormalBalance],"")</f>
        <v>Debit</v>
      </c>
      <c r="N1075" s="8" t="str">
        <f>_xlfn.XLOOKUP(tblFinancials[[#This Row],[DepartmentKey]],tblDepartments[DepartmentKey],tblDepartments[DepartmentName],"")</f>
        <v>Operations</v>
      </c>
      <c r="O1075" s="8" t="str">
        <f>_xlfn.XLOOKUP(tblFinancials[[#This Row],[BusinessUnitKey]],tblBusinessUnits[BusinessUnitKey],tblBusinessUnits[BusinessUnitName],"")</f>
        <v>Wholesale</v>
      </c>
      <c r="P1075" s="8" t="str">
        <f>_xlfn.XLOOKUP(tblFinancials[[#This Row],[RegionKey]],tblRegions[RegionKey],tblRegions[RegionName],"")</f>
        <v>West</v>
      </c>
    </row>
    <row r="1076" spans="1:16">
      <c r="A1076">
        <v>20250601</v>
      </c>
      <c r="B1076">
        <v>6</v>
      </c>
      <c r="C1076">
        <v>3</v>
      </c>
      <c r="D1076">
        <v>4</v>
      </c>
      <c r="E1076">
        <v>25</v>
      </c>
      <c r="F1076" t="s">
        <v>92</v>
      </c>
      <c r="G1076">
        <v>-7856.09</v>
      </c>
      <c r="H1076">
        <f>_xlfn.XLOOKUP(tblFinancials[[#This Row],[DateKey]],tblCalendar[DateKey],tblCalendar[FullDate],"")</f>
        <v>45809</v>
      </c>
      <c r="I1076">
        <f>_xlfn.XLOOKUP(tblFinancials[[#This Row],[AccountKey]],tblAccounts[AccountKey],tblAccounts[AccountNumber],"")</f>
        <v>8200</v>
      </c>
      <c r="J1076" t="str">
        <f>_xlfn.XLOOKUP(tblFinancials[[#This Row],[AccountKey]],tblAccounts[AccountKey],tblAccounts[AccountName],"")</f>
        <v>Income Tax Expense</v>
      </c>
      <c r="K1076" s="8" t="str">
        <f>_xlfn.XLOOKUP(tblFinancials[[#This Row],[AccountKey]],tblAccounts[AccountKey],tblAccounts[FinancialStatement],"")</f>
        <v>Income Statement</v>
      </c>
      <c r="L1076" s="8" t="str">
        <f>_xlfn.XLOOKUP(tblFinancials[[#This Row],[AccountKey]],tblAccounts[AccountKey],tblAccounts[AccountCategory],"")</f>
        <v>Tax Expense</v>
      </c>
      <c r="M1076" s="8" t="str">
        <f>_xlfn.XLOOKUP(tblFinancials[[#This Row],[AccountKey]],tblAccounts[AccountKey],tblAccounts[NormalBalance],"")</f>
        <v>Debit</v>
      </c>
      <c r="N1076" s="8" t="str">
        <f>_xlfn.XLOOKUP(tblFinancials[[#This Row],[DepartmentKey]],tblDepartments[DepartmentKey],tblDepartments[DepartmentName],"")</f>
        <v>Operations</v>
      </c>
      <c r="O1076" s="8" t="str">
        <f>_xlfn.XLOOKUP(tblFinancials[[#This Row],[BusinessUnitKey]],tblBusinessUnits[BusinessUnitKey],tblBusinessUnits[BusinessUnitName],"")</f>
        <v>Retail</v>
      </c>
      <c r="P1076" s="8" t="str">
        <f>_xlfn.XLOOKUP(tblFinancials[[#This Row],[RegionKey]],tblRegions[RegionKey],tblRegions[RegionName],"")</f>
        <v>East</v>
      </c>
    </row>
    <row r="1077" spans="1:16">
      <c r="A1077">
        <v>20250601</v>
      </c>
      <c r="B1077">
        <v>7</v>
      </c>
      <c r="C1077">
        <v>3</v>
      </c>
      <c r="D1077">
        <v>3</v>
      </c>
      <c r="E1077">
        <v>22</v>
      </c>
      <c r="F1077" t="s">
        <v>92</v>
      </c>
      <c r="G1077">
        <v>-8015.68</v>
      </c>
      <c r="H1077">
        <f>_xlfn.XLOOKUP(tblFinancials[[#This Row],[DateKey]],tblCalendar[DateKey],tblCalendar[FullDate],"")</f>
        <v>45809</v>
      </c>
      <c r="I1077">
        <f>_xlfn.XLOOKUP(tblFinancials[[#This Row],[AccountKey]],tblAccounts[AccountKey],tblAccounts[AccountNumber],"")</f>
        <v>6700</v>
      </c>
      <c r="J1077" t="str">
        <f>_xlfn.XLOOKUP(tblFinancials[[#This Row],[AccountKey]],tblAccounts[AccountKey],tblAccounts[AccountName],"")</f>
        <v>Insurance Expense</v>
      </c>
      <c r="K1077" s="8" t="str">
        <f>_xlfn.XLOOKUP(tblFinancials[[#This Row],[AccountKey]],tblAccounts[AccountKey],tblAccounts[FinancialStatement],"")</f>
        <v>Income Statement</v>
      </c>
      <c r="L1077" s="8" t="str">
        <f>_xlfn.XLOOKUP(tblFinancials[[#This Row],[AccountKey]],tblAccounts[AccountKey],tblAccounts[AccountCategory],"")</f>
        <v>Operating Expense</v>
      </c>
      <c r="M1077" s="8" t="str">
        <f>_xlfn.XLOOKUP(tblFinancials[[#This Row],[AccountKey]],tblAccounts[AccountKey],tblAccounts[NormalBalance],"")</f>
        <v>Debit</v>
      </c>
      <c r="N1077" s="8" t="str">
        <f>_xlfn.XLOOKUP(tblFinancials[[#This Row],[DepartmentKey]],tblDepartments[DepartmentKey],tblDepartments[DepartmentName],"")</f>
        <v>Information Technology</v>
      </c>
      <c r="O1077" s="8" t="str">
        <f>_xlfn.XLOOKUP(tblFinancials[[#This Row],[BusinessUnitKey]],tblBusinessUnits[BusinessUnitKey],tblBusinessUnits[BusinessUnitName],"")</f>
        <v>Retail</v>
      </c>
      <c r="P1077" s="8" t="str">
        <f>_xlfn.XLOOKUP(tblFinancials[[#This Row],[RegionKey]],tblRegions[RegionKey],tblRegions[RegionName],"")</f>
        <v>South</v>
      </c>
    </row>
    <row r="1078" spans="1:16">
      <c r="A1078">
        <v>20250601</v>
      </c>
      <c r="B1078">
        <v>7</v>
      </c>
      <c r="C1078">
        <v>3</v>
      </c>
      <c r="D1078">
        <v>1</v>
      </c>
      <c r="E1078">
        <v>16</v>
      </c>
      <c r="F1078" t="s">
        <v>92</v>
      </c>
      <c r="G1078">
        <v>-9523.4699999999993</v>
      </c>
      <c r="H1078">
        <f>_xlfn.XLOOKUP(tblFinancials[[#This Row],[DateKey]],tblCalendar[DateKey],tblCalendar[FullDate],"")</f>
        <v>45809</v>
      </c>
      <c r="I1078">
        <f>_xlfn.XLOOKUP(tblFinancials[[#This Row],[AccountKey]],tblAccounts[AccountKey],tblAccounts[AccountNumber],"")</f>
        <v>6110</v>
      </c>
      <c r="J1078" t="str">
        <f>_xlfn.XLOOKUP(tblFinancials[[#This Row],[AccountKey]],tblAccounts[AccountKey],tblAccounts[AccountName],"")</f>
        <v>Payroll Taxes</v>
      </c>
      <c r="K1078" s="8" t="str">
        <f>_xlfn.XLOOKUP(tblFinancials[[#This Row],[AccountKey]],tblAccounts[AccountKey],tblAccounts[FinancialStatement],"")</f>
        <v>Income Statement</v>
      </c>
      <c r="L1078" s="8" t="str">
        <f>_xlfn.XLOOKUP(tblFinancials[[#This Row],[AccountKey]],tblAccounts[AccountKey],tblAccounts[AccountCategory],"")</f>
        <v>Operating Expense</v>
      </c>
      <c r="M1078" s="8" t="str">
        <f>_xlfn.XLOOKUP(tblFinancials[[#This Row],[AccountKey]],tblAccounts[AccountKey],tblAccounts[NormalBalance],"")</f>
        <v>Debit</v>
      </c>
      <c r="N1078" s="8" t="str">
        <f>_xlfn.XLOOKUP(tblFinancials[[#This Row],[DepartmentKey]],tblDepartments[DepartmentKey],tblDepartments[DepartmentName],"")</f>
        <v>Information Technology</v>
      </c>
      <c r="O1078" s="8" t="str">
        <f>_xlfn.XLOOKUP(tblFinancials[[#This Row],[BusinessUnitKey]],tblBusinessUnits[BusinessUnitKey],tblBusinessUnits[BusinessUnitName],"")</f>
        <v>Retail</v>
      </c>
      <c r="P1078" s="8" t="str">
        <f>_xlfn.XLOOKUP(tblFinancials[[#This Row],[RegionKey]],tblRegions[RegionKey],tblRegions[RegionName],"")</f>
        <v>West</v>
      </c>
    </row>
    <row r="1079" spans="1:16">
      <c r="A1079">
        <v>20250601</v>
      </c>
      <c r="B1079">
        <v>4</v>
      </c>
      <c r="C1079">
        <v>1</v>
      </c>
      <c r="D1079">
        <v>3</v>
      </c>
      <c r="E1079">
        <v>25</v>
      </c>
      <c r="F1079" t="s">
        <v>92</v>
      </c>
      <c r="G1079">
        <v>-8539</v>
      </c>
      <c r="H1079">
        <f>_xlfn.XLOOKUP(tblFinancials[[#This Row],[DateKey]],tblCalendar[DateKey],tblCalendar[FullDate],"")</f>
        <v>45809</v>
      </c>
      <c r="I1079">
        <f>_xlfn.XLOOKUP(tblFinancials[[#This Row],[AccountKey]],tblAccounts[AccountKey],tblAccounts[AccountNumber],"")</f>
        <v>8200</v>
      </c>
      <c r="J1079" t="str">
        <f>_xlfn.XLOOKUP(tblFinancials[[#This Row],[AccountKey]],tblAccounts[AccountKey],tblAccounts[AccountName],"")</f>
        <v>Income Tax Expense</v>
      </c>
      <c r="K1079" s="8" t="str">
        <f>_xlfn.XLOOKUP(tblFinancials[[#This Row],[AccountKey]],tblAccounts[AccountKey],tblAccounts[FinancialStatement],"")</f>
        <v>Income Statement</v>
      </c>
      <c r="L1079" s="8" t="str">
        <f>_xlfn.XLOOKUP(tblFinancials[[#This Row],[AccountKey]],tblAccounts[AccountKey],tblAccounts[AccountCategory],"")</f>
        <v>Tax Expense</v>
      </c>
      <c r="M1079" s="8" t="str">
        <f>_xlfn.XLOOKUP(tblFinancials[[#This Row],[AccountKey]],tblAccounts[AccountKey],tblAccounts[NormalBalance],"")</f>
        <v>Debit</v>
      </c>
      <c r="N1079" s="8" t="str">
        <f>_xlfn.XLOOKUP(tblFinancials[[#This Row],[DepartmentKey]],tblDepartments[DepartmentKey],tblDepartments[DepartmentName],"")</f>
        <v>Sales</v>
      </c>
      <c r="O1079" s="8" t="str">
        <f>_xlfn.XLOOKUP(tblFinancials[[#This Row],[BusinessUnitKey]],tblBusinessUnits[BusinessUnitKey],tblBusinessUnits[BusinessUnitName],"")</f>
        <v xml:space="preserve">Manufacturing </v>
      </c>
      <c r="P1079" s="8" t="str">
        <f>_xlfn.XLOOKUP(tblFinancials[[#This Row],[RegionKey]],tblRegions[RegionKey],tblRegions[RegionName],"")</f>
        <v>South</v>
      </c>
    </row>
    <row r="1080" spans="1:16">
      <c r="A1080">
        <v>20250601</v>
      </c>
      <c r="B1080">
        <v>2</v>
      </c>
      <c r="C1080">
        <v>2</v>
      </c>
      <c r="D1080">
        <v>4</v>
      </c>
      <c r="E1080">
        <v>18</v>
      </c>
      <c r="F1080" t="s">
        <v>92</v>
      </c>
      <c r="G1080">
        <v>-8766.9599999999991</v>
      </c>
      <c r="H1080">
        <f>_xlfn.XLOOKUP(tblFinancials[[#This Row],[DateKey]],tblCalendar[DateKey],tblCalendar[FullDate],"")</f>
        <v>45809</v>
      </c>
      <c r="I1080">
        <f>_xlfn.XLOOKUP(tblFinancials[[#This Row],[AccountKey]],tblAccounts[AccountKey],tblAccounts[AccountNumber],"")</f>
        <v>6200</v>
      </c>
      <c r="J1080" t="str">
        <f>_xlfn.XLOOKUP(tblFinancials[[#This Row],[AccountKey]],tblAccounts[AccountKey],tblAccounts[AccountName],"")</f>
        <v>Marketing Expense</v>
      </c>
      <c r="K1080" s="8" t="str">
        <f>_xlfn.XLOOKUP(tblFinancials[[#This Row],[AccountKey]],tblAccounts[AccountKey],tblAccounts[FinancialStatement],"")</f>
        <v>Income Statement</v>
      </c>
      <c r="L1080" s="8" t="str">
        <f>_xlfn.XLOOKUP(tblFinancials[[#This Row],[AccountKey]],tblAccounts[AccountKey],tblAccounts[AccountCategory],"")</f>
        <v>Operating Expense</v>
      </c>
      <c r="M1080" s="8" t="str">
        <f>_xlfn.XLOOKUP(tblFinancials[[#This Row],[AccountKey]],tblAccounts[AccountKey],tblAccounts[NormalBalance],"")</f>
        <v>Debit</v>
      </c>
      <c r="N1080" s="8" t="str">
        <f>_xlfn.XLOOKUP(tblFinancials[[#This Row],[DepartmentKey]],tblDepartments[DepartmentKey],tblDepartments[DepartmentName],"")</f>
        <v>Finance</v>
      </c>
      <c r="O1080" s="8" t="str">
        <f>_xlfn.XLOOKUP(tblFinancials[[#This Row],[BusinessUnitKey]],tblBusinessUnits[BusinessUnitKey],tblBusinessUnits[BusinessUnitName],"")</f>
        <v>Wholesale</v>
      </c>
      <c r="P1080" s="8" t="str">
        <f>_xlfn.XLOOKUP(tblFinancials[[#This Row],[RegionKey]],tblRegions[RegionKey],tblRegions[RegionName],"")</f>
        <v>East</v>
      </c>
    </row>
    <row r="1081" spans="1:16">
      <c r="A1081">
        <v>20250601</v>
      </c>
      <c r="B1081">
        <v>1</v>
      </c>
      <c r="C1081">
        <v>4</v>
      </c>
      <c r="D1081">
        <v>1</v>
      </c>
      <c r="E1081">
        <v>17</v>
      </c>
      <c r="F1081" t="s">
        <v>92</v>
      </c>
      <c r="G1081">
        <v>-6017.37</v>
      </c>
      <c r="H1081">
        <f>_xlfn.XLOOKUP(tblFinancials[[#This Row],[DateKey]],tblCalendar[DateKey],tblCalendar[FullDate],"")</f>
        <v>45809</v>
      </c>
      <c r="I1081">
        <f>_xlfn.XLOOKUP(tblFinancials[[#This Row],[AccountKey]],tblAccounts[AccountKey],tblAccounts[AccountNumber],"")</f>
        <v>6120</v>
      </c>
      <c r="J1081" t="str">
        <f>_xlfn.XLOOKUP(tblFinancials[[#This Row],[AccountKey]],tblAccounts[AccountKey],tblAccounts[AccountName],"")</f>
        <v>Employee Benefits</v>
      </c>
      <c r="K1081" s="8" t="str">
        <f>_xlfn.XLOOKUP(tblFinancials[[#This Row],[AccountKey]],tblAccounts[AccountKey],tblAccounts[FinancialStatement],"")</f>
        <v>Income Statement</v>
      </c>
      <c r="L1081" s="8" t="str">
        <f>_xlfn.XLOOKUP(tblFinancials[[#This Row],[AccountKey]],tblAccounts[AccountKey],tblAccounts[AccountCategory],"")</f>
        <v>Operating Expense</v>
      </c>
      <c r="M1081" s="8" t="str">
        <f>_xlfn.XLOOKUP(tblFinancials[[#This Row],[AccountKey]],tblAccounts[AccountKey],tblAccounts[NormalBalance],"")</f>
        <v>Debit</v>
      </c>
      <c r="N1081" s="8" t="str">
        <f>_xlfn.XLOOKUP(tblFinancials[[#This Row],[DepartmentKey]],tblDepartments[DepartmentKey],tblDepartments[DepartmentName],"")</f>
        <v>Executive</v>
      </c>
      <c r="O1081" s="8" t="str">
        <f>_xlfn.XLOOKUP(tblFinancials[[#This Row],[BusinessUnitKey]],tblBusinessUnits[BusinessUnitKey],tblBusinessUnits[BusinessUnitName],"")</f>
        <v>E-Commerce</v>
      </c>
      <c r="P1081" s="8" t="str">
        <f>_xlfn.XLOOKUP(tblFinancials[[#This Row],[RegionKey]],tblRegions[RegionKey],tblRegions[RegionName],"")</f>
        <v>West</v>
      </c>
    </row>
    <row r="1082" spans="1:16">
      <c r="A1082">
        <v>20250701</v>
      </c>
      <c r="B1082">
        <v>7</v>
      </c>
      <c r="C1082">
        <v>1</v>
      </c>
      <c r="D1082">
        <v>2</v>
      </c>
      <c r="E1082">
        <v>12</v>
      </c>
      <c r="F1082" t="s">
        <v>92</v>
      </c>
      <c r="G1082">
        <v>37287.19</v>
      </c>
      <c r="H1082">
        <f>_xlfn.XLOOKUP(tblFinancials[[#This Row],[DateKey]],tblCalendar[DateKey],tblCalendar[FullDate],"")</f>
        <v>45839</v>
      </c>
      <c r="I1082">
        <f>_xlfn.XLOOKUP(tblFinancials[[#This Row],[AccountKey]],tblAccounts[AccountKey],tblAccounts[AccountNumber],"")</f>
        <v>4010</v>
      </c>
      <c r="J1082" t="str">
        <f>_xlfn.XLOOKUP(tblFinancials[[#This Row],[AccountKey]],tblAccounts[AccountKey],tblAccounts[AccountName],"")</f>
        <v>Service Revenue</v>
      </c>
      <c r="K1082" s="8" t="str">
        <f>_xlfn.XLOOKUP(tblFinancials[[#This Row],[AccountKey]],tblAccounts[AccountKey],tblAccounts[FinancialStatement],"")</f>
        <v>Income Statement</v>
      </c>
      <c r="L1082" s="8" t="str">
        <f>_xlfn.XLOOKUP(tblFinancials[[#This Row],[AccountKey]],tblAccounts[AccountKey],tblAccounts[AccountCategory],"")</f>
        <v>Revenue</v>
      </c>
      <c r="M1082" s="8" t="str">
        <f>_xlfn.XLOOKUP(tblFinancials[[#This Row],[AccountKey]],tblAccounts[AccountKey],tblAccounts[NormalBalance],"")</f>
        <v>Credit</v>
      </c>
      <c r="N1082" s="8" t="str">
        <f>_xlfn.XLOOKUP(tblFinancials[[#This Row],[DepartmentKey]],tblDepartments[DepartmentKey],tblDepartments[DepartmentName],"")</f>
        <v>Information Technology</v>
      </c>
      <c r="O1082" s="8" t="str">
        <f>_xlfn.XLOOKUP(tblFinancials[[#This Row],[BusinessUnitKey]],tblBusinessUnits[BusinessUnitKey],tblBusinessUnits[BusinessUnitName],"")</f>
        <v xml:space="preserve">Manufacturing </v>
      </c>
      <c r="P1082" s="8" t="str">
        <f>_xlfn.XLOOKUP(tblFinancials[[#This Row],[RegionKey]],tblRegions[RegionKey],tblRegions[RegionName],"")</f>
        <v>Midwest</v>
      </c>
    </row>
    <row r="1083" spans="1:16">
      <c r="A1083">
        <v>20250701</v>
      </c>
      <c r="B1083">
        <v>5</v>
      </c>
      <c r="C1083">
        <v>2</v>
      </c>
      <c r="D1083">
        <v>3</v>
      </c>
      <c r="E1083">
        <v>12</v>
      </c>
      <c r="F1083" t="s">
        <v>92</v>
      </c>
      <c r="G1083">
        <v>37181.72</v>
      </c>
      <c r="H1083">
        <f>_xlfn.XLOOKUP(tblFinancials[[#This Row],[DateKey]],tblCalendar[DateKey],tblCalendar[FullDate],"")</f>
        <v>45839</v>
      </c>
      <c r="I1083">
        <f>_xlfn.XLOOKUP(tblFinancials[[#This Row],[AccountKey]],tblAccounts[AccountKey],tblAccounts[AccountNumber],"")</f>
        <v>4010</v>
      </c>
      <c r="J1083" t="str">
        <f>_xlfn.XLOOKUP(tblFinancials[[#This Row],[AccountKey]],tblAccounts[AccountKey],tblAccounts[AccountName],"")</f>
        <v>Service Revenue</v>
      </c>
      <c r="K1083" s="8" t="str">
        <f>_xlfn.XLOOKUP(tblFinancials[[#This Row],[AccountKey]],tblAccounts[AccountKey],tblAccounts[FinancialStatement],"")</f>
        <v>Income Statement</v>
      </c>
      <c r="L1083" s="8" t="str">
        <f>_xlfn.XLOOKUP(tblFinancials[[#This Row],[AccountKey]],tblAccounts[AccountKey],tblAccounts[AccountCategory],"")</f>
        <v>Revenue</v>
      </c>
      <c r="M1083" s="8" t="str">
        <f>_xlfn.XLOOKUP(tblFinancials[[#This Row],[AccountKey]],tblAccounts[AccountKey],tblAccounts[NormalBalance],"")</f>
        <v>Credit</v>
      </c>
      <c r="N1083" s="8" t="str">
        <f>_xlfn.XLOOKUP(tblFinancials[[#This Row],[DepartmentKey]],tblDepartments[DepartmentKey],tblDepartments[DepartmentName],"")</f>
        <v>Marketing</v>
      </c>
      <c r="O1083" s="8" t="str">
        <f>_xlfn.XLOOKUP(tblFinancials[[#This Row],[BusinessUnitKey]],tblBusinessUnits[BusinessUnitKey],tblBusinessUnits[BusinessUnitName],"")</f>
        <v>Wholesale</v>
      </c>
      <c r="P1083" s="8" t="str">
        <f>_xlfn.XLOOKUP(tblFinancials[[#This Row],[RegionKey]],tblRegions[RegionKey],tblRegions[RegionName],"")</f>
        <v>South</v>
      </c>
    </row>
    <row r="1084" spans="1:16">
      <c r="A1084">
        <v>20250701</v>
      </c>
      <c r="B1084">
        <v>1</v>
      </c>
      <c r="C1084">
        <v>4</v>
      </c>
      <c r="D1084">
        <v>2</v>
      </c>
      <c r="E1084">
        <v>11</v>
      </c>
      <c r="F1084" t="s">
        <v>92</v>
      </c>
      <c r="G1084">
        <v>37733.86</v>
      </c>
      <c r="H1084">
        <f>_xlfn.XLOOKUP(tblFinancials[[#This Row],[DateKey]],tblCalendar[DateKey],tblCalendar[FullDate],"")</f>
        <v>45839</v>
      </c>
      <c r="I1084">
        <f>_xlfn.XLOOKUP(tblFinancials[[#This Row],[AccountKey]],tblAccounts[AccountKey],tblAccounts[AccountNumber],"")</f>
        <v>4000</v>
      </c>
      <c r="J1084" t="str">
        <f>_xlfn.XLOOKUP(tblFinancials[[#This Row],[AccountKey]],tblAccounts[AccountKey],tblAccounts[AccountName],"")</f>
        <v>Product Revenue</v>
      </c>
      <c r="K1084" s="8" t="str">
        <f>_xlfn.XLOOKUP(tblFinancials[[#This Row],[AccountKey]],tblAccounts[AccountKey],tblAccounts[FinancialStatement],"")</f>
        <v>Income Statement</v>
      </c>
      <c r="L1084" s="8" t="str">
        <f>_xlfn.XLOOKUP(tblFinancials[[#This Row],[AccountKey]],tblAccounts[AccountKey],tblAccounts[AccountCategory],"")</f>
        <v>Revenue</v>
      </c>
      <c r="M1084" s="8" t="str">
        <f>_xlfn.XLOOKUP(tblFinancials[[#This Row],[AccountKey]],tblAccounts[AccountKey],tblAccounts[NormalBalance],"")</f>
        <v>Credit</v>
      </c>
      <c r="N1084" s="8" t="str">
        <f>_xlfn.XLOOKUP(tblFinancials[[#This Row],[DepartmentKey]],tblDepartments[DepartmentKey],tblDepartments[DepartmentName],"")</f>
        <v>Executive</v>
      </c>
      <c r="O1084" s="8" t="str">
        <f>_xlfn.XLOOKUP(tblFinancials[[#This Row],[BusinessUnitKey]],tblBusinessUnits[BusinessUnitKey],tblBusinessUnits[BusinessUnitName],"")</f>
        <v>E-Commerce</v>
      </c>
      <c r="P1084" s="8" t="str">
        <f>_xlfn.XLOOKUP(tblFinancials[[#This Row],[RegionKey]],tblRegions[RegionKey],tblRegions[RegionName],"")</f>
        <v>Midwest</v>
      </c>
    </row>
    <row r="1085" spans="1:16">
      <c r="A1085">
        <v>20250701</v>
      </c>
      <c r="B1085">
        <v>4</v>
      </c>
      <c r="C1085">
        <v>3</v>
      </c>
      <c r="D1085">
        <v>3</v>
      </c>
      <c r="E1085">
        <v>13</v>
      </c>
      <c r="F1085" t="s">
        <v>92</v>
      </c>
      <c r="G1085">
        <v>37588.17</v>
      </c>
      <c r="H1085">
        <f>_xlfn.XLOOKUP(tblFinancials[[#This Row],[DateKey]],tblCalendar[DateKey],tblCalendar[FullDate],"")</f>
        <v>45839</v>
      </c>
      <c r="I1085">
        <f>_xlfn.XLOOKUP(tblFinancials[[#This Row],[AccountKey]],tblAccounts[AccountKey],tblAccounts[AccountNumber],"")</f>
        <v>4020</v>
      </c>
      <c r="J1085" t="str">
        <f>_xlfn.XLOOKUP(tblFinancials[[#This Row],[AccountKey]],tblAccounts[AccountKey],tblAccounts[AccountName],"")</f>
        <v>Online Revenue</v>
      </c>
      <c r="K1085" s="8" t="str">
        <f>_xlfn.XLOOKUP(tblFinancials[[#This Row],[AccountKey]],tblAccounts[AccountKey],tblAccounts[FinancialStatement],"")</f>
        <v>Income Statement</v>
      </c>
      <c r="L1085" s="8" t="str">
        <f>_xlfn.XLOOKUP(tblFinancials[[#This Row],[AccountKey]],tblAccounts[AccountKey],tblAccounts[AccountCategory],"")</f>
        <v>Revenue</v>
      </c>
      <c r="M1085" s="8" t="str">
        <f>_xlfn.XLOOKUP(tblFinancials[[#This Row],[AccountKey]],tblAccounts[AccountKey],tblAccounts[NormalBalance],"")</f>
        <v>Credit</v>
      </c>
      <c r="N1085" s="8" t="str">
        <f>_xlfn.XLOOKUP(tblFinancials[[#This Row],[DepartmentKey]],tblDepartments[DepartmentKey],tblDepartments[DepartmentName],"")</f>
        <v>Sales</v>
      </c>
      <c r="O1085" s="8" t="str">
        <f>_xlfn.XLOOKUP(tblFinancials[[#This Row],[BusinessUnitKey]],tblBusinessUnits[BusinessUnitKey],tblBusinessUnits[BusinessUnitName],"")</f>
        <v>Retail</v>
      </c>
      <c r="P1085" s="8" t="str">
        <f>_xlfn.XLOOKUP(tblFinancials[[#This Row],[RegionKey]],tblRegions[RegionKey],tblRegions[RegionName],"")</f>
        <v>South</v>
      </c>
    </row>
    <row r="1086" spans="1:16">
      <c r="A1086">
        <v>20250701</v>
      </c>
      <c r="B1086">
        <v>8</v>
      </c>
      <c r="C1086">
        <v>3</v>
      </c>
      <c r="D1086">
        <v>2</v>
      </c>
      <c r="E1086">
        <v>12</v>
      </c>
      <c r="F1086" t="s">
        <v>92</v>
      </c>
      <c r="G1086">
        <v>36521.050000000003</v>
      </c>
      <c r="H1086">
        <f>_xlfn.XLOOKUP(tblFinancials[[#This Row],[DateKey]],tblCalendar[DateKey],tblCalendar[FullDate],"")</f>
        <v>45839</v>
      </c>
      <c r="I1086">
        <f>_xlfn.XLOOKUP(tblFinancials[[#This Row],[AccountKey]],tblAccounts[AccountKey],tblAccounts[AccountNumber],"")</f>
        <v>4010</v>
      </c>
      <c r="J1086" t="str">
        <f>_xlfn.XLOOKUP(tblFinancials[[#This Row],[AccountKey]],tblAccounts[AccountKey],tblAccounts[AccountName],"")</f>
        <v>Service Revenue</v>
      </c>
      <c r="K1086" s="8" t="str">
        <f>_xlfn.XLOOKUP(tblFinancials[[#This Row],[AccountKey]],tblAccounts[AccountKey],tblAccounts[FinancialStatement],"")</f>
        <v>Income Statement</v>
      </c>
      <c r="L1086" s="8" t="str">
        <f>_xlfn.XLOOKUP(tblFinancials[[#This Row],[AccountKey]],tblAccounts[AccountKey],tblAccounts[AccountCategory],"")</f>
        <v>Revenue</v>
      </c>
      <c r="M1086" s="8" t="str">
        <f>_xlfn.XLOOKUP(tblFinancials[[#This Row],[AccountKey]],tblAccounts[AccountKey],tblAccounts[NormalBalance],"")</f>
        <v>Credit</v>
      </c>
      <c r="N1086" s="8" t="str">
        <f>_xlfn.XLOOKUP(tblFinancials[[#This Row],[DepartmentKey]],tblDepartments[DepartmentKey],tblDepartments[DepartmentName],"")</f>
        <v>Customer Service</v>
      </c>
      <c r="O1086" s="8" t="str">
        <f>_xlfn.XLOOKUP(tblFinancials[[#This Row],[BusinessUnitKey]],tblBusinessUnits[BusinessUnitKey],tblBusinessUnits[BusinessUnitName],"")</f>
        <v>Retail</v>
      </c>
      <c r="P1086" s="8" t="str">
        <f>_xlfn.XLOOKUP(tblFinancials[[#This Row],[RegionKey]],tblRegions[RegionKey],tblRegions[RegionName],"")</f>
        <v>Midwest</v>
      </c>
    </row>
    <row r="1087" spans="1:16">
      <c r="A1087">
        <v>20250701</v>
      </c>
      <c r="B1087">
        <v>2</v>
      </c>
      <c r="C1087">
        <v>4</v>
      </c>
      <c r="D1087">
        <v>1</v>
      </c>
      <c r="E1087">
        <v>12</v>
      </c>
      <c r="F1087" t="s">
        <v>92</v>
      </c>
      <c r="G1087">
        <v>36520.07</v>
      </c>
      <c r="H1087">
        <f>_xlfn.XLOOKUP(tblFinancials[[#This Row],[DateKey]],tblCalendar[DateKey],tblCalendar[FullDate],"")</f>
        <v>45839</v>
      </c>
      <c r="I1087">
        <f>_xlfn.XLOOKUP(tblFinancials[[#This Row],[AccountKey]],tblAccounts[AccountKey],tblAccounts[AccountNumber],"")</f>
        <v>4010</v>
      </c>
      <c r="J1087" t="str">
        <f>_xlfn.XLOOKUP(tblFinancials[[#This Row],[AccountKey]],tblAccounts[AccountKey],tblAccounts[AccountName],"")</f>
        <v>Service Revenue</v>
      </c>
      <c r="K1087" s="8" t="str">
        <f>_xlfn.XLOOKUP(tblFinancials[[#This Row],[AccountKey]],tblAccounts[AccountKey],tblAccounts[FinancialStatement],"")</f>
        <v>Income Statement</v>
      </c>
      <c r="L1087" s="8" t="str">
        <f>_xlfn.XLOOKUP(tblFinancials[[#This Row],[AccountKey]],tblAccounts[AccountKey],tblAccounts[AccountCategory],"")</f>
        <v>Revenue</v>
      </c>
      <c r="M1087" s="8" t="str">
        <f>_xlfn.XLOOKUP(tblFinancials[[#This Row],[AccountKey]],tblAccounts[AccountKey],tblAccounts[NormalBalance],"")</f>
        <v>Credit</v>
      </c>
      <c r="N1087" s="8" t="str">
        <f>_xlfn.XLOOKUP(tblFinancials[[#This Row],[DepartmentKey]],tblDepartments[DepartmentKey],tblDepartments[DepartmentName],"")</f>
        <v>Finance</v>
      </c>
      <c r="O1087" s="8" t="str">
        <f>_xlfn.XLOOKUP(tblFinancials[[#This Row],[BusinessUnitKey]],tblBusinessUnits[BusinessUnitKey],tblBusinessUnits[BusinessUnitName],"")</f>
        <v>E-Commerce</v>
      </c>
      <c r="P1087" s="8" t="str">
        <f>_xlfn.XLOOKUP(tblFinancials[[#This Row],[RegionKey]],tblRegions[RegionKey],tblRegions[RegionName],"")</f>
        <v>West</v>
      </c>
    </row>
    <row r="1088" spans="1:16">
      <c r="A1088">
        <v>20250701</v>
      </c>
      <c r="B1088">
        <v>2</v>
      </c>
      <c r="C1088">
        <v>3</v>
      </c>
      <c r="D1088">
        <v>3</v>
      </c>
      <c r="E1088">
        <v>12</v>
      </c>
      <c r="F1088" t="s">
        <v>92</v>
      </c>
      <c r="G1088">
        <v>36420.129999999997</v>
      </c>
      <c r="H1088">
        <f>_xlfn.XLOOKUP(tblFinancials[[#This Row],[DateKey]],tblCalendar[DateKey],tblCalendar[FullDate],"")</f>
        <v>45839</v>
      </c>
      <c r="I1088">
        <f>_xlfn.XLOOKUP(tblFinancials[[#This Row],[AccountKey]],tblAccounts[AccountKey],tblAccounts[AccountNumber],"")</f>
        <v>4010</v>
      </c>
      <c r="J1088" t="str">
        <f>_xlfn.XLOOKUP(tblFinancials[[#This Row],[AccountKey]],tblAccounts[AccountKey],tblAccounts[AccountName],"")</f>
        <v>Service Revenue</v>
      </c>
      <c r="K1088" s="8" t="str">
        <f>_xlfn.XLOOKUP(tblFinancials[[#This Row],[AccountKey]],tblAccounts[AccountKey],tblAccounts[FinancialStatement],"")</f>
        <v>Income Statement</v>
      </c>
      <c r="L1088" s="8" t="str">
        <f>_xlfn.XLOOKUP(tblFinancials[[#This Row],[AccountKey]],tblAccounts[AccountKey],tblAccounts[AccountCategory],"")</f>
        <v>Revenue</v>
      </c>
      <c r="M1088" s="8" t="str">
        <f>_xlfn.XLOOKUP(tblFinancials[[#This Row],[AccountKey]],tblAccounts[AccountKey],tblAccounts[NormalBalance],"")</f>
        <v>Credit</v>
      </c>
      <c r="N1088" s="8" t="str">
        <f>_xlfn.XLOOKUP(tblFinancials[[#This Row],[DepartmentKey]],tblDepartments[DepartmentKey],tblDepartments[DepartmentName],"")</f>
        <v>Finance</v>
      </c>
      <c r="O1088" s="8" t="str">
        <f>_xlfn.XLOOKUP(tblFinancials[[#This Row],[BusinessUnitKey]],tblBusinessUnits[BusinessUnitKey],tblBusinessUnits[BusinessUnitName],"")</f>
        <v>Retail</v>
      </c>
      <c r="P1088" s="8" t="str">
        <f>_xlfn.XLOOKUP(tblFinancials[[#This Row],[RegionKey]],tblRegions[RegionKey],tblRegions[RegionName],"")</f>
        <v>South</v>
      </c>
    </row>
    <row r="1089" spans="1:16">
      <c r="A1089">
        <v>20250701</v>
      </c>
      <c r="B1089">
        <v>5</v>
      </c>
      <c r="C1089">
        <v>1</v>
      </c>
      <c r="D1089">
        <v>1</v>
      </c>
      <c r="E1089">
        <v>12</v>
      </c>
      <c r="F1089" t="s">
        <v>92</v>
      </c>
      <c r="G1089">
        <v>36301.06</v>
      </c>
      <c r="H1089">
        <f>_xlfn.XLOOKUP(tblFinancials[[#This Row],[DateKey]],tblCalendar[DateKey],tblCalendar[FullDate],"")</f>
        <v>45839</v>
      </c>
      <c r="I1089">
        <f>_xlfn.XLOOKUP(tblFinancials[[#This Row],[AccountKey]],tblAccounts[AccountKey],tblAccounts[AccountNumber],"")</f>
        <v>4010</v>
      </c>
      <c r="J1089" t="str">
        <f>_xlfn.XLOOKUP(tblFinancials[[#This Row],[AccountKey]],tblAccounts[AccountKey],tblAccounts[AccountName],"")</f>
        <v>Service Revenue</v>
      </c>
      <c r="K1089" s="8" t="str">
        <f>_xlfn.XLOOKUP(tblFinancials[[#This Row],[AccountKey]],tblAccounts[AccountKey],tblAccounts[FinancialStatement],"")</f>
        <v>Income Statement</v>
      </c>
      <c r="L1089" s="8" t="str">
        <f>_xlfn.XLOOKUP(tblFinancials[[#This Row],[AccountKey]],tblAccounts[AccountKey],tblAccounts[AccountCategory],"")</f>
        <v>Revenue</v>
      </c>
      <c r="M1089" s="8" t="str">
        <f>_xlfn.XLOOKUP(tblFinancials[[#This Row],[AccountKey]],tblAccounts[AccountKey],tblAccounts[NormalBalance],"")</f>
        <v>Credit</v>
      </c>
      <c r="N1089" s="8" t="str">
        <f>_xlfn.XLOOKUP(tblFinancials[[#This Row],[DepartmentKey]],tblDepartments[DepartmentKey],tblDepartments[DepartmentName],"")</f>
        <v>Marketing</v>
      </c>
      <c r="O1089" s="8" t="str">
        <f>_xlfn.XLOOKUP(tblFinancials[[#This Row],[BusinessUnitKey]],tblBusinessUnits[BusinessUnitKey],tblBusinessUnits[BusinessUnitName],"")</f>
        <v xml:space="preserve">Manufacturing </v>
      </c>
      <c r="P1089" s="8" t="str">
        <f>_xlfn.XLOOKUP(tblFinancials[[#This Row],[RegionKey]],tblRegions[RegionKey],tblRegions[RegionName],"")</f>
        <v>West</v>
      </c>
    </row>
    <row r="1090" spans="1:16">
      <c r="A1090">
        <v>20250701</v>
      </c>
      <c r="B1090">
        <v>4</v>
      </c>
      <c r="C1090">
        <v>1</v>
      </c>
      <c r="D1090">
        <v>3</v>
      </c>
      <c r="E1090">
        <v>11</v>
      </c>
      <c r="F1090" t="s">
        <v>92</v>
      </c>
      <c r="G1090">
        <v>37641.129999999997</v>
      </c>
      <c r="H1090">
        <f>_xlfn.XLOOKUP(tblFinancials[[#This Row],[DateKey]],tblCalendar[DateKey],tblCalendar[FullDate],"")</f>
        <v>45839</v>
      </c>
      <c r="I1090">
        <f>_xlfn.XLOOKUP(tblFinancials[[#This Row],[AccountKey]],tblAccounts[AccountKey],tblAccounts[AccountNumber],"")</f>
        <v>4000</v>
      </c>
      <c r="J1090" t="str">
        <f>_xlfn.XLOOKUP(tblFinancials[[#This Row],[AccountKey]],tblAccounts[AccountKey],tblAccounts[AccountName],"")</f>
        <v>Product Revenue</v>
      </c>
      <c r="K1090" s="8" t="str">
        <f>_xlfn.XLOOKUP(tblFinancials[[#This Row],[AccountKey]],tblAccounts[AccountKey],tblAccounts[FinancialStatement],"")</f>
        <v>Income Statement</v>
      </c>
      <c r="L1090" s="8" t="str">
        <f>_xlfn.XLOOKUP(tblFinancials[[#This Row],[AccountKey]],tblAccounts[AccountKey],tblAccounts[AccountCategory],"")</f>
        <v>Revenue</v>
      </c>
      <c r="M1090" s="8" t="str">
        <f>_xlfn.XLOOKUP(tblFinancials[[#This Row],[AccountKey]],tblAccounts[AccountKey],tblAccounts[NormalBalance],"")</f>
        <v>Credit</v>
      </c>
      <c r="N1090" s="8" t="str">
        <f>_xlfn.XLOOKUP(tblFinancials[[#This Row],[DepartmentKey]],tblDepartments[DepartmentKey],tblDepartments[DepartmentName],"")</f>
        <v>Sales</v>
      </c>
      <c r="O1090" s="8" t="str">
        <f>_xlfn.XLOOKUP(tblFinancials[[#This Row],[BusinessUnitKey]],tblBusinessUnits[BusinessUnitKey],tblBusinessUnits[BusinessUnitName],"")</f>
        <v xml:space="preserve">Manufacturing </v>
      </c>
      <c r="P1090" s="8" t="str">
        <f>_xlfn.XLOOKUP(tblFinancials[[#This Row],[RegionKey]],tblRegions[RegionKey],tblRegions[RegionName],"")</f>
        <v>South</v>
      </c>
    </row>
    <row r="1091" spans="1:16">
      <c r="A1091">
        <v>20250701</v>
      </c>
      <c r="B1091">
        <v>3</v>
      </c>
      <c r="C1091">
        <v>3</v>
      </c>
      <c r="D1091">
        <v>1</v>
      </c>
      <c r="E1091">
        <v>12</v>
      </c>
      <c r="F1091" t="s">
        <v>92</v>
      </c>
      <c r="G1091">
        <v>36632.86</v>
      </c>
      <c r="H1091">
        <f>_xlfn.XLOOKUP(tblFinancials[[#This Row],[DateKey]],tblCalendar[DateKey],tblCalendar[FullDate],"")</f>
        <v>45839</v>
      </c>
      <c r="I1091">
        <f>_xlfn.XLOOKUP(tblFinancials[[#This Row],[AccountKey]],tblAccounts[AccountKey],tblAccounts[AccountNumber],"")</f>
        <v>4010</v>
      </c>
      <c r="J1091" t="str">
        <f>_xlfn.XLOOKUP(tblFinancials[[#This Row],[AccountKey]],tblAccounts[AccountKey],tblAccounts[AccountName],"")</f>
        <v>Service Revenue</v>
      </c>
      <c r="K1091" s="8" t="str">
        <f>_xlfn.XLOOKUP(tblFinancials[[#This Row],[AccountKey]],tblAccounts[AccountKey],tblAccounts[FinancialStatement],"")</f>
        <v>Income Statement</v>
      </c>
      <c r="L1091" s="8" t="str">
        <f>_xlfn.XLOOKUP(tblFinancials[[#This Row],[AccountKey]],tblAccounts[AccountKey],tblAccounts[AccountCategory],"")</f>
        <v>Revenue</v>
      </c>
      <c r="M1091" s="8" t="str">
        <f>_xlfn.XLOOKUP(tblFinancials[[#This Row],[AccountKey]],tblAccounts[AccountKey],tblAccounts[NormalBalance],"")</f>
        <v>Credit</v>
      </c>
      <c r="N1091" s="8" t="str">
        <f>_xlfn.XLOOKUP(tblFinancials[[#This Row],[DepartmentKey]],tblDepartments[DepartmentKey],tblDepartments[DepartmentName],"")</f>
        <v>Human Resources</v>
      </c>
      <c r="O1091" s="8" t="str">
        <f>_xlfn.XLOOKUP(tblFinancials[[#This Row],[BusinessUnitKey]],tblBusinessUnits[BusinessUnitKey],tblBusinessUnits[BusinessUnitName],"")</f>
        <v>Retail</v>
      </c>
      <c r="P1091" s="8" t="str">
        <f>_xlfn.XLOOKUP(tblFinancials[[#This Row],[RegionKey]],tblRegions[RegionKey],tblRegions[RegionName],"")</f>
        <v>West</v>
      </c>
    </row>
    <row r="1092" spans="1:16">
      <c r="A1092">
        <v>20250701</v>
      </c>
      <c r="B1092">
        <v>2</v>
      </c>
      <c r="C1092">
        <v>3</v>
      </c>
      <c r="D1092">
        <v>1</v>
      </c>
      <c r="E1092">
        <v>12</v>
      </c>
      <c r="F1092" t="s">
        <v>92</v>
      </c>
      <c r="G1092">
        <v>36525.269999999997</v>
      </c>
      <c r="H1092">
        <f>_xlfn.XLOOKUP(tblFinancials[[#This Row],[DateKey]],tblCalendar[DateKey],tblCalendar[FullDate],"")</f>
        <v>45839</v>
      </c>
      <c r="I1092">
        <f>_xlfn.XLOOKUP(tblFinancials[[#This Row],[AccountKey]],tblAccounts[AccountKey],tblAccounts[AccountNumber],"")</f>
        <v>4010</v>
      </c>
      <c r="J1092" t="str">
        <f>_xlfn.XLOOKUP(tblFinancials[[#This Row],[AccountKey]],tblAccounts[AccountKey],tblAccounts[AccountName],"")</f>
        <v>Service Revenue</v>
      </c>
      <c r="K1092" s="8" t="str">
        <f>_xlfn.XLOOKUP(tblFinancials[[#This Row],[AccountKey]],tblAccounts[AccountKey],tblAccounts[FinancialStatement],"")</f>
        <v>Income Statement</v>
      </c>
      <c r="L1092" s="8" t="str">
        <f>_xlfn.XLOOKUP(tblFinancials[[#This Row],[AccountKey]],tblAccounts[AccountKey],tblAccounts[AccountCategory],"")</f>
        <v>Revenue</v>
      </c>
      <c r="M1092" s="8" t="str">
        <f>_xlfn.XLOOKUP(tblFinancials[[#This Row],[AccountKey]],tblAccounts[AccountKey],tblAccounts[NormalBalance],"")</f>
        <v>Credit</v>
      </c>
      <c r="N1092" s="8" t="str">
        <f>_xlfn.XLOOKUP(tblFinancials[[#This Row],[DepartmentKey]],tblDepartments[DepartmentKey],tblDepartments[DepartmentName],"")</f>
        <v>Finance</v>
      </c>
      <c r="O1092" s="8" t="str">
        <f>_xlfn.XLOOKUP(tblFinancials[[#This Row],[BusinessUnitKey]],tblBusinessUnits[BusinessUnitKey],tblBusinessUnits[BusinessUnitName],"")</f>
        <v>Retail</v>
      </c>
      <c r="P1092" s="8" t="str">
        <f>_xlfn.XLOOKUP(tblFinancials[[#This Row],[RegionKey]],tblRegions[RegionKey],tblRegions[RegionName],"")</f>
        <v>West</v>
      </c>
    </row>
    <row r="1093" spans="1:16">
      <c r="A1093">
        <v>20250701</v>
      </c>
      <c r="B1093">
        <v>2</v>
      </c>
      <c r="C1093">
        <v>1</v>
      </c>
      <c r="D1093">
        <v>3</v>
      </c>
      <c r="E1093">
        <v>11</v>
      </c>
      <c r="F1093" t="s">
        <v>92</v>
      </c>
      <c r="G1093">
        <v>34725.64</v>
      </c>
      <c r="H1093">
        <f>_xlfn.XLOOKUP(tblFinancials[[#This Row],[DateKey]],tblCalendar[DateKey],tblCalendar[FullDate],"")</f>
        <v>45839</v>
      </c>
      <c r="I1093">
        <f>_xlfn.XLOOKUP(tblFinancials[[#This Row],[AccountKey]],tblAccounts[AccountKey],tblAccounts[AccountNumber],"")</f>
        <v>4000</v>
      </c>
      <c r="J1093" t="str">
        <f>_xlfn.XLOOKUP(tblFinancials[[#This Row],[AccountKey]],tblAccounts[AccountKey],tblAccounts[AccountName],"")</f>
        <v>Product Revenue</v>
      </c>
      <c r="K1093" s="8" t="str">
        <f>_xlfn.XLOOKUP(tblFinancials[[#This Row],[AccountKey]],tblAccounts[AccountKey],tblAccounts[FinancialStatement],"")</f>
        <v>Income Statement</v>
      </c>
      <c r="L1093" s="8" t="str">
        <f>_xlfn.XLOOKUP(tblFinancials[[#This Row],[AccountKey]],tblAccounts[AccountKey],tblAccounts[AccountCategory],"")</f>
        <v>Revenue</v>
      </c>
      <c r="M1093" s="8" t="str">
        <f>_xlfn.XLOOKUP(tblFinancials[[#This Row],[AccountKey]],tblAccounts[AccountKey],tblAccounts[NormalBalance],"")</f>
        <v>Credit</v>
      </c>
      <c r="N1093" s="8" t="str">
        <f>_xlfn.XLOOKUP(tblFinancials[[#This Row],[DepartmentKey]],tblDepartments[DepartmentKey],tblDepartments[DepartmentName],"")</f>
        <v>Finance</v>
      </c>
      <c r="O1093" s="8" t="str">
        <f>_xlfn.XLOOKUP(tblFinancials[[#This Row],[BusinessUnitKey]],tblBusinessUnits[BusinessUnitKey],tblBusinessUnits[BusinessUnitName],"")</f>
        <v xml:space="preserve">Manufacturing </v>
      </c>
      <c r="P1093" s="8" t="str">
        <f>_xlfn.XLOOKUP(tblFinancials[[#This Row],[RegionKey]],tblRegions[RegionKey],tblRegions[RegionName],"")</f>
        <v>South</v>
      </c>
    </row>
    <row r="1094" spans="1:16">
      <c r="A1094">
        <v>20250701</v>
      </c>
      <c r="B1094">
        <v>2</v>
      </c>
      <c r="C1094">
        <v>1</v>
      </c>
      <c r="D1094">
        <v>4</v>
      </c>
      <c r="E1094">
        <v>14</v>
      </c>
      <c r="F1094" t="s">
        <v>92</v>
      </c>
      <c r="G1094">
        <v>-21828.04</v>
      </c>
      <c r="H1094">
        <f>_xlfn.XLOOKUP(tblFinancials[[#This Row],[DateKey]],tblCalendar[DateKey],tblCalendar[FullDate],"")</f>
        <v>45839</v>
      </c>
      <c r="I1094">
        <f>_xlfn.XLOOKUP(tblFinancials[[#This Row],[AccountKey]],tblAccounts[AccountKey],tblAccounts[AccountNumber],"")</f>
        <v>5000</v>
      </c>
      <c r="J1094" t="str">
        <f>_xlfn.XLOOKUP(tblFinancials[[#This Row],[AccountKey]],tblAccounts[AccountKey],tblAccounts[AccountName],"")</f>
        <v>Cost of Goods Sold</v>
      </c>
      <c r="K1094" s="8" t="str">
        <f>_xlfn.XLOOKUP(tblFinancials[[#This Row],[AccountKey]],tblAccounts[AccountKey],tblAccounts[FinancialStatement],"")</f>
        <v>Income Statement</v>
      </c>
      <c r="L1094" s="8" t="str">
        <f>_xlfn.XLOOKUP(tblFinancials[[#This Row],[AccountKey]],tblAccounts[AccountKey],tblAccounts[AccountCategory],"")</f>
        <v>Cost of Sales</v>
      </c>
      <c r="M1094" s="8" t="str">
        <f>_xlfn.XLOOKUP(tblFinancials[[#This Row],[AccountKey]],tblAccounts[AccountKey],tblAccounts[NormalBalance],"")</f>
        <v>Debit</v>
      </c>
      <c r="N1094" s="8" t="str">
        <f>_xlfn.XLOOKUP(tblFinancials[[#This Row],[DepartmentKey]],tblDepartments[DepartmentKey],tblDepartments[DepartmentName],"")</f>
        <v>Finance</v>
      </c>
      <c r="O1094" s="8" t="str">
        <f>_xlfn.XLOOKUP(tblFinancials[[#This Row],[BusinessUnitKey]],tblBusinessUnits[BusinessUnitKey],tblBusinessUnits[BusinessUnitName],"")</f>
        <v xml:space="preserve">Manufacturing </v>
      </c>
      <c r="P1094" s="8" t="str">
        <f>_xlfn.XLOOKUP(tblFinancials[[#This Row],[RegionKey]],tblRegions[RegionKey],tblRegions[RegionName],"")</f>
        <v>East</v>
      </c>
    </row>
    <row r="1095" spans="1:16">
      <c r="A1095">
        <v>20250701</v>
      </c>
      <c r="B1095">
        <v>6</v>
      </c>
      <c r="C1095">
        <v>3</v>
      </c>
      <c r="D1095">
        <v>4</v>
      </c>
      <c r="E1095">
        <v>14</v>
      </c>
      <c r="F1095" t="s">
        <v>92</v>
      </c>
      <c r="G1095">
        <v>-21554.52</v>
      </c>
      <c r="H1095">
        <f>_xlfn.XLOOKUP(tblFinancials[[#This Row],[DateKey]],tblCalendar[DateKey],tblCalendar[FullDate],"")</f>
        <v>45839</v>
      </c>
      <c r="I1095">
        <f>_xlfn.XLOOKUP(tblFinancials[[#This Row],[AccountKey]],tblAccounts[AccountKey],tblAccounts[AccountNumber],"")</f>
        <v>5000</v>
      </c>
      <c r="J1095" t="str">
        <f>_xlfn.XLOOKUP(tblFinancials[[#This Row],[AccountKey]],tblAccounts[AccountKey],tblAccounts[AccountName],"")</f>
        <v>Cost of Goods Sold</v>
      </c>
      <c r="K1095" s="8" t="str">
        <f>_xlfn.XLOOKUP(tblFinancials[[#This Row],[AccountKey]],tblAccounts[AccountKey],tblAccounts[FinancialStatement],"")</f>
        <v>Income Statement</v>
      </c>
      <c r="L1095" s="8" t="str">
        <f>_xlfn.XLOOKUP(tblFinancials[[#This Row],[AccountKey]],tblAccounts[AccountKey],tblAccounts[AccountCategory],"")</f>
        <v>Cost of Sales</v>
      </c>
      <c r="M1095" s="8" t="str">
        <f>_xlfn.XLOOKUP(tblFinancials[[#This Row],[AccountKey]],tblAccounts[AccountKey],tblAccounts[NormalBalance],"")</f>
        <v>Debit</v>
      </c>
      <c r="N1095" s="8" t="str">
        <f>_xlfn.XLOOKUP(tblFinancials[[#This Row],[DepartmentKey]],tblDepartments[DepartmentKey],tblDepartments[DepartmentName],"")</f>
        <v>Operations</v>
      </c>
      <c r="O1095" s="8" t="str">
        <f>_xlfn.XLOOKUP(tblFinancials[[#This Row],[BusinessUnitKey]],tblBusinessUnits[BusinessUnitKey],tblBusinessUnits[BusinessUnitName],"")</f>
        <v>Retail</v>
      </c>
      <c r="P1095" s="8" t="str">
        <f>_xlfn.XLOOKUP(tblFinancials[[#This Row],[RegionKey]],tblRegions[RegionKey],tblRegions[RegionName],"")</f>
        <v>East</v>
      </c>
    </row>
    <row r="1096" spans="1:16">
      <c r="A1096">
        <v>20250701</v>
      </c>
      <c r="B1096">
        <v>6</v>
      </c>
      <c r="C1096">
        <v>4</v>
      </c>
      <c r="D1096">
        <v>4</v>
      </c>
      <c r="E1096">
        <v>14</v>
      </c>
      <c r="F1096" t="s">
        <v>92</v>
      </c>
      <c r="G1096">
        <v>-20711.939999999999</v>
      </c>
      <c r="H1096">
        <f>_xlfn.XLOOKUP(tblFinancials[[#This Row],[DateKey]],tblCalendar[DateKey],tblCalendar[FullDate],"")</f>
        <v>45839</v>
      </c>
      <c r="I1096">
        <f>_xlfn.XLOOKUP(tblFinancials[[#This Row],[AccountKey]],tblAccounts[AccountKey],tblAccounts[AccountNumber],"")</f>
        <v>5000</v>
      </c>
      <c r="J1096" t="str">
        <f>_xlfn.XLOOKUP(tblFinancials[[#This Row],[AccountKey]],tblAccounts[AccountKey],tblAccounts[AccountName],"")</f>
        <v>Cost of Goods Sold</v>
      </c>
      <c r="K1096" s="8" t="str">
        <f>_xlfn.XLOOKUP(tblFinancials[[#This Row],[AccountKey]],tblAccounts[AccountKey],tblAccounts[FinancialStatement],"")</f>
        <v>Income Statement</v>
      </c>
      <c r="L1096" s="8" t="str">
        <f>_xlfn.XLOOKUP(tblFinancials[[#This Row],[AccountKey]],tblAccounts[AccountKey],tblAccounts[AccountCategory],"")</f>
        <v>Cost of Sales</v>
      </c>
      <c r="M1096" s="8" t="str">
        <f>_xlfn.XLOOKUP(tblFinancials[[#This Row],[AccountKey]],tblAccounts[AccountKey],tblAccounts[NormalBalance],"")</f>
        <v>Debit</v>
      </c>
      <c r="N1096" s="8" t="str">
        <f>_xlfn.XLOOKUP(tblFinancials[[#This Row],[DepartmentKey]],tblDepartments[DepartmentKey],tblDepartments[DepartmentName],"")</f>
        <v>Operations</v>
      </c>
      <c r="O1096" s="8" t="str">
        <f>_xlfn.XLOOKUP(tblFinancials[[#This Row],[BusinessUnitKey]],tblBusinessUnits[BusinessUnitKey],tblBusinessUnits[BusinessUnitName],"")</f>
        <v>E-Commerce</v>
      </c>
      <c r="P1096" s="8" t="str">
        <f>_xlfn.XLOOKUP(tblFinancials[[#This Row],[RegionKey]],tblRegions[RegionKey],tblRegions[RegionName],"")</f>
        <v>East</v>
      </c>
    </row>
    <row r="1097" spans="1:16">
      <c r="A1097">
        <v>20250701</v>
      </c>
      <c r="B1097">
        <v>6</v>
      </c>
      <c r="C1097">
        <v>3</v>
      </c>
      <c r="D1097">
        <v>2</v>
      </c>
      <c r="E1097">
        <v>14</v>
      </c>
      <c r="F1097" t="s">
        <v>92</v>
      </c>
      <c r="G1097">
        <v>-21764.84</v>
      </c>
      <c r="H1097">
        <f>_xlfn.XLOOKUP(tblFinancials[[#This Row],[DateKey]],tblCalendar[DateKey],tblCalendar[FullDate],"")</f>
        <v>45839</v>
      </c>
      <c r="I1097">
        <f>_xlfn.XLOOKUP(tblFinancials[[#This Row],[AccountKey]],tblAccounts[AccountKey],tblAccounts[AccountNumber],"")</f>
        <v>5000</v>
      </c>
      <c r="J1097" t="str">
        <f>_xlfn.XLOOKUP(tblFinancials[[#This Row],[AccountKey]],tblAccounts[AccountKey],tblAccounts[AccountName],"")</f>
        <v>Cost of Goods Sold</v>
      </c>
      <c r="K1097" s="8" t="str">
        <f>_xlfn.XLOOKUP(tblFinancials[[#This Row],[AccountKey]],tblAccounts[AccountKey],tblAccounts[FinancialStatement],"")</f>
        <v>Income Statement</v>
      </c>
      <c r="L1097" s="8" t="str">
        <f>_xlfn.XLOOKUP(tblFinancials[[#This Row],[AccountKey]],tblAccounts[AccountKey],tblAccounts[AccountCategory],"")</f>
        <v>Cost of Sales</v>
      </c>
      <c r="M1097" s="8" t="str">
        <f>_xlfn.XLOOKUP(tblFinancials[[#This Row],[AccountKey]],tblAccounts[AccountKey],tblAccounts[NormalBalance],"")</f>
        <v>Debit</v>
      </c>
      <c r="N1097" s="8" t="str">
        <f>_xlfn.XLOOKUP(tblFinancials[[#This Row],[DepartmentKey]],tblDepartments[DepartmentKey],tblDepartments[DepartmentName],"")</f>
        <v>Operations</v>
      </c>
      <c r="O1097" s="8" t="str">
        <f>_xlfn.XLOOKUP(tblFinancials[[#This Row],[BusinessUnitKey]],tblBusinessUnits[BusinessUnitKey],tblBusinessUnits[BusinessUnitName],"")</f>
        <v>Retail</v>
      </c>
      <c r="P1097" s="8" t="str">
        <f>_xlfn.XLOOKUP(tblFinancials[[#This Row],[RegionKey]],tblRegions[RegionKey],tblRegions[RegionName],"")</f>
        <v>Midwest</v>
      </c>
    </row>
    <row r="1098" spans="1:16">
      <c r="A1098">
        <v>20250701</v>
      </c>
      <c r="B1098">
        <v>8</v>
      </c>
      <c r="C1098">
        <v>4</v>
      </c>
      <c r="D1098">
        <v>4</v>
      </c>
      <c r="E1098">
        <v>14</v>
      </c>
      <c r="F1098" t="s">
        <v>92</v>
      </c>
      <c r="G1098">
        <v>-22627.02</v>
      </c>
      <c r="H1098">
        <f>_xlfn.XLOOKUP(tblFinancials[[#This Row],[DateKey]],tblCalendar[DateKey],tblCalendar[FullDate],"")</f>
        <v>45839</v>
      </c>
      <c r="I1098">
        <f>_xlfn.XLOOKUP(tblFinancials[[#This Row],[AccountKey]],tblAccounts[AccountKey],tblAccounts[AccountNumber],"")</f>
        <v>5000</v>
      </c>
      <c r="J1098" t="str">
        <f>_xlfn.XLOOKUP(tblFinancials[[#This Row],[AccountKey]],tblAccounts[AccountKey],tblAccounts[AccountName],"")</f>
        <v>Cost of Goods Sold</v>
      </c>
      <c r="K1098" s="8" t="str">
        <f>_xlfn.XLOOKUP(tblFinancials[[#This Row],[AccountKey]],tblAccounts[AccountKey],tblAccounts[FinancialStatement],"")</f>
        <v>Income Statement</v>
      </c>
      <c r="L1098" s="8" t="str">
        <f>_xlfn.XLOOKUP(tblFinancials[[#This Row],[AccountKey]],tblAccounts[AccountKey],tblAccounts[AccountCategory],"")</f>
        <v>Cost of Sales</v>
      </c>
      <c r="M1098" s="8" t="str">
        <f>_xlfn.XLOOKUP(tblFinancials[[#This Row],[AccountKey]],tblAccounts[AccountKey],tblAccounts[NormalBalance],"")</f>
        <v>Debit</v>
      </c>
      <c r="N1098" s="8" t="str">
        <f>_xlfn.XLOOKUP(tblFinancials[[#This Row],[DepartmentKey]],tblDepartments[DepartmentKey],tblDepartments[DepartmentName],"")</f>
        <v>Customer Service</v>
      </c>
      <c r="O1098" s="8" t="str">
        <f>_xlfn.XLOOKUP(tblFinancials[[#This Row],[BusinessUnitKey]],tblBusinessUnits[BusinessUnitKey],tblBusinessUnits[BusinessUnitName],"")</f>
        <v>E-Commerce</v>
      </c>
      <c r="P1098" s="8" t="str">
        <f>_xlfn.XLOOKUP(tblFinancials[[#This Row],[RegionKey]],tblRegions[RegionKey],tblRegions[RegionName],"")</f>
        <v>East</v>
      </c>
    </row>
    <row r="1099" spans="1:16">
      <c r="A1099">
        <v>20250701</v>
      </c>
      <c r="B1099">
        <v>1</v>
      </c>
      <c r="C1099">
        <v>1</v>
      </c>
      <c r="D1099">
        <v>2</v>
      </c>
      <c r="E1099">
        <v>14</v>
      </c>
      <c r="F1099" t="s">
        <v>92</v>
      </c>
      <c r="G1099">
        <v>-21230.92</v>
      </c>
      <c r="H1099">
        <f>_xlfn.XLOOKUP(tblFinancials[[#This Row],[DateKey]],tblCalendar[DateKey],tblCalendar[FullDate],"")</f>
        <v>45839</v>
      </c>
      <c r="I1099">
        <f>_xlfn.XLOOKUP(tblFinancials[[#This Row],[AccountKey]],tblAccounts[AccountKey],tblAccounts[AccountNumber],"")</f>
        <v>5000</v>
      </c>
      <c r="J1099" t="str">
        <f>_xlfn.XLOOKUP(tblFinancials[[#This Row],[AccountKey]],tblAccounts[AccountKey],tblAccounts[AccountName],"")</f>
        <v>Cost of Goods Sold</v>
      </c>
      <c r="K1099" s="8" t="str">
        <f>_xlfn.XLOOKUP(tblFinancials[[#This Row],[AccountKey]],tblAccounts[AccountKey],tblAccounts[FinancialStatement],"")</f>
        <v>Income Statement</v>
      </c>
      <c r="L1099" s="8" t="str">
        <f>_xlfn.XLOOKUP(tblFinancials[[#This Row],[AccountKey]],tblAccounts[AccountKey],tblAccounts[AccountCategory],"")</f>
        <v>Cost of Sales</v>
      </c>
      <c r="M1099" s="8" t="str">
        <f>_xlfn.XLOOKUP(tblFinancials[[#This Row],[AccountKey]],tblAccounts[AccountKey],tblAccounts[NormalBalance],"")</f>
        <v>Debit</v>
      </c>
      <c r="N1099" s="8" t="str">
        <f>_xlfn.XLOOKUP(tblFinancials[[#This Row],[DepartmentKey]],tblDepartments[DepartmentKey],tblDepartments[DepartmentName],"")</f>
        <v>Executive</v>
      </c>
      <c r="O1099" s="8" t="str">
        <f>_xlfn.XLOOKUP(tblFinancials[[#This Row],[BusinessUnitKey]],tblBusinessUnits[BusinessUnitKey],tblBusinessUnits[BusinessUnitName],"")</f>
        <v xml:space="preserve">Manufacturing </v>
      </c>
      <c r="P1099" s="8" t="str">
        <f>_xlfn.XLOOKUP(tblFinancials[[#This Row],[RegionKey]],tblRegions[RegionKey],tblRegions[RegionName],"")</f>
        <v>Midwest</v>
      </c>
    </row>
    <row r="1100" spans="1:16">
      <c r="A1100">
        <v>20250701</v>
      </c>
      <c r="B1100">
        <v>5</v>
      </c>
      <c r="C1100">
        <v>4</v>
      </c>
      <c r="D1100">
        <v>4</v>
      </c>
      <c r="E1100">
        <v>14</v>
      </c>
      <c r="F1100" t="s">
        <v>92</v>
      </c>
      <c r="G1100">
        <v>-22223.439999999999</v>
      </c>
      <c r="H1100">
        <f>_xlfn.XLOOKUP(tblFinancials[[#This Row],[DateKey]],tblCalendar[DateKey],tblCalendar[FullDate],"")</f>
        <v>45839</v>
      </c>
      <c r="I1100">
        <f>_xlfn.XLOOKUP(tblFinancials[[#This Row],[AccountKey]],tblAccounts[AccountKey],tblAccounts[AccountNumber],"")</f>
        <v>5000</v>
      </c>
      <c r="J1100" t="str">
        <f>_xlfn.XLOOKUP(tblFinancials[[#This Row],[AccountKey]],tblAccounts[AccountKey],tblAccounts[AccountName],"")</f>
        <v>Cost of Goods Sold</v>
      </c>
      <c r="K1100" s="8" t="str">
        <f>_xlfn.XLOOKUP(tblFinancials[[#This Row],[AccountKey]],tblAccounts[AccountKey],tblAccounts[FinancialStatement],"")</f>
        <v>Income Statement</v>
      </c>
      <c r="L1100" s="8" t="str">
        <f>_xlfn.XLOOKUP(tblFinancials[[#This Row],[AccountKey]],tblAccounts[AccountKey],tblAccounts[AccountCategory],"")</f>
        <v>Cost of Sales</v>
      </c>
      <c r="M1100" s="8" t="str">
        <f>_xlfn.XLOOKUP(tblFinancials[[#This Row],[AccountKey]],tblAccounts[AccountKey],tblAccounts[NormalBalance],"")</f>
        <v>Debit</v>
      </c>
      <c r="N1100" s="8" t="str">
        <f>_xlfn.XLOOKUP(tblFinancials[[#This Row],[DepartmentKey]],tblDepartments[DepartmentKey],tblDepartments[DepartmentName],"")</f>
        <v>Marketing</v>
      </c>
      <c r="O1100" s="8" t="str">
        <f>_xlfn.XLOOKUP(tblFinancials[[#This Row],[BusinessUnitKey]],tblBusinessUnits[BusinessUnitKey],tblBusinessUnits[BusinessUnitName],"")</f>
        <v>E-Commerce</v>
      </c>
      <c r="P1100" s="8" t="str">
        <f>_xlfn.XLOOKUP(tblFinancials[[#This Row],[RegionKey]],tblRegions[RegionKey],tblRegions[RegionName],"")</f>
        <v>East</v>
      </c>
    </row>
    <row r="1101" spans="1:16">
      <c r="A1101">
        <v>20250701</v>
      </c>
      <c r="B1101">
        <v>6</v>
      </c>
      <c r="C1101">
        <v>4</v>
      </c>
      <c r="D1101">
        <v>3</v>
      </c>
      <c r="E1101">
        <v>14</v>
      </c>
      <c r="F1101" t="s">
        <v>92</v>
      </c>
      <c r="G1101">
        <v>-22555.4</v>
      </c>
      <c r="H1101">
        <f>_xlfn.XLOOKUP(tblFinancials[[#This Row],[DateKey]],tblCalendar[DateKey],tblCalendar[FullDate],"")</f>
        <v>45839</v>
      </c>
      <c r="I1101">
        <f>_xlfn.XLOOKUP(tblFinancials[[#This Row],[AccountKey]],tblAccounts[AccountKey],tblAccounts[AccountNumber],"")</f>
        <v>5000</v>
      </c>
      <c r="J1101" t="str">
        <f>_xlfn.XLOOKUP(tblFinancials[[#This Row],[AccountKey]],tblAccounts[AccountKey],tblAccounts[AccountName],"")</f>
        <v>Cost of Goods Sold</v>
      </c>
      <c r="K1101" s="8" t="str">
        <f>_xlfn.XLOOKUP(tblFinancials[[#This Row],[AccountKey]],tblAccounts[AccountKey],tblAccounts[FinancialStatement],"")</f>
        <v>Income Statement</v>
      </c>
      <c r="L1101" s="8" t="str">
        <f>_xlfn.XLOOKUP(tblFinancials[[#This Row],[AccountKey]],tblAccounts[AccountKey],tblAccounts[AccountCategory],"")</f>
        <v>Cost of Sales</v>
      </c>
      <c r="M1101" s="8" t="str">
        <f>_xlfn.XLOOKUP(tblFinancials[[#This Row],[AccountKey]],tblAccounts[AccountKey],tblAccounts[NormalBalance],"")</f>
        <v>Debit</v>
      </c>
      <c r="N1101" s="8" t="str">
        <f>_xlfn.XLOOKUP(tblFinancials[[#This Row],[DepartmentKey]],tblDepartments[DepartmentKey],tblDepartments[DepartmentName],"")</f>
        <v>Operations</v>
      </c>
      <c r="O1101" s="8" t="str">
        <f>_xlfn.XLOOKUP(tblFinancials[[#This Row],[BusinessUnitKey]],tblBusinessUnits[BusinessUnitKey],tblBusinessUnits[BusinessUnitName],"")</f>
        <v>E-Commerce</v>
      </c>
      <c r="P1101" s="8" t="str">
        <f>_xlfn.XLOOKUP(tblFinancials[[#This Row],[RegionKey]],tblRegions[RegionKey],tblRegions[RegionName],"")</f>
        <v>South</v>
      </c>
    </row>
    <row r="1102" spans="1:16">
      <c r="A1102">
        <v>20250701</v>
      </c>
      <c r="B1102">
        <v>8</v>
      </c>
      <c r="C1102">
        <v>1</v>
      </c>
      <c r="D1102">
        <v>3</v>
      </c>
      <c r="E1102">
        <v>14</v>
      </c>
      <c r="F1102" t="s">
        <v>92</v>
      </c>
      <c r="G1102">
        <v>-21411.07</v>
      </c>
      <c r="H1102">
        <f>_xlfn.XLOOKUP(tblFinancials[[#This Row],[DateKey]],tblCalendar[DateKey],tblCalendar[FullDate],"")</f>
        <v>45839</v>
      </c>
      <c r="I1102">
        <f>_xlfn.XLOOKUP(tblFinancials[[#This Row],[AccountKey]],tblAccounts[AccountKey],tblAccounts[AccountNumber],"")</f>
        <v>5000</v>
      </c>
      <c r="J1102" t="str">
        <f>_xlfn.XLOOKUP(tblFinancials[[#This Row],[AccountKey]],tblAccounts[AccountKey],tblAccounts[AccountName],"")</f>
        <v>Cost of Goods Sold</v>
      </c>
      <c r="K1102" s="8" t="str">
        <f>_xlfn.XLOOKUP(tblFinancials[[#This Row],[AccountKey]],tblAccounts[AccountKey],tblAccounts[FinancialStatement],"")</f>
        <v>Income Statement</v>
      </c>
      <c r="L1102" s="8" t="str">
        <f>_xlfn.XLOOKUP(tblFinancials[[#This Row],[AccountKey]],tblAccounts[AccountKey],tblAccounts[AccountCategory],"")</f>
        <v>Cost of Sales</v>
      </c>
      <c r="M1102" s="8" t="str">
        <f>_xlfn.XLOOKUP(tblFinancials[[#This Row],[AccountKey]],tblAccounts[AccountKey],tblAccounts[NormalBalance],"")</f>
        <v>Debit</v>
      </c>
      <c r="N1102" s="8" t="str">
        <f>_xlfn.XLOOKUP(tblFinancials[[#This Row],[DepartmentKey]],tblDepartments[DepartmentKey],tblDepartments[DepartmentName],"")</f>
        <v>Customer Service</v>
      </c>
      <c r="O1102" s="8" t="str">
        <f>_xlfn.XLOOKUP(tblFinancials[[#This Row],[BusinessUnitKey]],tblBusinessUnits[BusinessUnitKey],tblBusinessUnits[BusinessUnitName],"")</f>
        <v xml:space="preserve">Manufacturing </v>
      </c>
      <c r="P1102" s="8" t="str">
        <f>_xlfn.XLOOKUP(tblFinancials[[#This Row],[RegionKey]],tblRegions[RegionKey],tblRegions[RegionName],"")</f>
        <v>South</v>
      </c>
    </row>
    <row r="1103" spans="1:16">
      <c r="A1103">
        <v>20250701</v>
      </c>
      <c r="B1103">
        <v>6</v>
      </c>
      <c r="C1103">
        <v>1</v>
      </c>
      <c r="D1103">
        <v>3</v>
      </c>
      <c r="E1103">
        <v>14</v>
      </c>
      <c r="F1103" t="s">
        <v>92</v>
      </c>
      <c r="G1103">
        <v>-20892.48</v>
      </c>
      <c r="H1103">
        <f>_xlfn.XLOOKUP(tblFinancials[[#This Row],[DateKey]],tblCalendar[DateKey],tblCalendar[FullDate],"")</f>
        <v>45839</v>
      </c>
      <c r="I1103">
        <f>_xlfn.XLOOKUP(tblFinancials[[#This Row],[AccountKey]],tblAccounts[AccountKey],tblAccounts[AccountNumber],"")</f>
        <v>5000</v>
      </c>
      <c r="J1103" t="str">
        <f>_xlfn.XLOOKUP(tblFinancials[[#This Row],[AccountKey]],tblAccounts[AccountKey],tblAccounts[AccountName],"")</f>
        <v>Cost of Goods Sold</v>
      </c>
      <c r="K1103" s="8" t="str">
        <f>_xlfn.XLOOKUP(tblFinancials[[#This Row],[AccountKey]],tblAccounts[AccountKey],tblAccounts[FinancialStatement],"")</f>
        <v>Income Statement</v>
      </c>
      <c r="L1103" s="8" t="str">
        <f>_xlfn.XLOOKUP(tblFinancials[[#This Row],[AccountKey]],tblAccounts[AccountKey],tblAccounts[AccountCategory],"")</f>
        <v>Cost of Sales</v>
      </c>
      <c r="M1103" s="8" t="str">
        <f>_xlfn.XLOOKUP(tblFinancials[[#This Row],[AccountKey]],tblAccounts[AccountKey],tblAccounts[NormalBalance],"")</f>
        <v>Debit</v>
      </c>
      <c r="N1103" s="8" t="str">
        <f>_xlfn.XLOOKUP(tblFinancials[[#This Row],[DepartmentKey]],tblDepartments[DepartmentKey],tblDepartments[DepartmentName],"")</f>
        <v>Operations</v>
      </c>
      <c r="O1103" s="8" t="str">
        <f>_xlfn.XLOOKUP(tblFinancials[[#This Row],[BusinessUnitKey]],tblBusinessUnits[BusinessUnitKey],tblBusinessUnits[BusinessUnitName],"")</f>
        <v xml:space="preserve">Manufacturing </v>
      </c>
      <c r="P1103" s="8" t="str">
        <f>_xlfn.XLOOKUP(tblFinancials[[#This Row],[RegionKey]],tblRegions[RegionKey],tblRegions[RegionName],"")</f>
        <v>South</v>
      </c>
    </row>
    <row r="1104" spans="1:16">
      <c r="A1104">
        <v>20250701</v>
      </c>
      <c r="B1104">
        <v>5</v>
      </c>
      <c r="C1104">
        <v>4</v>
      </c>
      <c r="D1104">
        <v>2</v>
      </c>
      <c r="E1104">
        <v>14</v>
      </c>
      <c r="F1104" t="s">
        <v>92</v>
      </c>
      <c r="G1104">
        <v>-20482.04</v>
      </c>
      <c r="H1104">
        <f>_xlfn.XLOOKUP(tblFinancials[[#This Row],[DateKey]],tblCalendar[DateKey],tblCalendar[FullDate],"")</f>
        <v>45839</v>
      </c>
      <c r="I1104">
        <f>_xlfn.XLOOKUP(tblFinancials[[#This Row],[AccountKey]],tblAccounts[AccountKey],tblAccounts[AccountNumber],"")</f>
        <v>5000</v>
      </c>
      <c r="J1104" t="str">
        <f>_xlfn.XLOOKUP(tblFinancials[[#This Row],[AccountKey]],tblAccounts[AccountKey],tblAccounts[AccountName],"")</f>
        <v>Cost of Goods Sold</v>
      </c>
      <c r="K1104" s="8" t="str">
        <f>_xlfn.XLOOKUP(tblFinancials[[#This Row],[AccountKey]],tblAccounts[AccountKey],tblAccounts[FinancialStatement],"")</f>
        <v>Income Statement</v>
      </c>
      <c r="L1104" s="8" t="str">
        <f>_xlfn.XLOOKUP(tblFinancials[[#This Row],[AccountKey]],tblAccounts[AccountKey],tblAccounts[AccountCategory],"")</f>
        <v>Cost of Sales</v>
      </c>
      <c r="M1104" s="8" t="str">
        <f>_xlfn.XLOOKUP(tblFinancials[[#This Row],[AccountKey]],tblAccounts[AccountKey],tblAccounts[NormalBalance],"")</f>
        <v>Debit</v>
      </c>
      <c r="N1104" s="8" t="str">
        <f>_xlfn.XLOOKUP(tblFinancials[[#This Row],[DepartmentKey]],tblDepartments[DepartmentKey],tblDepartments[DepartmentName],"")</f>
        <v>Marketing</v>
      </c>
      <c r="O1104" s="8" t="str">
        <f>_xlfn.XLOOKUP(tblFinancials[[#This Row],[BusinessUnitKey]],tblBusinessUnits[BusinessUnitKey],tblBusinessUnits[BusinessUnitName],"")</f>
        <v>E-Commerce</v>
      </c>
      <c r="P1104" s="8" t="str">
        <f>_xlfn.XLOOKUP(tblFinancials[[#This Row],[RegionKey]],tblRegions[RegionKey],tblRegions[RegionName],"")</f>
        <v>Midwest</v>
      </c>
    </row>
    <row r="1105" spans="1:16">
      <c r="A1105">
        <v>20250701</v>
      </c>
      <c r="B1105">
        <v>3</v>
      </c>
      <c r="C1105">
        <v>2</v>
      </c>
      <c r="D1105">
        <v>4</v>
      </c>
      <c r="E1105">
        <v>14</v>
      </c>
      <c r="F1105" t="s">
        <v>92</v>
      </c>
      <c r="G1105">
        <v>-20749.009999999998</v>
      </c>
      <c r="H1105">
        <f>_xlfn.XLOOKUP(tblFinancials[[#This Row],[DateKey]],tblCalendar[DateKey],tblCalendar[FullDate],"")</f>
        <v>45839</v>
      </c>
      <c r="I1105">
        <f>_xlfn.XLOOKUP(tblFinancials[[#This Row],[AccountKey]],tblAccounts[AccountKey],tblAccounts[AccountNumber],"")</f>
        <v>5000</v>
      </c>
      <c r="J1105" t="str">
        <f>_xlfn.XLOOKUP(tblFinancials[[#This Row],[AccountKey]],tblAccounts[AccountKey],tblAccounts[AccountName],"")</f>
        <v>Cost of Goods Sold</v>
      </c>
      <c r="K1105" s="8" t="str">
        <f>_xlfn.XLOOKUP(tblFinancials[[#This Row],[AccountKey]],tblAccounts[AccountKey],tblAccounts[FinancialStatement],"")</f>
        <v>Income Statement</v>
      </c>
      <c r="L1105" s="8" t="str">
        <f>_xlfn.XLOOKUP(tblFinancials[[#This Row],[AccountKey]],tblAccounts[AccountKey],tblAccounts[AccountCategory],"")</f>
        <v>Cost of Sales</v>
      </c>
      <c r="M1105" s="8" t="str">
        <f>_xlfn.XLOOKUP(tblFinancials[[#This Row],[AccountKey]],tblAccounts[AccountKey],tblAccounts[NormalBalance],"")</f>
        <v>Debit</v>
      </c>
      <c r="N1105" s="8" t="str">
        <f>_xlfn.XLOOKUP(tblFinancials[[#This Row],[DepartmentKey]],tblDepartments[DepartmentKey],tblDepartments[DepartmentName],"")</f>
        <v>Human Resources</v>
      </c>
      <c r="O1105" s="8" t="str">
        <f>_xlfn.XLOOKUP(tblFinancials[[#This Row],[BusinessUnitKey]],tblBusinessUnits[BusinessUnitKey],tblBusinessUnits[BusinessUnitName],"")</f>
        <v>Wholesale</v>
      </c>
      <c r="P1105" s="8" t="str">
        <f>_xlfn.XLOOKUP(tblFinancials[[#This Row],[RegionKey]],tblRegions[RegionKey],tblRegions[RegionName],"")</f>
        <v>East</v>
      </c>
    </row>
    <row r="1106" spans="1:16">
      <c r="A1106">
        <v>20250701</v>
      </c>
      <c r="B1106">
        <v>1</v>
      </c>
      <c r="C1106">
        <v>2</v>
      </c>
      <c r="D1106">
        <v>4</v>
      </c>
      <c r="E1106">
        <v>21</v>
      </c>
      <c r="F1106" t="s">
        <v>92</v>
      </c>
      <c r="G1106">
        <v>-9009.91</v>
      </c>
      <c r="H1106">
        <f>_xlfn.XLOOKUP(tblFinancials[[#This Row],[DateKey]],tblCalendar[DateKey],tblCalendar[FullDate],"")</f>
        <v>45839</v>
      </c>
      <c r="I1106">
        <f>_xlfn.XLOOKUP(tblFinancials[[#This Row],[AccountKey]],tblAccounts[AccountKey],tblAccounts[AccountNumber],"")</f>
        <v>6600</v>
      </c>
      <c r="J1106" t="str">
        <f>_xlfn.XLOOKUP(tblFinancials[[#This Row],[AccountKey]],tblAccounts[AccountKey],tblAccounts[AccountName],"")</f>
        <v>Utilities Expense</v>
      </c>
      <c r="K1106" s="8" t="str">
        <f>_xlfn.XLOOKUP(tblFinancials[[#This Row],[AccountKey]],tblAccounts[AccountKey],tblAccounts[FinancialStatement],"")</f>
        <v>Income Statement</v>
      </c>
      <c r="L1106" s="8" t="str">
        <f>_xlfn.XLOOKUP(tblFinancials[[#This Row],[AccountKey]],tblAccounts[AccountKey],tblAccounts[AccountCategory],"")</f>
        <v>Operating Expense</v>
      </c>
      <c r="M1106" s="8" t="str">
        <f>_xlfn.XLOOKUP(tblFinancials[[#This Row],[AccountKey]],tblAccounts[AccountKey],tblAccounts[NormalBalance],"")</f>
        <v>Debit</v>
      </c>
      <c r="N1106" s="8" t="str">
        <f>_xlfn.XLOOKUP(tblFinancials[[#This Row],[DepartmentKey]],tblDepartments[DepartmentKey],tblDepartments[DepartmentName],"")</f>
        <v>Executive</v>
      </c>
      <c r="O1106" s="8" t="str">
        <f>_xlfn.XLOOKUP(tblFinancials[[#This Row],[BusinessUnitKey]],tblBusinessUnits[BusinessUnitKey],tblBusinessUnits[BusinessUnitName],"")</f>
        <v>Wholesale</v>
      </c>
      <c r="P1106" s="8" t="str">
        <f>_xlfn.XLOOKUP(tblFinancials[[#This Row],[RegionKey]],tblRegions[RegionKey],tblRegions[RegionName],"")</f>
        <v>East</v>
      </c>
    </row>
    <row r="1107" spans="1:16">
      <c r="A1107">
        <v>20250701</v>
      </c>
      <c r="B1107">
        <v>6</v>
      </c>
      <c r="C1107">
        <v>1</v>
      </c>
      <c r="D1107">
        <v>4</v>
      </c>
      <c r="E1107">
        <v>18</v>
      </c>
      <c r="F1107" t="s">
        <v>92</v>
      </c>
      <c r="G1107">
        <v>-7690.82</v>
      </c>
      <c r="H1107">
        <f>_xlfn.XLOOKUP(tblFinancials[[#This Row],[DateKey]],tblCalendar[DateKey],tblCalendar[FullDate],"")</f>
        <v>45839</v>
      </c>
      <c r="I1107">
        <f>_xlfn.XLOOKUP(tblFinancials[[#This Row],[AccountKey]],tblAccounts[AccountKey],tblAccounts[AccountNumber],"")</f>
        <v>6200</v>
      </c>
      <c r="J1107" t="str">
        <f>_xlfn.XLOOKUP(tblFinancials[[#This Row],[AccountKey]],tblAccounts[AccountKey],tblAccounts[AccountName],"")</f>
        <v>Marketing Expense</v>
      </c>
      <c r="K1107" s="8" t="str">
        <f>_xlfn.XLOOKUP(tblFinancials[[#This Row],[AccountKey]],tblAccounts[AccountKey],tblAccounts[FinancialStatement],"")</f>
        <v>Income Statement</v>
      </c>
      <c r="L1107" s="8" t="str">
        <f>_xlfn.XLOOKUP(tblFinancials[[#This Row],[AccountKey]],tblAccounts[AccountKey],tblAccounts[AccountCategory],"")</f>
        <v>Operating Expense</v>
      </c>
      <c r="M1107" s="8" t="str">
        <f>_xlfn.XLOOKUP(tblFinancials[[#This Row],[AccountKey]],tblAccounts[AccountKey],tblAccounts[NormalBalance],"")</f>
        <v>Debit</v>
      </c>
      <c r="N1107" s="8" t="str">
        <f>_xlfn.XLOOKUP(tblFinancials[[#This Row],[DepartmentKey]],tblDepartments[DepartmentKey],tblDepartments[DepartmentName],"")</f>
        <v>Operations</v>
      </c>
      <c r="O1107" s="8" t="str">
        <f>_xlfn.XLOOKUP(tblFinancials[[#This Row],[BusinessUnitKey]],tblBusinessUnits[BusinessUnitKey],tblBusinessUnits[BusinessUnitName],"")</f>
        <v xml:space="preserve">Manufacturing </v>
      </c>
      <c r="P1107" s="8" t="str">
        <f>_xlfn.XLOOKUP(tblFinancials[[#This Row],[RegionKey]],tblRegions[RegionKey],tblRegions[RegionName],"")</f>
        <v>East</v>
      </c>
    </row>
    <row r="1108" spans="1:16">
      <c r="A1108">
        <v>20250701</v>
      </c>
      <c r="B1108">
        <v>3</v>
      </c>
      <c r="C1108">
        <v>2</v>
      </c>
      <c r="D1108">
        <v>2</v>
      </c>
      <c r="E1108">
        <v>24</v>
      </c>
      <c r="F1108" t="s">
        <v>92</v>
      </c>
      <c r="G1108">
        <v>-9658.15</v>
      </c>
      <c r="H1108">
        <f>_xlfn.XLOOKUP(tblFinancials[[#This Row],[DateKey]],tblCalendar[DateKey],tblCalendar[FullDate],"")</f>
        <v>45839</v>
      </c>
      <c r="I1108">
        <f>_xlfn.XLOOKUP(tblFinancials[[#This Row],[AccountKey]],tblAccounts[AccountKey],tblAccounts[AccountNumber],"")</f>
        <v>6900</v>
      </c>
      <c r="J1108" t="str">
        <f>_xlfn.XLOOKUP(tblFinancials[[#This Row],[AccountKey]],tblAccounts[AccountKey],tblAccounts[AccountName],"")</f>
        <v>Professional Services</v>
      </c>
      <c r="K1108" s="8" t="str">
        <f>_xlfn.XLOOKUP(tblFinancials[[#This Row],[AccountKey]],tblAccounts[AccountKey],tblAccounts[FinancialStatement],"")</f>
        <v>Income Statement</v>
      </c>
      <c r="L1108" s="8" t="str">
        <f>_xlfn.XLOOKUP(tblFinancials[[#This Row],[AccountKey]],tblAccounts[AccountKey],tblAccounts[AccountCategory],"")</f>
        <v>Operating Expense</v>
      </c>
      <c r="M1108" s="8" t="str">
        <f>_xlfn.XLOOKUP(tblFinancials[[#This Row],[AccountKey]],tblAccounts[AccountKey],tblAccounts[NormalBalance],"")</f>
        <v>Debit</v>
      </c>
      <c r="N1108" s="8" t="str">
        <f>_xlfn.XLOOKUP(tblFinancials[[#This Row],[DepartmentKey]],tblDepartments[DepartmentKey],tblDepartments[DepartmentName],"")</f>
        <v>Human Resources</v>
      </c>
      <c r="O1108" s="8" t="str">
        <f>_xlfn.XLOOKUP(tblFinancials[[#This Row],[BusinessUnitKey]],tblBusinessUnits[BusinessUnitKey],tblBusinessUnits[BusinessUnitName],"")</f>
        <v>Wholesale</v>
      </c>
      <c r="P1108" s="8" t="str">
        <f>_xlfn.XLOOKUP(tblFinancials[[#This Row],[RegionKey]],tblRegions[RegionKey],tblRegions[RegionName],"")</f>
        <v>Midwest</v>
      </c>
    </row>
    <row r="1109" spans="1:16">
      <c r="A1109">
        <v>20250701</v>
      </c>
      <c r="B1109">
        <v>4</v>
      </c>
      <c r="C1109">
        <v>4</v>
      </c>
      <c r="D1109">
        <v>2</v>
      </c>
      <c r="E1109">
        <v>17</v>
      </c>
      <c r="F1109" t="s">
        <v>92</v>
      </c>
      <c r="G1109">
        <v>-7491.87</v>
      </c>
      <c r="H1109">
        <f>_xlfn.XLOOKUP(tblFinancials[[#This Row],[DateKey]],tblCalendar[DateKey],tblCalendar[FullDate],"")</f>
        <v>45839</v>
      </c>
      <c r="I1109">
        <f>_xlfn.XLOOKUP(tblFinancials[[#This Row],[AccountKey]],tblAccounts[AccountKey],tblAccounts[AccountNumber],"")</f>
        <v>6120</v>
      </c>
      <c r="J1109" t="str">
        <f>_xlfn.XLOOKUP(tblFinancials[[#This Row],[AccountKey]],tblAccounts[AccountKey],tblAccounts[AccountName],"")</f>
        <v>Employee Benefits</v>
      </c>
      <c r="K1109" s="8" t="str">
        <f>_xlfn.XLOOKUP(tblFinancials[[#This Row],[AccountKey]],tblAccounts[AccountKey],tblAccounts[FinancialStatement],"")</f>
        <v>Income Statement</v>
      </c>
      <c r="L1109" s="8" t="str">
        <f>_xlfn.XLOOKUP(tblFinancials[[#This Row],[AccountKey]],tblAccounts[AccountKey],tblAccounts[AccountCategory],"")</f>
        <v>Operating Expense</v>
      </c>
      <c r="M1109" s="8" t="str">
        <f>_xlfn.XLOOKUP(tblFinancials[[#This Row],[AccountKey]],tblAccounts[AccountKey],tblAccounts[NormalBalance],"")</f>
        <v>Debit</v>
      </c>
      <c r="N1109" s="8" t="str">
        <f>_xlfn.XLOOKUP(tblFinancials[[#This Row],[DepartmentKey]],tblDepartments[DepartmentKey],tblDepartments[DepartmentName],"")</f>
        <v>Sales</v>
      </c>
      <c r="O1109" s="8" t="str">
        <f>_xlfn.XLOOKUP(tblFinancials[[#This Row],[BusinessUnitKey]],tblBusinessUnits[BusinessUnitKey],tblBusinessUnits[BusinessUnitName],"")</f>
        <v>E-Commerce</v>
      </c>
      <c r="P1109" s="8" t="str">
        <f>_xlfn.XLOOKUP(tblFinancials[[#This Row],[RegionKey]],tblRegions[RegionKey],tblRegions[RegionName],"")</f>
        <v>Midwest</v>
      </c>
    </row>
    <row r="1110" spans="1:16">
      <c r="A1110">
        <v>20250701</v>
      </c>
      <c r="B1110">
        <v>4</v>
      </c>
      <c r="C1110">
        <v>4</v>
      </c>
      <c r="D1110">
        <v>1</v>
      </c>
      <c r="E1110">
        <v>15</v>
      </c>
      <c r="F1110" t="s">
        <v>92</v>
      </c>
      <c r="G1110">
        <v>-9404.64</v>
      </c>
      <c r="H1110">
        <f>_xlfn.XLOOKUP(tblFinancials[[#This Row],[DateKey]],tblCalendar[DateKey],tblCalendar[FullDate],"")</f>
        <v>45839</v>
      </c>
      <c r="I1110">
        <f>_xlfn.XLOOKUP(tblFinancials[[#This Row],[AccountKey]],tblAccounts[AccountKey],tblAccounts[AccountNumber],"")</f>
        <v>6100</v>
      </c>
      <c r="J1110" t="str">
        <f>_xlfn.XLOOKUP(tblFinancials[[#This Row],[AccountKey]],tblAccounts[AccountKey],tblAccounts[AccountName],"")</f>
        <v>Salaries Expense</v>
      </c>
      <c r="K1110" s="8" t="str">
        <f>_xlfn.XLOOKUP(tblFinancials[[#This Row],[AccountKey]],tblAccounts[AccountKey],tblAccounts[FinancialStatement],"")</f>
        <v>Income Statement</v>
      </c>
      <c r="L1110" s="8" t="str">
        <f>_xlfn.XLOOKUP(tblFinancials[[#This Row],[AccountKey]],tblAccounts[AccountKey],tblAccounts[AccountCategory],"")</f>
        <v>Operating Expense</v>
      </c>
      <c r="M1110" s="8" t="str">
        <f>_xlfn.XLOOKUP(tblFinancials[[#This Row],[AccountKey]],tblAccounts[AccountKey],tblAccounts[NormalBalance],"")</f>
        <v>Debit</v>
      </c>
      <c r="N1110" s="8" t="str">
        <f>_xlfn.XLOOKUP(tblFinancials[[#This Row],[DepartmentKey]],tblDepartments[DepartmentKey],tblDepartments[DepartmentName],"")</f>
        <v>Sales</v>
      </c>
      <c r="O1110" s="8" t="str">
        <f>_xlfn.XLOOKUP(tblFinancials[[#This Row],[BusinessUnitKey]],tblBusinessUnits[BusinessUnitKey],tblBusinessUnits[BusinessUnitName],"")</f>
        <v>E-Commerce</v>
      </c>
      <c r="P1110" s="8" t="str">
        <f>_xlfn.XLOOKUP(tblFinancials[[#This Row],[RegionKey]],tblRegions[RegionKey],tblRegions[RegionName],"")</f>
        <v>West</v>
      </c>
    </row>
    <row r="1111" spans="1:16">
      <c r="A1111">
        <v>20250701</v>
      </c>
      <c r="B1111">
        <v>8</v>
      </c>
      <c r="C1111">
        <v>2</v>
      </c>
      <c r="D1111">
        <v>1</v>
      </c>
      <c r="E1111">
        <v>16</v>
      </c>
      <c r="F1111" t="s">
        <v>92</v>
      </c>
      <c r="G1111">
        <v>-8396.8799999999992</v>
      </c>
      <c r="H1111">
        <f>_xlfn.XLOOKUP(tblFinancials[[#This Row],[DateKey]],tblCalendar[DateKey],tblCalendar[FullDate],"")</f>
        <v>45839</v>
      </c>
      <c r="I1111">
        <f>_xlfn.XLOOKUP(tblFinancials[[#This Row],[AccountKey]],tblAccounts[AccountKey],tblAccounts[AccountNumber],"")</f>
        <v>6110</v>
      </c>
      <c r="J1111" t="str">
        <f>_xlfn.XLOOKUP(tblFinancials[[#This Row],[AccountKey]],tblAccounts[AccountKey],tblAccounts[AccountName],"")</f>
        <v>Payroll Taxes</v>
      </c>
      <c r="K1111" s="8" t="str">
        <f>_xlfn.XLOOKUP(tblFinancials[[#This Row],[AccountKey]],tblAccounts[AccountKey],tblAccounts[FinancialStatement],"")</f>
        <v>Income Statement</v>
      </c>
      <c r="L1111" s="8" t="str">
        <f>_xlfn.XLOOKUP(tblFinancials[[#This Row],[AccountKey]],tblAccounts[AccountKey],tblAccounts[AccountCategory],"")</f>
        <v>Operating Expense</v>
      </c>
      <c r="M1111" s="8" t="str">
        <f>_xlfn.XLOOKUP(tblFinancials[[#This Row],[AccountKey]],tblAccounts[AccountKey],tblAccounts[NormalBalance],"")</f>
        <v>Debit</v>
      </c>
      <c r="N1111" s="8" t="str">
        <f>_xlfn.XLOOKUP(tblFinancials[[#This Row],[DepartmentKey]],tblDepartments[DepartmentKey],tblDepartments[DepartmentName],"")</f>
        <v>Customer Service</v>
      </c>
      <c r="O1111" s="8" t="str">
        <f>_xlfn.XLOOKUP(tblFinancials[[#This Row],[BusinessUnitKey]],tblBusinessUnits[BusinessUnitKey],tblBusinessUnits[BusinessUnitName],"")</f>
        <v>Wholesale</v>
      </c>
      <c r="P1111" s="8" t="str">
        <f>_xlfn.XLOOKUP(tblFinancials[[#This Row],[RegionKey]],tblRegions[RegionKey],tblRegions[RegionName],"")</f>
        <v>West</v>
      </c>
    </row>
    <row r="1112" spans="1:16">
      <c r="A1112">
        <v>20250701</v>
      </c>
      <c r="B1112">
        <v>5</v>
      </c>
      <c r="C1112">
        <v>4</v>
      </c>
      <c r="D1112">
        <v>4</v>
      </c>
      <c r="E1112">
        <v>25</v>
      </c>
      <c r="F1112" t="s">
        <v>92</v>
      </c>
      <c r="G1112">
        <v>-8575.14</v>
      </c>
      <c r="H1112">
        <f>_xlfn.XLOOKUP(tblFinancials[[#This Row],[DateKey]],tblCalendar[DateKey],tblCalendar[FullDate],"")</f>
        <v>45839</v>
      </c>
      <c r="I1112">
        <f>_xlfn.XLOOKUP(tblFinancials[[#This Row],[AccountKey]],tblAccounts[AccountKey],tblAccounts[AccountNumber],"")</f>
        <v>8200</v>
      </c>
      <c r="J1112" t="str">
        <f>_xlfn.XLOOKUP(tblFinancials[[#This Row],[AccountKey]],tblAccounts[AccountKey],tblAccounts[AccountName],"")</f>
        <v>Income Tax Expense</v>
      </c>
      <c r="K1112" s="8" t="str">
        <f>_xlfn.XLOOKUP(tblFinancials[[#This Row],[AccountKey]],tblAccounts[AccountKey],tblAccounts[FinancialStatement],"")</f>
        <v>Income Statement</v>
      </c>
      <c r="L1112" s="8" t="str">
        <f>_xlfn.XLOOKUP(tblFinancials[[#This Row],[AccountKey]],tblAccounts[AccountKey],tblAccounts[AccountCategory],"")</f>
        <v>Tax Expense</v>
      </c>
      <c r="M1112" s="8" t="str">
        <f>_xlfn.XLOOKUP(tblFinancials[[#This Row],[AccountKey]],tblAccounts[AccountKey],tblAccounts[NormalBalance],"")</f>
        <v>Debit</v>
      </c>
      <c r="N1112" s="8" t="str">
        <f>_xlfn.XLOOKUP(tblFinancials[[#This Row],[DepartmentKey]],tblDepartments[DepartmentKey],tblDepartments[DepartmentName],"")</f>
        <v>Marketing</v>
      </c>
      <c r="O1112" s="8" t="str">
        <f>_xlfn.XLOOKUP(tblFinancials[[#This Row],[BusinessUnitKey]],tblBusinessUnits[BusinessUnitKey],tblBusinessUnits[BusinessUnitName],"")</f>
        <v>E-Commerce</v>
      </c>
      <c r="P1112" s="8" t="str">
        <f>_xlfn.XLOOKUP(tblFinancials[[#This Row],[RegionKey]],tblRegions[RegionKey],tblRegions[RegionName],"")</f>
        <v>East</v>
      </c>
    </row>
    <row r="1113" spans="1:16">
      <c r="A1113">
        <v>20250701</v>
      </c>
      <c r="B1113">
        <v>8</v>
      </c>
      <c r="C1113">
        <v>1</v>
      </c>
      <c r="D1113">
        <v>2</v>
      </c>
      <c r="E1113">
        <v>24</v>
      </c>
      <c r="F1113" t="s">
        <v>92</v>
      </c>
      <c r="G1113">
        <v>-9166.69</v>
      </c>
      <c r="H1113">
        <f>_xlfn.XLOOKUP(tblFinancials[[#This Row],[DateKey]],tblCalendar[DateKey],tblCalendar[FullDate],"")</f>
        <v>45839</v>
      </c>
      <c r="I1113">
        <f>_xlfn.XLOOKUP(tblFinancials[[#This Row],[AccountKey]],tblAccounts[AccountKey],tblAccounts[AccountNumber],"")</f>
        <v>6900</v>
      </c>
      <c r="J1113" t="str">
        <f>_xlfn.XLOOKUP(tblFinancials[[#This Row],[AccountKey]],tblAccounts[AccountKey],tblAccounts[AccountName],"")</f>
        <v>Professional Services</v>
      </c>
      <c r="K1113" s="8" t="str">
        <f>_xlfn.XLOOKUP(tblFinancials[[#This Row],[AccountKey]],tblAccounts[AccountKey],tblAccounts[FinancialStatement],"")</f>
        <v>Income Statement</v>
      </c>
      <c r="L1113" s="8" t="str">
        <f>_xlfn.XLOOKUP(tblFinancials[[#This Row],[AccountKey]],tblAccounts[AccountKey],tblAccounts[AccountCategory],"")</f>
        <v>Operating Expense</v>
      </c>
      <c r="M1113" s="8" t="str">
        <f>_xlfn.XLOOKUP(tblFinancials[[#This Row],[AccountKey]],tblAccounts[AccountKey],tblAccounts[NormalBalance],"")</f>
        <v>Debit</v>
      </c>
      <c r="N1113" s="8" t="str">
        <f>_xlfn.XLOOKUP(tblFinancials[[#This Row],[DepartmentKey]],tblDepartments[DepartmentKey],tblDepartments[DepartmentName],"")</f>
        <v>Customer Service</v>
      </c>
      <c r="O1113" s="8" t="str">
        <f>_xlfn.XLOOKUP(tblFinancials[[#This Row],[BusinessUnitKey]],tblBusinessUnits[BusinessUnitKey],tblBusinessUnits[BusinessUnitName],"")</f>
        <v xml:space="preserve">Manufacturing </v>
      </c>
      <c r="P1113" s="8" t="str">
        <f>_xlfn.XLOOKUP(tblFinancials[[#This Row],[RegionKey]],tblRegions[RegionKey],tblRegions[RegionName],"")</f>
        <v>Midwest</v>
      </c>
    </row>
    <row r="1114" spans="1:16">
      <c r="A1114">
        <v>20250701</v>
      </c>
      <c r="B1114">
        <v>2</v>
      </c>
      <c r="C1114">
        <v>4</v>
      </c>
      <c r="D1114">
        <v>4</v>
      </c>
      <c r="E1114">
        <v>25</v>
      </c>
      <c r="F1114" t="s">
        <v>92</v>
      </c>
      <c r="G1114">
        <v>-8478.26</v>
      </c>
      <c r="H1114">
        <f>_xlfn.XLOOKUP(tblFinancials[[#This Row],[DateKey]],tblCalendar[DateKey],tblCalendar[FullDate],"")</f>
        <v>45839</v>
      </c>
      <c r="I1114">
        <f>_xlfn.XLOOKUP(tblFinancials[[#This Row],[AccountKey]],tblAccounts[AccountKey],tblAccounts[AccountNumber],"")</f>
        <v>8200</v>
      </c>
      <c r="J1114" t="str">
        <f>_xlfn.XLOOKUP(tblFinancials[[#This Row],[AccountKey]],tblAccounts[AccountKey],tblAccounts[AccountName],"")</f>
        <v>Income Tax Expense</v>
      </c>
      <c r="K1114" s="8" t="str">
        <f>_xlfn.XLOOKUP(tblFinancials[[#This Row],[AccountKey]],tblAccounts[AccountKey],tblAccounts[FinancialStatement],"")</f>
        <v>Income Statement</v>
      </c>
      <c r="L1114" s="8" t="str">
        <f>_xlfn.XLOOKUP(tblFinancials[[#This Row],[AccountKey]],tblAccounts[AccountKey],tblAccounts[AccountCategory],"")</f>
        <v>Tax Expense</v>
      </c>
      <c r="M1114" s="8" t="str">
        <f>_xlfn.XLOOKUP(tblFinancials[[#This Row],[AccountKey]],tblAccounts[AccountKey],tblAccounts[NormalBalance],"")</f>
        <v>Debit</v>
      </c>
      <c r="N1114" s="8" t="str">
        <f>_xlfn.XLOOKUP(tblFinancials[[#This Row],[DepartmentKey]],tblDepartments[DepartmentKey],tblDepartments[DepartmentName],"")</f>
        <v>Finance</v>
      </c>
      <c r="O1114" s="8" t="str">
        <f>_xlfn.XLOOKUP(tblFinancials[[#This Row],[BusinessUnitKey]],tblBusinessUnits[BusinessUnitKey],tblBusinessUnits[BusinessUnitName],"")</f>
        <v>E-Commerce</v>
      </c>
      <c r="P1114" s="8" t="str">
        <f>_xlfn.XLOOKUP(tblFinancials[[#This Row],[RegionKey]],tblRegions[RegionKey],tblRegions[RegionName],"")</f>
        <v>East</v>
      </c>
    </row>
    <row r="1115" spans="1:16">
      <c r="A1115">
        <v>20250701</v>
      </c>
      <c r="B1115">
        <v>1</v>
      </c>
      <c r="C1115">
        <v>3</v>
      </c>
      <c r="D1115">
        <v>2</v>
      </c>
      <c r="E1115">
        <v>19</v>
      </c>
      <c r="F1115" t="s">
        <v>92</v>
      </c>
      <c r="G1115">
        <v>-9294.34</v>
      </c>
      <c r="H1115">
        <f>_xlfn.XLOOKUP(tblFinancials[[#This Row],[DateKey]],tblCalendar[DateKey],tblCalendar[FullDate],"")</f>
        <v>45839</v>
      </c>
      <c r="I1115">
        <f>_xlfn.XLOOKUP(tblFinancials[[#This Row],[AccountKey]],tblAccounts[AccountKey],tblAccounts[AccountNumber],"")</f>
        <v>6300</v>
      </c>
      <c r="J1115" t="str">
        <f>_xlfn.XLOOKUP(tblFinancials[[#This Row],[AccountKey]],tblAccounts[AccountKey],tblAccounts[AccountName],"")</f>
        <v>Software Expense</v>
      </c>
      <c r="K1115" s="8" t="str">
        <f>_xlfn.XLOOKUP(tblFinancials[[#This Row],[AccountKey]],tblAccounts[AccountKey],tblAccounts[FinancialStatement],"")</f>
        <v>Income Statement</v>
      </c>
      <c r="L1115" s="8" t="str">
        <f>_xlfn.XLOOKUP(tblFinancials[[#This Row],[AccountKey]],tblAccounts[AccountKey],tblAccounts[AccountCategory],"")</f>
        <v>Operating Expense</v>
      </c>
      <c r="M1115" s="8" t="str">
        <f>_xlfn.XLOOKUP(tblFinancials[[#This Row],[AccountKey]],tblAccounts[AccountKey],tblAccounts[NormalBalance],"")</f>
        <v>Debit</v>
      </c>
      <c r="N1115" s="8" t="str">
        <f>_xlfn.XLOOKUP(tblFinancials[[#This Row],[DepartmentKey]],tblDepartments[DepartmentKey],tblDepartments[DepartmentName],"")</f>
        <v>Executive</v>
      </c>
      <c r="O1115" s="8" t="str">
        <f>_xlfn.XLOOKUP(tblFinancials[[#This Row],[BusinessUnitKey]],tblBusinessUnits[BusinessUnitKey],tblBusinessUnits[BusinessUnitName],"")</f>
        <v>Retail</v>
      </c>
      <c r="P1115" s="8" t="str">
        <f>_xlfn.XLOOKUP(tblFinancials[[#This Row],[RegionKey]],tblRegions[RegionKey],tblRegions[RegionName],"")</f>
        <v>Midwest</v>
      </c>
    </row>
    <row r="1116" spans="1:16">
      <c r="A1116">
        <v>20250701</v>
      </c>
      <c r="B1116">
        <v>3</v>
      </c>
      <c r="C1116">
        <v>2</v>
      </c>
      <c r="D1116">
        <v>3</v>
      </c>
      <c r="E1116">
        <v>16</v>
      </c>
      <c r="F1116" t="s">
        <v>92</v>
      </c>
      <c r="G1116">
        <v>-8645.31</v>
      </c>
      <c r="H1116">
        <f>_xlfn.XLOOKUP(tblFinancials[[#This Row],[DateKey]],tblCalendar[DateKey],tblCalendar[FullDate],"")</f>
        <v>45839</v>
      </c>
      <c r="I1116">
        <f>_xlfn.XLOOKUP(tblFinancials[[#This Row],[AccountKey]],tblAccounts[AccountKey],tblAccounts[AccountNumber],"")</f>
        <v>6110</v>
      </c>
      <c r="J1116" t="str">
        <f>_xlfn.XLOOKUP(tblFinancials[[#This Row],[AccountKey]],tblAccounts[AccountKey],tblAccounts[AccountName],"")</f>
        <v>Payroll Taxes</v>
      </c>
      <c r="K1116" s="8" t="str">
        <f>_xlfn.XLOOKUP(tblFinancials[[#This Row],[AccountKey]],tblAccounts[AccountKey],tblAccounts[FinancialStatement],"")</f>
        <v>Income Statement</v>
      </c>
      <c r="L1116" s="8" t="str">
        <f>_xlfn.XLOOKUP(tblFinancials[[#This Row],[AccountKey]],tblAccounts[AccountKey],tblAccounts[AccountCategory],"")</f>
        <v>Operating Expense</v>
      </c>
      <c r="M1116" s="8" t="str">
        <f>_xlfn.XLOOKUP(tblFinancials[[#This Row],[AccountKey]],tblAccounts[AccountKey],tblAccounts[NormalBalance],"")</f>
        <v>Debit</v>
      </c>
      <c r="N1116" s="8" t="str">
        <f>_xlfn.XLOOKUP(tblFinancials[[#This Row],[DepartmentKey]],tblDepartments[DepartmentKey],tblDepartments[DepartmentName],"")</f>
        <v>Human Resources</v>
      </c>
      <c r="O1116" s="8" t="str">
        <f>_xlfn.XLOOKUP(tblFinancials[[#This Row],[BusinessUnitKey]],tblBusinessUnits[BusinessUnitKey],tblBusinessUnits[BusinessUnitName],"")</f>
        <v>Wholesale</v>
      </c>
      <c r="P1116" s="8" t="str">
        <f>_xlfn.XLOOKUP(tblFinancials[[#This Row],[RegionKey]],tblRegions[RegionKey],tblRegions[RegionName],"")</f>
        <v>South</v>
      </c>
    </row>
    <row r="1117" spans="1:16">
      <c r="A1117">
        <v>20250701</v>
      </c>
      <c r="B1117">
        <v>4</v>
      </c>
      <c r="C1117">
        <v>3</v>
      </c>
      <c r="D1117">
        <v>2</v>
      </c>
      <c r="E1117">
        <v>16</v>
      </c>
      <c r="F1117" t="s">
        <v>92</v>
      </c>
      <c r="G1117">
        <v>-7841.35</v>
      </c>
      <c r="H1117">
        <f>_xlfn.XLOOKUP(tblFinancials[[#This Row],[DateKey]],tblCalendar[DateKey],tblCalendar[FullDate],"")</f>
        <v>45839</v>
      </c>
      <c r="I1117">
        <f>_xlfn.XLOOKUP(tblFinancials[[#This Row],[AccountKey]],tblAccounts[AccountKey],tblAccounts[AccountNumber],"")</f>
        <v>6110</v>
      </c>
      <c r="J1117" t="str">
        <f>_xlfn.XLOOKUP(tblFinancials[[#This Row],[AccountKey]],tblAccounts[AccountKey],tblAccounts[AccountName],"")</f>
        <v>Payroll Taxes</v>
      </c>
      <c r="K1117" s="8" t="str">
        <f>_xlfn.XLOOKUP(tblFinancials[[#This Row],[AccountKey]],tblAccounts[AccountKey],tblAccounts[FinancialStatement],"")</f>
        <v>Income Statement</v>
      </c>
      <c r="L1117" s="8" t="str">
        <f>_xlfn.XLOOKUP(tblFinancials[[#This Row],[AccountKey]],tblAccounts[AccountKey],tblAccounts[AccountCategory],"")</f>
        <v>Operating Expense</v>
      </c>
      <c r="M1117" s="8" t="str">
        <f>_xlfn.XLOOKUP(tblFinancials[[#This Row],[AccountKey]],tblAccounts[AccountKey],tblAccounts[NormalBalance],"")</f>
        <v>Debit</v>
      </c>
      <c r="N1117" s="8" t="str">
        <f>_xlfn.XLOOKUP(tblFinancials[[#This Row],[DepartmentKey]],tblDepartments[DepartmentKey],tblDepartments[DepartmentName],"")</f>
        <v>Sales</v>
      </c>
      <c r="O1117" s="8" t="str">
        <f>_xlfn.XLOOKUP(tblFinancials[[#This Row],[BusinessUnitKey]],tblBusinessUnits[BusinessUnitKey],tblBusinessUnits[BusinessUnitName],"")</f>
        <v>Retail</v>
      </c>
      <c r="P1117" s="8" t="str">
        <f>_xlfn.XLOOKUP(tblFinancials[[#This Row],[RegionKey]],tblRegions[RegionKey],tblRegions[RegionName],"")</f>
        <v>Midwest</v>
      </c>
    </row>
    <row r="1118" spans="1:16">
      <c r="A1118">
        <v>20250801</v>
      </c>
      <c r="B1118">
        <v>5</v>
      </c>
      <c r="C1118">
        <v>3</v>
      </c>
      <c r="D1118">
        <v>4</v>
      </c>
      <c r="E1118">
        <v>11</v>
      </c>
      <c r="F1118" t="s">
        <v>92</v>
      </c>
      <c r="G1118">
        <v>34287.06</v>
      </c>
      <c r="H1118">
        <f>_xlfn.XLOOKUP(tblFinancials[[#This Row],[DateKey]],tblCalendar[DateKey],tblCalendar[FullDate],"")</f>
        <v>45870</v>
      </c>
      <c r="I1118">
        <f>_xlfn.XLOOKUP(tblFinancials[[#This Row],[AccountKey]],tblAccounts[AccountKey],tblAccounts[AccountNumber],"")</f>
        <v>4000</v>
      </c>
      <c r="J1118" t="str">
        <f>_xlfn.XLOOKUP(tblFinancials[[#This Row],[AccountKey]],tblAccounts[AccountKey],tblAccounts[AccountName],"")</f>
        <v>Product Revenue</v>
      </c>
      <c r="K1118" s="8" t="str">
        <f>_xlfn.XLOOKUP(tblFinancials[[#This Row],[AccountKey]],tblAccounts[AccountKey],tblAccounts[FinancialStatement],"")</f>
        <v>Income Statement</v>
      </c>
      <c r="L1118" s="8" t="str">
        <f>_xlfn.XLOOKUP(tblFinancials[[#This Row],[AccountKey]],tblAccounts[AccountKey],tblAccounts[AccountCategory],"")</f>
        <v>Revenue</v>
      </c>
      <c r="M1118" s="8" t="str">
        <f>_xlfn.XLOOKUP(tblFinancials[[#This Row],[AccountKey]],tblAccounts[AccountKey],tblAccounts[NormalBalance],"")</f>
        <v>Credit</v>
      </c>
      <c r="N1118" s="8" t="str">
        <f>_xlfn.XLOOKUP(tblFinancials[[#This Row],[DepartmentKey]],tblDepartments[DepartmentKey],tblDepartments[DepartmentName],"")</f>
        <v>Marketing</v>
      </c>
      <c r="O1118" s="8" t="str">
        <f>_xlfn.XLOOKUP(tblFinancials[[#This Row],[BusinessUnitKey]],tblBusinessUnits[BusinessUnitKey],tblBusinessUnits[BusinessUnitName],"")</f>
        <v>Retail</v>
      </c>
      <c r="P1118" s="8" t="str">
        <f>_xlfn.XLOOKUP(tblFinancials[[#This Row],[RegionKey]],tblRegions[RegionKey],tblRegions[RegionName],"")</f>
        <v>East</v>
      </c>
    </row>
    <row r="1119" spans="1:16">
      <c r="A1119">
        <v>20250801</v>
      </c>
      <c r="B1119">
        <v>4</v>
      </c>
      <c r="C1119">
        <v>3</v>
      </c>
      <c r="D1119">
        <v>1</v>
      </c>
      <c r="E1119">
        <v>12</v>
      </c>
      <c r="F1119" t="s">
        <v>92</v>
      </c>
      <c r="G1119">
        <v>35773.74</v>
      </c>
      <c r="H1119">
        <f>_xlfn.XLOOKUP(tblFinancials[[#This Row],[DateKey]],tblCalendar[DateKey],tblCalendar[FullDate],"")</f>
        <v>45870</v>
      </c>
      <c r="I1119">
        <f>_xlfn.XLOOKUP(tblFinancials[[#This Row],[AccountKey]],tblAccounts[AccountKey],tblAccounts[AccountNumber],"")</f>
        <v>4010</v>
      </c>
      <c r="J1119" t="str">
        <f>_xlfn.XLOOKUP(tblFinancials[[#This Row],[AccountKey]],tblAccounts[AccountKey],tblAccounts[AccountName],"")</f>
        <v>Service Revenue</v>
      </c>
      <c r="K1119" s="8" t="str">
        <f>_xlfn.XLOOKUP(tblFinancials[[#This Row],[AccountKey]],tblAccounts[AccountKey],tblAccounts[FinancialStatement],"")</f>
        <v>Income Statement</v>
      </c>
      <c r="L1119" s="8" t="str">
        <f>_xlfn.XLOOKUP(tblFinancials[[#This Row],[AccountKey]],tblAccounts[AccountKey],tblAccounts[AccountCategory],"")</f>
        <v>Revenue</v>
      </c>
      <c r="M1119" s="8" t="str">
        <f>_xlfn.XLOOKUP(tblFinancials[[#This Row],[AccountKey]],tblAccounts[AccountKey],tblAccounts[NormalBalance],"")</f>
        <v>Credit</v>
      </c>
      <c r="N1119" s="8" t="str">
        <f>_xlfn.XLOOKUP(tblFinancials[[#This Row],[DepartmentKey]],tblDepartments[DepartmentKey],tblDepartments[DepartmentName],"")</f>
        <v>Sales</v>
      </c>
      <c r="O1119" s="8" t="str">
        <f>_xlfn.XLOOKUP(tblFinancials[[#This Row],[BusinessUnitKey]],tblBusinessUnits[BusinessUnitKey],tblBusinessUnits[BusinessUnitName],"")</f>
        <v>Retail</v>
      </c>
      <c r="P1119" s="8" t="str">
        <f>_xlfn.XLOOKUP(tblFinancials[[#This Row],[RegionKey]],tblRegions[RegionKey],tblRegions[RegionName],"")</f>
        <v>West</v>
      </c>
    </row>
    <row r="1120" spans="1:16">
      <c r="A1120">
        <v>20250801</v>
      </c>
      <c r="B1120">
        <v>8</v>
      </c>
      <c r="C1120">
        <v>1</v>
      </c>
      <c r="D1120">
        <v>1</v>
      </c>
      <c r="E1120">
        <v>13</v>
      </c>
      <c r="F1120" t="s">
        <v>92</v>
      </c>
      <c r="G1120">
        <v>34711.14</v>
      </c>
      <c r="H1120">
        <f>_xlfn.XLOOKUP(tblFinancials[[#This Row],[DateKey]],tblCalendar[DateKey],tblCalendar[FullDate],"")</f>
        <v>45870</v>
      </c>
      <c r="I1120">
        <f>_xlfn.XLOOKUP(tblFinancials[[#This Row],[AccountKey]],tblAccounts[AccountKey],tblAccounts[AccountNumber],"")</f>
        <v>4020</v>
      </c>
      <c r="J1120" t="str">
        <f>_xlfn.XLOOKUP(tblFinancials[[#This Row],[AccountKey]],tblAccounts[AccountKey],tblAccounts[AccountName],"")</f>
        <v>Online Revenue</v>
      </c>
      <c r="K1120" s="8" t="str">
        <f>_xlfn.XLOOKUP(tblFinancials[[#This Row],[AccountKey]],tblAccounts[AccountKey],tblAccounts[FinancialStatement],"")</f>
        <v>Income Statement</v>
      </c>
      <c r="L1120" s="8" t="str">
        <f>_xlfn.XLOOKUP(tblFinancials[[#This Row],[AccountKey]],tblAccounts[AccountKey],tblAccounts[AccountCategory],"")</f>
        <v>Revenue</v>
      </c>
      <c r="M1120" s="8" t="str">
        <f>_xlfn.XLOOKUP(tblFinancials[[#This Row],[AccountKey]],tblAccounts[AccountKey],tblAccounts[NormalBalance],"")</f>
        <v>Credit</v>
      </c>
      <c r="N1120" s="8" t="str">
        <f>_xlfn.XLOOKUP(tblFinancials[[#This Row],[DepartmentKey]],tblDepartments[DepartmentKey],tblDepartments[DepartmentName],"")</f>
        <v>Customer Service</v>
      </c>
      <c r="O1120" s="8" t="str">
        <f>_xlfn.XLOOKUP(tblFinancials[[#This Row],[BusinessUnitKey]],tblBusinessUnits[BusinessUnitKey],tblBusinessUnits[BusinessUnitName],"")</f>
        <v xml:space="preserve">Manufacturing </v>
      </c>
      <c r="P1120" s="8" t="str">
        <f>_xlfn.XLOOKUP(tblFinancials[[#This Row],[RegionKey]],tblRegions[RegionKey],tblRegions[RegionName],"")</f>
        <v>West</v>
      </c>
    </row>
    <row r="1121" spans="1:16">
      <c r="A1121">
        <v>20250801</v>
      </c>
      <c r="B1121">
        <v>5</v>
      </c>
      <c r="C1121">
        <v>1</v>
      </c>
      <c r="D1121">
        <v>3</v>
      </c>
      <c r="E1121">
        <v>12</v>
      </c>
      <c r="F1121" t="s">
        <v>92</v>
      </c>
      <c r="G1121">
        <v>35605.910000000003</v>
      </c>
      <c r="H1121">
        <f>_xlfn.XLOOKUP(tblFinancials[[#This Row],[DateKey]],tblCalendar[DateKey],tblCalendar[FullDate],"")</f>
        <v>45870</v>
      </c>
      <c r="I1121">
        <f>_xlfn.XLOOKUP(tblFinancials[[#This Row],[AccountKey]],tblAccounts[AccountKey],tblAccounts[AccountNumber],"")</f>
        <v>4010</v>
      </c>
      <c r="J1121" t="str">
        <f>_xlfn.XLOOKUP(tblFinancials[[#This Row],[AccountKey]],tblAccounts[AccountKey],tblAccounts[AccountName],"")</f>
        <v>Service Revenue</v>
      </c>
      <c r="K1121" s="8" t="str">
        <f>_xlfn.XLOOKUP(tblFinancials[[#This Row],[AccountKey]],tblAccounts[AccountKey],tblAccounts[FinancialStatement],"")</f>
        <v>Income Statement</v>
      </c>
      <c r="L1121" s="8" t="str">
        <f>_xlfn.XLOOKUP(tblFinancials[[#This Row],[AccountKey]],tblAccounts[AccountKey],tblAccounts[AccountCategory],"")</f>
        <v>Revenue</v>
      </c>
      <c r="M1121" s="8" t="str">
        <f>_xlfn.XLOOKUP(tblFinancials[[#This Row],[AccountKey]],tblAccounts[AccountKey],tblAccounts[NormalBalance],"")</f>
        <v>Credit</v>
      </c>
      <c r="N1121" s="8" t="str">
        <f>_xlfn.XLOOKUP(tblFinancials[[#This Row],[DepartmentKey]],tblDepartments[DepartmentKey],tblDepartments[DepartmentName],"")</f>
        <v>Marketing</v>
      </c>
      <c r="O1121" s="8" t="str">
        <f>_xlfn.XLOOKUP(tblFinancials[[#This Row],[BusinessUnitKey]],tblBusinessUnits[BusinessUnitKey],tblBusinessUnits[BusinessUnitName],"")</f>
        <v xml:space="preserve">Manufacturing </v>
      </c>
      <c r="P1121" s="8" t="str">
        <f>_xlfn.XLOOKUP(tblFinancials[[#This Row],[RegionKey]],tblRegions[RegionKey],tblRegions[RegionName],"")</f>
        <v>South</v>
      </c>
    </row>
    <row r="1122" spans="1:16">
      <c r="A1122">
        <v>20250801</v>
      </c>
      <c r="B1122">
        <v>5</v>
      </c>
      <c r="C1122">
        <v>1</v>
      </c>
      <c r="D1122">
        <v>3</v>
      </c>
      <c r="E1122">
        <v>13</v>
      </c>
      <c r="F1122" t="s">
        <v>92</v>
      </c>
      <c r="G1122">
        <v>34581.019999999997</v>
      </c>
      <c r="H1122">
        <f>_xlfn.XLOOKUP(tblFinancials[[#This Row],[DateKey]],tblCalendar[DateKey],tblCalendar[FullDate],"")</f>
        <v>45870</v>
      </c>
      <c r="I1122">
        <f>_xlfn.XLOOKUP(tblFinancials[[#This Row],[AccountKey]],tblAccounts[AccountKey],tblAccounts[AccountNumber],"")</f>
        <v>4020</v>
      </c>
      <c r="J1122" t="str">
        <f>_xlfn.XLOOKUP(tblFinancials[[#This Row],[AccountKey]],tblAccounts[AccountKey],tblAccounts[AccountName],"")</f>
        <v>Online Revenue</v>
      </c>
      <c r="K1122" s="8" t="str">
        <f>_xlfn.XLOOKUP(tblFinancials[[#This Row],[AccountKey]],tblAccounts[AccountKey],tblAccounts[FinancialStatement],"")</f>
        <v>Income Statement</v>
      </c>
      <c r="L1122" s="8" t="str">
        <f>_xlfn.XLOOKUP(tblFinancials[[#This Row],[AccountKey]],tblAccounts[AccountKey],tblAccounts[AccountCategory],"")</f>
        <v>Revenue</v>
      </c>
      <c r="M1122" s="8" t="str">
        <f>_xlfn.XLOOKUP(tblFinancials[[#This Row],[AccountKey]],tblAccounts[AccountKey],tblAccounts[NormalBalance],"")</f>
        <v>Credit</v>
      </c>
      <c r="N1122" s="8" t="str">
        <f>_xlfn.XLOOKUP(tblFinancials[[#This Row],[DepartmentKey]],tblDepartments[DepartmentKey],tblDepartments[DepartmentName],"")</f>
        <v>Marketing</v>
      </c>
      <c r="O1122" s="8" t="str">
        <f>_xlfn.XLOOKUP(tblFinancials[[#This Row],[BusinessUnitKey]],tblBusinessUnits[BusinessUnitKey],tblBusinessUnits[BusinessUnitName],"")</f>
        <v xml:space="preserve">Manufacturing </v>
      </c>
      <c r="P1122" s="8" t="str">
        <f>_xlfn.XLOOKUP(tblFinancials[[#This Row],[RegionKey]],tblRegions[RegionKey],tblRegions[RegionName],"")</f>
        <v>South</v>
      </c>
    </row>
    <row r="1123" spans="1:16">
      <c r="A1123">
        <v>20250801</v>
      </c>
      <c r="B1123">
        <v>2</v>
      </c>
      <c r="C1123">
        <v>4</v>
      </c>
      <c r="D1123">
        <v>3</v>
      </c>
      <c r="E1123">
        <v>12</v>
      </c>
      <c r="F1123" t="s">
        <v>92</v>
      </c>
      <c r="G1123">
        <v>35072.75</v>
      </c>
      <c r="H1123">
        <f>_xlfn.XLOOKUP(tblFinancials[[#This Row],[DateKey]],tblCalendar[DateKey],tblCalendar[FullDate],"")</f>
        <v>45870</v>
      </c>
      <c r="I1123">
        <f>_xlfn.XLOOKUP(tblFinancials[[#This Row],[AccountKey]],tblAccounts[AccountKey],tblAccounts[AccountNumber],"")</f>
        <v>4010</v>
      </c>
      <c r="J1123" t="str">
        <f>_xlfn.XLOOKUP(tblFinancials[[#This Row],[AccountKey]],tblAccounts[AccountKey],tblAccounts[AccountName],"")</f>
        <v>Service Revenue</v>
      </c>
      <c r="K1123" s="8" t="str">
        <f>_xlfn.XLOOKUP(tblFinancials[[#This Row],[AccountKey]],tblAccounts[AccountKey],tblAccounts[FinancialStatement],"")</f>
        <v>Income Statement</v>
      </c>
      <c r="L1123" s="8" t="str">
        <f>_xlfn.XLOOKUP(tblFinancials[[#This Row],[AccountKey]],tblAccounts[AccountKey],tblAccounts[AccountCategory],"")</f>
        <v>Revenue</v>
      </c>
      <c r="M1123" s="8" t="str">
        <f>_xlfn.XLOOKUP(tblFinancials[[#This Row],[AccountKey]],tblAccounts[AccountKey],tblAccounts[NormalBalance],"")</f>
        <v>Credit</v>
      </c>
      <c r="N1123" s="8" t="str">
        <f>_xlfn.XLOOKUP(tblFinancials[[#This Row],[DepartmentKey]],tblDepartments[DepartmentKey],tblDepartments[DepartmentName],"")</f>
        <v>Finance</v>
      </c>
      <c r="O1123" s="8" t="str">
        <f>_xlfn.XLOOKUP(tblFinancials[[#This Row],[BusinessUnitKey]],tblBusinessUnits[BusinessUnitKey],tblBusinessUnits[BusinessUnitName],"")</f>
        <v>E-Commerce</v>
      </c>
      <c r="P1123" s="8" t="str">
        <f>_xlfn.XLOOKUP(tblFinancials[[#This Row],[RegionKey]],tblRegions[RegionKey],tblRegions[RegionName],"")</f>
        <v>South</v>
      </c>
    </row>
    <row r="1124" spans="1:16">
      <c r="A1124">
        <v>20250801</v>
      </c>
      <c r="B1124">
        <v>7</v>
      </c>
      <c r="C1124">
        <v>1</v>
      </c>
      <c r="D1124">
        <v>2</v>
      </c>
      <c r="E1124">
        <v>13</v>
      </c>
      <c r="F1124" t="s">
        <v>92</v>
      </c>
      <c r="G1124">
        <v>34651.01</v>
      </c>
      <c r="H1124">
        <f>_xlfn.XLOOKUP(tblFinancials[[#This Row],[DateKey]],tblCalendar[DateKey],tblCalendar[FullDate],"")</f>
        <v>45870</v>
      </c>
      <c r="I1124">
        <f>_xlfn.XLOOKUP(tblFinancials[[#This Row],[AccountKey]],tblAccounts[AccountKey],tblAccounts[AccountNumber],"")</f>
        <v>4020</v>
      </c>
      <c r="J1124" t="str">
        <f>_xlfn.XLOOKUP(tblFinancials[[#This Row],[AccountKey]],tblAccounts[AccountKey],tblAccounts[AccountName],"")</f>
        <v>Online Revenue</v>
      </c>
      <c r="K1124" s="8" t="str">
        <f>_xlfn.XLOOKUP(tblFinancials[[#This Row],[AccountKey]],tblAccounts[AccountKey],tblAccounts[FinancialStatement],"")</f>
        <v>Income Statement</v>
      </c>
      <c r="L1124" s="8" t="str">
        <f>_xlfn.XLOOKUP(tblFinancials[[#This Row],[AccountKey]],tblAccounts[AccountKey],tblAccounts[AccountCategory],"")</f>
        <v>Revenue</v>
      </c>
      <c r="M1124" s="8" t="str">
        <f>_xlfn.XLOOKUP(tblFinancials[[#This Row],[AccountKey]],tblAccounts[AccountKey],tblAccounts[NormalBalance],"")</f>
        <v>Credit</v>
      </c>
      <c r="N1124" s="8" t="str">
        <f>_xlfn.XLOOKUP(tblFinancials[[#This Row],[DepartmentKey]],tblDepartments[DepartmentKey],tblDepartments[DepartmentName],"")</f>
        <v>Information Technology</v>
      </c>
      <c r="O1124" s="8" t="str">
        <f>_xlfn.XLOOKUP(tblFinancials[[#This Row],[BusinessUnitKey]],tblBusinessUnits[BusinessUnitKey],tblBusinessUnits[BusinessUnitName],"")</f>
        <v xml:space="preserve">Manufacturing </v>
      </c>
      <c r="P1124" s="8" t="str">
        <f>_xlfn.XLOOKUP(tblFinancials[[#This Row],[RegionKey]],tblRegions[RegionKey],tblRegions[RegionName],"")</f>
        <v>Midwest</v>
      </c>
    </row>
    <row r="1125" spans="1:16">
      <c r="A1125">
        <v>20250801</v>
      </c>
      <c r="B1125">
        <v>5</v>
      </c>
      <c r="C1125">
        <v>3</v>
      </c>
      <c r="D1125">
        <v>4</v>
      </c>
      <c r="E1125">
        <v>11</v>
      </c>
      <c r="F1125" t="s">
        <v>92</v>
      </c>
      <c r="G1125">
        <v>35401.67</v>
      </c>
      <c r="H1125">
        <f>_xlfn.XLOOKUP(tblFinancials[[#This Row],[DateKey]],tblCalendar[DateKey],tblCalendar[FullDate],"")</f>
        <v>45870</v>
      </c>
      <c r="I1125">
        <f>_xlfn.XLOOKUP(tblFinancials[[#This Row],[AccountKey]],tblAccounts[AccountKey],tblAccounts[AccountNumber],"")</f>
        <v>4000</v>
      </c>
      <c r="J1125" t="str">
        <f>_xlfn.XLOOKUP(tblFinancials[[#This Row],[AccountKey]],tblAccounts[AccountKey],tblAccounts[AccountName],"")</f>
        <v>Product Revenue</v>
      </c>
      <c r="K1125" s="8" t="str">
        <f>_xlfn.XLOOKUP(tblFinancials[[#This Row],[AccountKey]],tblAccounts[AccountKey],tblAccounts[FinancialStatement],"")</f>
        <v>Income Statement</v>
      </c>
      <c r="L1125" s="8" t="str">
        <f>_xlfn.XLOOKUP(tblFinancials[[#This Row],[AccountKey]],tblAccounts[AccountKey],tblAccounts[AccountCategory],"")</f>
        <v>Revenue</v>
      </c>
      <c r="M1125" s="8" t="str">
        <f>_xlfn.XLOOKUP(tblFinancials[[#This Row],[AccountKey]],tblAccounts[AccountKey],tblAccounts[NormalBalance],"")</f>
        <v>Credit</v>
      </c>
      <c r="N1125" s="8" t="str">
        <f>_xlfn.XLOOKUP(tblFinancials[[#This Row],[DepartmentKey]],tblDepartments[DepartmentKey],tblDepartments[DepartmentName],"")</f>
        <v>Marketing</v>
      </c>
      <c r="O1125" s="8" t="str">
        <f>_xlfn.XLOOKUP(tblFinancials[[#This Row],[BusinessUnitKey]],tblBusinessUnits[BusinessUnitKey],tblBusinessUnits[BusinessUnitName],"")</f>
        <v>Retail</v>
      </c>
      <c r="P1125" s="8" t="str">
        <f>_xlfn.XLOOKUP(tblFinancials[[#This Row],[RegionKey]],tblRegions[RegionKey],tblRegions[RegionName],"")</f>
        <v>East</v>
      </c>
    </row>
    <row r="1126" spans="1:16">
      <c r="A1126">
        <v>20250801</v>
      </c>
      <c r="B1126">
        <v>6</v>
      </c>
      <c r="C1126">
        <v>3</v>
      </c>
      <c r="D1126">
        <v>4</v>
      </c>
      <c r="E1126">
        <v>11</v>
      </c>
      <c r="F1126" t="s">
        <v>92</v>
      </c>
      <c r="G1126">
        <v>35340.949999999997</v>
      </c>
      <c r="H1126">
        <f>_xlfn.XLOOKUP(tblFinancials[[#This Row],[DateKey]],tblCalendar[DateKey],tblCalendar[FullDate],"")</f>
        <v>45870</v>
      </c>
      <c r="I1126">
        <f>_xlfn.XLOOKUP(tblFinancials[[#This Row],[AccountKey]],tblAccounts[AccountKey],tblAccounts[AccountNumber],"")</f>
        <v>4000</v>
      </c>
      <c r="J1126" t="str">
        <f>_xlfn.XLOOKUP(tblFinancials[[#This Row],[AccountKey]],tblAccounts[AccountKey],tblAccounts[AccountName],"")</f>
        <v>Product Revenue</v>
      </c>
      <c r="K1126" s="8" t="str">
        <f>_xlfn.XLOOKUP(tblFinancials[[#This Row],[AccountKey]],tblAccounts[AccountKey],tblAccounts[FinancialStatement],"")</f>
        <v>Income Statement</v>
      </c>
      <c r="L1126" s="8" t="str">
        <f>_xlfn.XLOOKUP(tblFinancials[[#This Row],[AccountKey]],tblAccounts[AccountKey],tblAccounts[AccountCategory],"")</f>
        <v>Revenue</v>
      </c>
      <c r="M1126" s="8" t="str">
        <f>_xlfn.XLOOKUP(tblFinancials[[#This Row],[AccountKey]],tblAccounts[AccountKey],tblAccounts[NormalBalance],"")</f>
        <v>Credit</v>
      </c>
      <c r="N1126" s="8" t="str">
        <f>_xlfn.XLOOKUP(tblFinancials[[#This Row],[DepartmentKey]],tblDepartments[DepartmentKey],tblDepartments[DepartmentName],"")</f>
        <v>Operations</v>
      </c>
      <c r="O1126" s="8" t="str">
        <f>_xlfn.XLOOKUP(tblFinancials[[#This Row],[BusinessUnitKey]],tblBusinessUnits[BusinessUnitKey],tblBusinessUnits[BusinessUnitName],"")</f>
        <v>Retail</v>
      </c>
      <c r="P1126" s="8" t="str">
        <f>_xlfn.XLOOKUP(tblFinancials[[#This Row],[RegionKey]],tblRegions[RegionKey],tblRegions[RegionName],"")</f>
        <v>East</v>
      </c>
    </row>
    <row r="1127" spans="1:16">
      <c r="A1127">
        <v>20250801</v>
      </c>
      <c r="B1127">
        <v>5</v>
      </c>
      <c r="C1127">
        <v>2</v>
      </c>
      <c r="D1127">
        <v>3</v>
      </c>
      <c r="E1127">
        <v>11</v>
      </c>
      <c r="F1127" t="s">
        <v>92</v>
      </c>
      <c r="G1127">
        <v>36299.120000000003</v>
      </c>
      <c r="H1127">
        <f>_xlfn.XLOOKUP(tblFinancials[[#This Row],[DateKey]],tblCalendar[DateKey],tblCalendar[FullDate],"")</f>
        <v>45870</v>
      </c>
      <c r="I1127">
        <f>_xlfn.XLOOKUP(tblFinancials[[#This Row],[AccountKey]],tblAccounts[AccountKey],tblAccounts[AccountNumber],"")</f>
        <v>4000</v>
      </c>
      <c r="J1127" t="str">
        <f>_xlfn.XLOOKUP(tblFinancials[[#This Row],[AccountKey]],tblAccounts[AccountKey],tblAccounts[AccountName],"")</f>
        <v>Product Revenue</v>
      </c>
      <c r="K1127" s="8" t="str">
        <f>_xlfn.XLOOKUP(tblFinancials[[#This Row],[AccountKey]],tblAccounts[AccountKey],tblAccounts[FinancialStatement],"")</f>
        <v>Income Statement</v>
      </c>
      <c r="L1127" s="8" t="str">
        <f>_xlfn.XLOOKUP(tblFinancials[[#This Row],[AccountKey]],tblAccounts[AccountKey],tblAccounts[AccountCategory],"")</f>
        <v>Revenue</v>
      </c>
      <c r="M1127" s="8" t="str">
        <f>_xlfn.XLOOKUP(tblFinancials[[#This Row],[AccountKey]],tblAccounts[AccountKey],tblAccounts[NormalBalance],"")</f>
        <v>Credit</v>
      </c>
      <c r="N1127" s="8" t="str">
        <f>_xlfn.XLOOKUP(tblFinancials[[#This Row],[DepartmentKey]],tblDepartments[DepartmentKey],tblDepartments[DepartmentName],"")</f>
        <v>Marketing</v>
      </c>
      <c r="O1127" s="8" t="str">
        <f>_xlfn.XLOOKUP(tblFinancials[[#This Row],[BusinessUnitKey]],tblBusinessUnits[BusinessUnitKey],tblBusinessUnits[BusinessUnitName],"")</f>
        <v>Wholesale</v>
      </c>
      <c r="P1127" s="8" t="str">
        <f>_xlfn.XLOOKUP(tblFinancials[[#This Row],[RegionKey]],tblRegions[RegionKey],tblRegions[RegionName],"")</f>
        <v>South</v>
      </c>
    </row>
    <row r="1128" spans="1:16">
      <c r="A1128">
        <v>20250801</v>
      </c>
      <c r="B1128">
        <v>3</v>
      </c>
      <c r="C1128">
        <v>2</v>
      </c>
      <c r="D1128">
        <v>2</v>
      </c>
      <c r="E1128">
        <v>11</v>
      </c>
      <c r="F1128" t="s">
        <v>92</v>
      </c>
      <c r="G1128">
        <v>34300.49</v>
      </c>
      <c r="H1128">
        <f>_xlfn.XLOOKUP(tblFinancials[[#This Row],[DateKey]],tblCalendar[DateKey],tblCalendar[FullDate],"")</f>
        <v>45870</v>
      </c>
      <c r="I1128">
        <f>_xlfn.XLOOKUP(tblFinancials[[#This Row],[AccountKey]],tblAccounts[AccountKey],tblAccounts[AccountNumber],"")</f>
        <v>4000</v>
      </c>
      <c r="J1128" t="str">
        <f>_xlfn.XLOOKUP(tblFinancials[[#This Row],[AccountKey]],tblAccounts[AccountKey],tblAccounts[AccountName],"")</f>
        <v>Product Revenue</v>
      </c>
      <c r="K1128" s="8" t="str">
        <f>_xlfn.XLOOKUP(tblFinancials[[#This Row],[AccountKey]],tblAccounts[AccountKey],tblAccounts[FinancialStatement],"")</f>
        <v>Income Statement</v>
      </c>
      <c r="L1128" s="8" t="str">
        <f>_xlfn.XLOOKUP(tblFinancials[[#This Row],[AccountKey]],tblAccounts[AccountKey],tblAccounts[AccountCategory],"")</f>
        <v>Revenue</v>
      </c>
      <c r="M1128" s="8" t="str">
        <f>_xlfn.XLOOKUP(tblFinancials[[#This Row],[AccountKey]],tblAccounts[AccountKey],tblAccounts[NormalBalance],"")</f>
        <v>Credit</v>
      </c>
      <c r="N1128" s="8" t="str">
        <f>_xlfn.XLOOKUP(tblFinancials[[#This Row],[DepartmentKey]],tblDepartments[DepartmentKey],tblDepartments[DepartmentName],"")</f>
        <v>Human Resources</v>
      </c>
      <c r="O1128" s="8" t="str">
        <f>_xlfn.XLOOKUP(tblFinancials[[#This Row],[BusinessUnitKey]],tblBusinessUnits[BusinessUnitKey],tblBusinessUnits[BusinessUnitName],"")</f>
        <v>Wholesale</v>
      </c>
      <c r="P1128" s="8" t="str">
        <f>_xlfn.XLOOKUP(tblFinancials[[#This Row],[RegionKey]],tblRegions[RegionKey],tblRegions[RegionName],"")</f>
        <v>Midwest</v>
      </c>
    </row>
    <row r="1129" spans="1:16">
      <c r="A1129">
        <v>20250801</v>
      </c>
      <c r="B1129">
        <v>5</v>
      </c>
      <c r="C1129">
        <v>1</v>
      </c>
      <c r="D1129">
        <v>1</v>
      </c>
      <c r="E1129">
        <v>12</v>
      </c>
      <c r="F1129" t="s">
        <v>92</v>
      </c>
      <c r="G1129">
        <v>37456.82</v>
      </c>
      <c r="H1129">
        <f>_xlfn.XLOOKUP(tblFinancials[[#This Row],[DateKey]],tblCalendar[DateKey],tblCalendar[FullDate],"")</f>
        <v>45870</v>
      </c>
      <c r="I1129">
        <f>_xlfn.XLOOKUP(tblFinancials[[#This Row],[AccountKey]],tblAccounts[AccountKey],tblAccounts[AccountNumber],"")</f>
        <v>4010</v>
      </c>
      <c r="J1129" t="str">
        <f>_xlfn.XLOOKUP(tblFinancials[[#This Row],[AccountKey]],tblAccounts[AccountKey],tblAccounts[AccountName],"")</f>
        <v>Service Revenue</v>
      </c>
      <c r="K1129" s="8" t="str">
        <f>_xlfn.XLOOKUP(tblFinancials[[#This Row],[AccountKey]],tblAccounts[AccountKey],tblAccounts[FinancialStatement],"")</f>
        <v>Income Statement</v>
      </c>
      <c r="L1129" s="8" t="str">
        <f>_xlfn.XLOOKUP(tblFinancials[[#This Row],[AccountKey]],tblAccounts[AccountKey],tblAccounts[AccountCategory],"")</f>
        <v>Revenue</v>
      </c>
      <c r="M1129" s="8" t="str">
        <f>_xlfn.XLOOKUP(tblFinancials[[#This Row],[AccountKey]],tblAccounts[AccountKey],tblAccounts[NormalBalance],"")</f>
        <v>Credit</v>
      </c>
      <c r="N1129" s="8" t="str">
        <f>_xlfn.XLOOKUP(tblFinancials[[#This Row],[DepartmentKey]],tblDepartments[DepartmentKey],tblDepartments[DepartmentName],"")</f>
        <v>Marketing</v>
      </c>
      <c r="O1129" s="8" t="str">
        <f>_xlfn.XLOOKUP(tblFinancials[[#This Row],[BusinessUnitKey]],tblBusinessUnits[BusinessUnitKey],tblBusinessUnits[BusinessUnitName],"")</f>
        <v xml:space="preserve">Manufacturing </v>
      </c>
      <c r="P1129" s="8" t="str">
        <f>_xlfn.XLOOKUP(tblFinancials[[#This Row],[RegionKey]],tblRegions[RegionKey],tblRegions[RegionName],"")</f>
        <v>West</v>
      </c>
    </row>
    <row r="1130" spans="1:16">
      <c r="A1130">
        <v>20250801</v>
      </c>
      <c r="B1130">
        <v>5</v>
      </c>
      <c r="C1130">
        <v>2</v>
      </c>
      <c r="D1130">
        <v>4</v>
      </c>
      <c r="E1130">
        <v>14</v>
      </c>
      <c r="F1130" t="s">
        <v>92</v>
      </c>
      <c r="G1130">
        <v>-20799.52</v>
      </c>
      <c r="H1130">
        <f>_xlfn.XLOOKUP(tblFinancials[[#This Row],[DateKey]],tblCalendar[DateKey],tblCalendar[FullDate],"")</f>
        <v>45870</v>
      </c>
      <c r="I1130">
        <f>_xlfn.XLOOKUP(tblFinancials[[#This Row],[AccountKey]],tblAccounts[AccountKey],tblAccounts[AccountNumber],"")</f>
        <v>5000</v>
      </c>
      <c r="J1130" t="str">
        <f>_xlfn.XLOOKUP(tblFinancials[[#This Row],[AccountKey]],tblAccounts[AccountKey],tblAccounts[AccountName],"")</f>
        <v>Cost of Goods Sold</v>
      </c>
      <c r="K1130" s="8" t="str">
        <f>_xlfn.XLOOKUP(tblFinancials[[#This Row],[AccountKey]],tblAccounts[AccountKey],tblAccounts[FinancialStatement],"")</f>
        <v>Income Statement</v>
      </c>
      <c r="L1130" s="8" t="str">
        <f>_xlfn.XLOOKUP(tblFinancials[[#This Row],[AccountKey]],tblAccounts[AccountKey],tblAccounts[AccountCategory],"")</f>
        <v>Cost of Sales</v>
      </c>
      <c r="M1130" s="8" t="str">
        <f>_xlfn.XLOOKUP(tblFinancials[[#This Row],[AccountKey]],tblAccounts[AccountKey],tblAccounts[NormalBalance],"")</f>
        <v>Debit</v>
      </c>
      <c r="N1130" s="8" t="str">
        <f>_xlfn.XLOOKUP(tblFinancials[[#This Row],[DepartmentKey]],tblDepartments[DepartmentKey],tblDepartments[DepartmentName],"")</f>
        <v>Marketing</v>
      </c>
      <c r="O1130" s="8" t="str">
        <f>_xlfn.XLOOKUP(tblFinancials[[#This Row],[BusinessUnitKey]],tblBusinessUnits[BusinessUnitKey],tblBusinessUnits[BusinessUnitName],"")</f>
        <v>Wholesale</v>
      </c>
      <c r="P1130" s="8" t="str">
        <f>_xlfn.XLOOKUP(tblFinancials[[#This Row],[RegionKey]],tblRegions[RegionKey],tblRegions[RegionName],"")</f>
        <v>East</v>
      </c>
    </row>
    <row r="1131" spans="1:16">
      <c r="A1131">
        <v>20250801</v>
      </c>
      <c r="B1131">
        <v>8</v>
      </c>
      <c r="C1131">
        <v>4</v>
      </c>
      <c r="D1131">
        <v>2</v>
      </c>
      <c r="E1131">
        <v>14</v>
      </c>
      <c r="F1131" t="s">
        <v>92</v>
      </c>
      <c r="G1131">
        <v>-20648.310000000001</v>
      </c>
      <c r="H1131">
        <f>_xlfn.XLOOKUP(tblFinancials[[#This Row],[DateKey]],tblCalendar[DateKey],tblCalendar[FullDate],"")</f>
        <v>45870</v>
      </c>
      <c r="I1131">
        <f>_xlfn.XLOOKUP(tblFinancials[[#This Row],[AccountKey]],tblAccounts[AccountKey],tblAccounts[AccountNumber],"")</f>
        <v>5000</v>
      </c>
      <c r="J1131" t="str">
        <f>_xlfn.XLOOKUP(tblFinancials[[#This Row],[AccountKey]],tblAccounts[AccountKey],tblAccounts[AccountName],"")</f>
        <v>Cost of Goods Sold</v>
      </c>
      <c r="K1131" s="8" t="str">
        <f>_xlfn.XLOOKUP(tblFinancials[[#This Row],[AccountKey]],tblAccounts[AccountKey],tblAccounts[FinancialStatement],"")</f>
        <v>Income Statement</v>
      </c>
      <c r="L1131" s="8" t="str">
        <f>_xlfn.XLOOKUP(tblFinancials[[#This Row],[AccountKey]],tblAccounts[AccountKey],tblAccounts[AccountCategory],"")</f>
        <v>Cost of Sales</v>
      </c>
      <c r="M1131" s="8" t="str">
        <f>_xlfn.XLOOKUP(tblFinancials[[#This Row],[AccountKey]],tblAccounts[AccountKey],tblAccounts[NormalBalance],"")</f>
        <v>Debit</v>
      </c>
      <c r="N1131" s="8" t="str">
        <f>_xlfn.XLOOKUP(tblFinancials[[#This Row],[DepartmentKey]],tblDepartments[DepartmentKey],tblDepartments[DepartmentName],"")</f>
        <v>Customer Service</v>
      </c>
      <c r="O1131" s="8" t="str">
        <f>_xlfn.XLOOKUP(tblFinancials[[#This Row],[BusinessUnitKey]],tblBusinessUnits[BusinessUnitKey],tblBusinessUnits[BusinessUnitName],"")</f>
        <v>E-Commerce</v>
      </c>
      <c r="P1131" s="8" t="str">
        <f>_xlfn.XLOOKUP(tblFinancials[[#This Row],[RegionKey]],tblRegions[RegionKey],tblRegions[RegionName],"")</f>
        <v>Midwest</v>
      </c>
    </row>
    <row r="1132" spans="1:16">
      <c r="A1132">
        <v>20250801</v>
      </c>
      <c r="B1132">
        <v>3</v>
      </c>
      <c r="C1132">
        <v>4</v>
      </c>
      <c r="D1132">
        <v>2</v>
      </c>
      <c r="E1132">
        <v>14</v>
      </c>
      <c r="F1132" t="s">
        <v>92</v>
      </c>
      <c r="G1132">
        <v>-20031.240000000002</v>
      </c>
      <c r="H1132">
        <f>_xlfn.XLOOKUP(tblFinancials[[#This Row],[DateKey]],tblCalendar[DateKey],tblCalendar[FullDate],"")</f>
        <v>45870</v>
      </c>
      <c r="I1132">
        <f>_xlfn.XLOOKUP(tblFinancials[[#This Row],[AccountKey]],tblAccounts[AccountKey],tblAccounts[AccountNumber],"")</f>
        <v>5000</v>
      </c>
      <c r="J1132" t="str">
        <f>_xlfn.XLOOKUP(tblFinancials[[#This Row],[AccountKey]],tblAccounts[AccountKey],tblAccounts[AccountName],"")</f>
        <v>Cost of Goods Sold</v>
      </c>
      <c r="K1132" s="8" t="str">
        <f>_xlfn.XLOOKUP(tblFinancials[[#This Row],[AccountKey]],tblAccounts[AccountKey],tblAccounts[FinancialStatement],"")</f>
        <v>Income Statement</v>
      </c>
      <c r="L1132" s="8" t="str">
        <f>_xlfn.XLOOKUP(tblFinancials[[#This Row],[AccountKey]],tblAccounts[AccountKey],tblAccounts[AccountCategory],"")</f>
        <v>Cost of Sales</v>
      </c>
      <c r="M1132" s="8" t="str">
        <f>_xlfn.XLOOKUP(tblFinancials[[#This Row],[AccountKey]],tblAccounts[AccountKey],tblAccounts[NormalBalance],"")</f>
        <v>Debit</v>
      </c>
      <c r="N1132" s="8" t="str">
        <f>_xlfn.XLOOKUP(tblFinancials[[#This Row],[DepartmentKey]],tblDepartments[DepartmentKey],tblDepartments[DepartmentName],"")</f>
        <v>Human Resources</v>
      </c>
      <c r="O1132" s="8" t="str">
        <f>_xlfn.XLOOKUP(tblFinancials[[#This Row],[BusinessUnitKey]],tblBusinessUnits[BusinessUnitKey],tblBusinessUnits[BusinessUnitName],"")</f>
        <v>E-Commerce</v>
      </c>
      <c r="P1132" s="8" t="str">
        <f>_xlfn.XLOOKUP(tblFinancials[[#This Row],[RegionKey]],tblRegions[RegionKey],tblRegions[RegionName],"")</f>
        <v>Midwest</v>
      </c>
    </row>
    <row r="1133" spans="1:16">
      <c r="A1133">
        <v>20250801</v>
      </c>
      <c r="B1133">
        <v>5</v>
      </c>
      <c r="C1133">
        <v>1</v>
      </c>
      <c r="D1133">
        <v>1</v>
      </c>
      <c r="E1133">
        <v>14</v>
      </c>
      <c r="F1133" t="s">
        <v>92</v>
      </c>
      <c r="G1133">
        <v>-19722.5</v>
      </c>
      <c r="H1133">
        <f>_xlfn.XLOOKUP(tblFinancials[[#This Row],[DateKey]],tblCalendar[DateKey],tblCalendar[FullDate],"")</f>
        <v>45870</v>
      </c>
      <c r="I1133">
        <f>_xlfn.XLOOKUP(tblFinancials[[#This Row],[AccountKey]],tblAccounts[AccountKey],tblAccounts[AccountNumber],"")</f>
        <v>5000</v>
      </c>
      <c r="J1133" t="str">
        <f>_xlfn.XLOOKUP(tblFinancials[[#This Row],[AccountKey]],tblAccounts[AccountKey],tblAccounts[AccountName],"")</f>
        <v>Cost of Goods Sold</v>
      </c>
      <c r="K1133" s="8" t="str">
        <f>_xlfn.XLOOKUP(tblFinancials[[#This Row],[AccountKey]],tblAccounts[AccountKey],tblAccounts[FinancialStatement],"")</f>
        <v>Income Statement</v>
      </c>
      <c r="L1133" s="8" t="str">
        <f>_xlfn.XLOOKUP(tblFinancials[[#This Row],[AccountKey]],tblAccounts[AccountKey],tblAccounts[AccountCategory],"")</f>
        <v>Cost of Sales</v>
      </c>
      <c r="M1133" s="8" t="str">
        <f>_xlfn.XLOOKUP(tblFinancials[[#This Row],[AccountKey]],tblAccounts[AccountKey],tblAccounts[NormalBalance],"")</f>
        <v>Debit</v>
      </c>
      <c r="N1133" s="8" t="str">
        <f>_xlfn.XLOOKUP(tblFinancials[[#This Row],[DepartmentKey]],tblDepartments[DepartmentKey],tblDepartments[DepartmentName],"")</f>
        <v>Marketing</v>
      </c>
      <c r="O1133" s="8" t="str">
        <f>_xlfn.XLOOKUP(tblFinancials[[#This Row],[BusinessUnitKey]],tblBusinessUnits[BusinessUnitKey],tblBusinessUnits[BusinessUnitName],"")</f>
        <v xml:space="preserve">Manufacturing </v>
      </c>
      <c r="P1133" s="8" t="str">
        <f>_xlfn.XLOOKUP(tblFinancials[[#This Row],[RegionKey]],tblRegions[RegionKey],tblRegions[RegionName],"")</f>
        <v>West</v>
      </c>
    </row>
    <row r="1134" spans="1:16">
      <c r="A1134">
        <v>20250801</v>
      </c>
      <c r="B1134">
        <v>3</v>
      </c>
      <c r="C1134">
        <v>2</v>
      </c>
      <c r="D1134">
        <v>3</v>
      </c>
      <c r="E1134">
        <v>14</v>
      </c>
      <c r="F1134" t="s">
        <v>92</v>
      </c>
      <c r="G1134">
        <v>-19504.87</v>
      </c>
      <c r="H1134">
        <f>_xlfn.XLOOKUP(tblFinancials[[#This Row],[DateKey]],tblCalendar[DateKey],tblCalendar[FullDate],"")</f>
        <v>45870</v>
      </c>
      <c r="I1134">
        <f>_xlfn.XLOOKUP(tblFinancials[[#This Row],[AccountKey]],tblAccounts[AccountKey],tblAccounts[AccountNumber],"")</f>
        <v>5000</v>
      </c>
      <c r="J1134" t="str">
        <f>_xlfn.XLOOKUP(tblFinancials[[#This Row],[AccountKey]],tblAccounts[AccountKey],tblAccounts[AccountName],"")</f>
        <v>Cost of Goods Sold</v>
      </c>
      <c r="K1134" s="8" t="str">
        <f>_xlfn.XLOOKUP(tblFinancials[[#This Row],[AccountKey]],tblAccounts[AccountKey],tblAccounts[FinancialStatement],"")</f>
        <v>Income Statement</v>
      </c>
      <c r="L1134" s="8" t="str">
        <f>_xlfn.XLOOKUP(tblFinancials[[#This Row],[AccountKey]],tblAccounts[AccountKey],tblAccounts[AccountCategory],"")</f>
        <v>Cost of Sales</v>
      </c>
      <c r="M1134" s="8" t="str">
        <f>_xlfn.XLOOKUP(tblFinancials[[#This Row],[AccountKey]],tblAccounts[AccountKey],tblAccounts[NormalBalance],"")</f>
        <v>Debit</v>
      </c>
      <c r="N1134" s="8" t="str">
        <f>_xlfn.XLOOKUP(tblFinancials[[#This Row],[DepartmentKey]],tblDepartments[DepartmentKey],tblDepartments[DepartmentName],"")</f>
        <v>Human Resources</v>
      </c>
      <c r="O1134" s="8" t="str">
        <f>_xlfn.XLOOKUP(tblFinancials[[#This Row],[BusinessUnitKey]],tblBusinessUnits[BusinessUnitKey],tblBusinessUnits[BusinessUnitName],"")</f>
        <v>Wholesale</v>
      </c>
      <c r="P1134" s="8" t="str">
        <f>_xlfn.XLOOKUP(tblFinancials[[#This Row],[RegionKey]],tblRegions[RegionKey],tblRegions[RegionName],"")</f>
        <v>South</v>
      </c>
    </row>
    <row r="1135" spans="1:16">
      <c r="A1135">
        <v>20250801</v>
      </c>
      <c r="B1135">
        <v>1</v>
      </c>
      <c r="C1135">
        <v>1</v>
      </c>
      <c r="D1135">
        <v>3</v>
      </c>
      <c r="E1135">
        <v>14</v>
      </c>
      <c r="F1135" t="s">
        <v>92</v>
      </c>
      <c r="G1135">
        <v>-19502.77</v>
      </c>
      <c r="H1135">
        <f>_xlfn.XLOOKUP(tblFinancials[[#This Row],[DateKey]],tblCalendar[DateKey],tblCalendar[FullDate],"")</f>
        <v>45870</v>
      </c>
      <c r="I1135">
        <f>_xlfn.XLOOKUP(tblFinancials[[#This Row],[AccountKey]],tblAccounts[AccountKey],tblAccounts[AccountNumber],"")</f>
        <v>5000</v>
      </c>
      <c r="J1135" t="str">
        <f>_xlfn.XLOOKUP(tblFinancials[[#This Row],[AccountKey]],tblAccounts[AccountKey],tblAccounts[AccountName],"")</f>
        <v>Cost of Goods Sold</v>
      </c>
      <c r="K1135" s="8" t="str">
        <f>_xlfn.XLOOKUP(tblFinancials[[#This Row],[AccountKey]],tblAccounts[AccountKey],tblAccounts[FinancialStatement],"")</f>
        <v>Income Statement</v>
      </c>
      <c r="L1135" s="8" t="str">
        <f>_xlfn.XLOOKUP(tblFinancials[[#This Row],[AccountKey]],tblAccounts[AccountKey],tblAccounts[AccountCategory],"")</f>
        <v>Cost of Sales</v>
      </c>
      <c r="M1135" s="8" t="str">
        <f>_xlfn.XLOOKUP(tblFinancials[[#This Row],[AccountKey]],tblAccounts[AccountKey],tblAccounts[NormalBalance],"")</f>
        <v>Debit</v>
      </c>
      <c r="N1135" s="8" t="str">
        <f>_xlfn.XLOOKUP(tblFinancials[[#This Row],[DepartmentKey]],tblDepartments[DepartmentKey],tblDepartments[DepartmentName],"")</f>
        <v>Executive</v>
      </c>
      <c r="O1135" s="8" t="str">
        <f>_xlfn.XLOOKUP(tblFinancials[[#This Row],[BusinessUnitKey]],tblBusinessUnits[BusinessUnitKey],tblBusinessUnits[BusinessUnitName],"")</f>
        <v xml:space="preserve">Manufacturing </v>
      </c>
      <c r="P1135" s="8" t="str">
        <f>_xlfn.XLOOKUP(tblFinancials[[#This Row],[RegionKey]],tblRegions[RegionKey],tblRegions[RegionName],"")</f>
        <v>South</v>
      </c>
    </row>
    <row r="1136" spans="1:16">
      <c r="A1136">
        <v>20250801</v>
      </c>
      <c r="B1136">
        <v>5</v>
      </c>
      <c r="C1136">
        <v>4</v>
      </c>
      <c r="D1136">
        <v>3</v>
      </c>
      <c r="E1136">
        <v>14</v>
      </c>
      <c r="F1136" t="s">
        <v>92</v>
      </c>
      <c r="G1136">
        <v>-21064.560000000001</v>
      </c>
      <c r="H1136">
        <f>_xlfn.XLOOKUP(tblFinancials[[#This Row],[DateKey]],tblCalendar[DateKey],tblCalendar[FullDate],"")</f>
        <v>45870</v>
      </c>
      <c r="I1136">
        <f>_xlfn.XLOOKUP(tblFinancials[[#This Row],[AccountKey]],tblAccounts[AccountKey],tblAccounts[AccountNumber],"")</f>
        <v>5000</v>
      </c>
      <c r="J1136" t="str">
        <f>_xlfn.XLOOKUP(tblFinancials[[#This Row],[AccountKey]],tblAccounts[AccountKey],tblAccounts[AccountName],"")</f>
        <v>Cost of Goods Sold</v>
      </c>
      <c r="K1136" s="8" t="str">
        <f>_xlfn.XLOOKUP(tblFinancials[[#This Row],[AccountKey]],tblAccounts[AccountKey],tblAccounts[FinancialStatement],"")</f>
        <v>Income Statement</v>
      </c>
      <c r="L1136" s="8" t="str">
        <f>_xlfn.XLOOKUP(tblFinancials[[#This Row],[AccountKey]],tblAccounts[AccountKey],tblAccounts[AccountCategory],"")</f>
        <v>Cost of Sales</v>
      </c>
      <c r="M1136" s="8" t="str">
        <f>_xlfn.XLOOKUP(tblFinancials[[#This Row],[AccountKey]],tblAccounts[AccountKey],tblAccounts[NormalBalance],"")</f>
        <v>Debit</v>
      </c>
      <c r="N1136" s="8" t="str">
        <f>_xlfn.XLOOKUP(tblFinancials[[#This Row],[DepartmentKey]],tblDepartments[DepartmentKey],tblDepartments[DepartmentName],"")</f>
        <v>Marketing</v>
      </c>
      <c r="O1136" s="8" t="str">
        <f>_xlfn.XLOOKUP(tblFinancials[[#This Row],[BusinessUnitKey]],tblBusinessUnits[BusinessUnitKey],tblBusinessUnits[BusinessUnitName],"")</f>
        <v>E-Commerce</v>
      </c>
      <c r="P1136" s="8" t="str">
        <f>_xlfn.XLOOKUP(tblFinancials[[#This Row],[RegionKey]],tblRegions[RegionKey],tblRegions[RegionName],"")</f>
        <v>South</v>
      </c>
    </row>
    <row r="1137" spans="1:16">
      <c r="A1137">
        <v>20250801</v>
      </c>
      <c r="B1137">
        <v>5</v>
      </c>
      <c r="C1137">
        <v>1</v>
      </c>
      <c r="D1137">
        <v>1</v>
      </c>
      <c r="E1137">
        <v>14</v>
      </c>
      <c r="F1137" t="s">
        <v>92</v>
      </c>
      <c r="G1137">
        <v>-20109.849999999999</v>
      </c>
      <c r="H1137">
        <f>_xlfn.XLOOKUP(tblFinancials[[#This Row],[DateKey]],tblCalendar[DateKey],tblCalendar[FullDate],"")</f>
        <v>45870</v>
      </c>
      <c r="I1137">
        <f>_xlfn.XLOOKUP(tblFinancials[[#This Row],[AccountKey]],tblAccounts[AccountKey],tblAccounts[AccountNumber],"")</f>
        <v>5000</v>
      </c>
      <c r="J1137" t="str">
        <f>_xlfn.XLOOKUP(tblFinancials[[#This Row],[AccountKey]],tblAccounts[AccountKey],tblAccounts[AccountName],"")</f>
        <v>Cost of Goods Sold</v>
      </c>
      <c r="K1137" s="8" t="str">
        <f>_xlfn.XLOOKUP(tblFinancials[[#This Row],[AccountKey]],tblAccounts[AccountKey],tblAccounts[FinancialStatement],"")</f>
        <v>Income Statement</v>
      </c>
      <c r="L1137" s="8" t="str">
        <f>_xlfn.XLOOKUP(tblFinancials[[#This Row],[AccountKey]],tblAccounts[AccountKey],tblAccounts[AccountCategory],"")</f>
        <v>Cost of Sales</v>
      </c>
      <c r="M1137" s="8" t="str">
        <f>_xlfn.XLOOKUP(tblFinancials[[#This Row],[AccountKey]],tblAccounts[AccountKey],tblAccounts[NormalBalance],"")</f>
        <v>Debit</v>
      </c>
      <c r="N1137" s="8" t="str">
        <f>_xlfn.XLOOKUP(tblFinancials[[#This Row],[DepartmentKey]],tblDepartments[DepartmentKey],tblDepartments[DepartmentName],"")</f>
        <v>Marketing</v>
      </c>
      <c r="O1137" s="8" t="str">
        <f>_xlfn.XLOOKUP(tblFinancials[[#This Row],[BusinessUnitKey]],tblBusinessUnits[BusinessUnitKey],tblBusinessUnits[BusinessUnitName],"")</f>
        <v xml:space="preserve">Manufacturing </v>
      </c>
      <c r="P1137" s="8" t="str">
        <f>_xlfn.XLOOKUP(tblFinancials[[#This Row],[RegionKey]],tblRegions[RegionKey],tblRegions[RegionName],"")</f>
        <v>West</v>
      </c>
    </row>
    <row r="1138" spans="1:16">
      <c r="A1138">
        <v>20250801</v>
      </c>
      <c r="B1138">
        <v>8</v>
      </c>
      <c r="C1138">
        <v>3</v>
      </c>
      <c r="D1138">
        <v>3</v>
      </c>
      <c r="E1138">
        <v>14</v>
      </c>
      <c r="F1138" t="s">
        <v>92</v>
      </c>
      <c r="G1138">
        <v>-21265.51</v>
      </c>
      <c r="H1138">
        <f>_xlfn.XLOOKUP(tblFinancials[[#This Row],[DateKey]],tblCalendar[DateKey],tblCalendar[FullDate],"")</f>
        <v>45870</v>
      </c>
      <c r="I1138">
        <f>_xlfn.XLOOKUP(tblFinancials[[#This Row],[AccountKey]],tblAccounts[AccountKey],tblAccounts[AccountNumber],"")</f>
        <v>5000</v>
      </c>
      <c r="J1138" t="str">
        <f>_xlfn.XLOOKUP(tblFinancials[[#This Row],[AccountKey]],tblAccounts[AccountKey],tblAccounts[AccountName],"")</f>
        <v>Cost of Goods Sold</v>
      </c>
      <c r="K1138" s="8" t="str">
        <f>_xlfn.XLOOKUP(tblFinancials[[#This Row],[AccountKey]],tblAccounts[AccountKey],tblAccounts[FinancialStatement],"")</f>
        <v>Income Statement</v>
      </c>
      <c r="L1138" s="8" t="str">
        <f>_xlfn.XLOOKUP(tblFinancials[[#This Row],[AccountKey]],tblAccounts[AccountKey],tblAccounts[AccountCategory],"")</f>
        <v>Cost of Sales</v>
      </c>
      <c r="M1138" s="8" t="str">
        <f>_xlfn.XLOOKUP(tblFinancials[[#This Row],[AccountKey]],tblAccounts[AccountKey],tblAccounts[NormalBalance],"")</f>
        <v>Debit</v>
      </c>
      <c r="N1138" s="8" t="str">
        <f>_xlfn.XLOOKUP(tblFinancials[[#This Row],[DepartmentKey]],tblDepartments[DepartmentKey],tblDepartments[DepartmentName],"")</f>
        <v>Customer Service</v>
      </c>
      <c r="O1138" s="8" t="str">
        <f>_xlfn.XLOOKUP(tblFinancials[[#This Row],[BusinessUnitKey]],tblBusinessUnits[BusinessUnitKey],tblBusinessUnits[BusinessUnitName],"")</f>
        <v>Retail</v>
      </c>
      <c r="P1138" s="8" t="str">
        <f>_xlfn.XLOOKUP(tblFinancials[[#This Row],[RegionKey]],tblRegions[RegionKey],tblRegions[RegionName],"")</f>
        <v>South</v>
      </c>
    </row>
    <row r="1139" spans="1:16">
      <c r="A1139">
        <v>20250801</v>
      </c>
      <c r="B1139">
        <v>4</v>
      </c>
      <c r="C1139">
        <v>3</v>
      </c>
      <c r="D1139">
        <v>4</v>
      </c>
      <c r="E1139">
        <v>14</v>
      </c>
      <c r="F1139" t="s">
        <v>92</v>
      </c>
      <c r="G1139">
        <v>-20284.48</v>
      </c>
      <c r="H1139">
        <f>_xlfn.XLOOKUP(tblFinancials[[#This Row],[DateKey]],tblCalendar[DateKey],tblCalendar[FullDate],"")</f>
        <v>45870</v>
      </c>
      <c r="I1139">
        <f>_xlfn.XLOOKUP(tblFinancials[[#This Row],[AccountKey]],tblAccounts[AccountKey],tblAccounts[AccountNumber],"")</f>
        <v>5000</v>
      </c>
      <c r="J1139" t="str">
        <f>_xlfn.XLOOKUP(tblFinancials[[#This Row],[AccountKey]],tblAccounts[AccountKey],tblAccounts[AccountName],"")</f>
        <v>Cost of Goods Sold</v>
      </c>
      <c r="K1139" s="8" t="str">
        <f>_xlfn.XLOOKUP(tblFinancials[[#This Row],[AccountKey]],tblAccounts[AccountKey],tblAccounts[FinancialStatement],"")</f>
        <v>Income Statement</v>
      </c>
      <c r="L1139" s="8" t="str">
        <f>_xlfn.XLOOKUP(tblFinancials[[#This Row],[AccountKey]],tblAccounts[AccountKey],tblAccounts[AccountCategory],"")</f>
        <v>Cost of Sales</v>
      </c>
      <c r="M1139" s="8" t="str">
        <f>_xlfn.XLOOKUP(tblFinancials[[#This Row],[AccountKey]],tblAccounts[AccountKey],tblAccounts[NormalBalance],"")</f>
        <v>Debit</v>
      </c>
      <c r="N1139" s="8" t="str">
        <f>_xlfn.XLOOKUP(tblFinancials[[#This Row],[DepartmentKey]],tblDepartments[DepartmentKey],tblDepartments[DepartmentName],"")</f>
        <v>Sales</v>
      </c>
      <c r="O1139" s="8" t="str">
        <f>_xlfn.XLOOKUP(tblFinancials[[#This Row],[BusinessUnitKey]],tblBusinessUnits[BusinessUnitKey],tblBusinessUnits[BusinessUnitName],"")</f>
        <v>Retail</v>
      </c>
      <c r="P1139" s="8" t="str">
        <f>_xlfn.XLOOKUP(tblFinancials[[#This Row],[RegionKey]],tblRegions[RegionKey],tblRegions[RegionName],"")</f>
        <v>East</v>
      </c>
    </row>
    <row r="1140" spans="1:16">
      <c r="A1140">
        <v>20250801</v>
      </c>
      <c r="B1140">
        <v>7</v>
      </c>
      <c r="C1140">
        <v>4</v>
      </c>
      <c r="D1140">
        <v>3</v>
      </c>
      <c r="E1140">
        <v>14</v>
      </c>
      <c r="F1140" t="s">
        <v>92</v>
      </c>
      <c r="G1140">
        <v>-19851.77</v>
      </c>
      <c r="H1140">
        <f>_xlfn.XLOOKUP(tblFinancials[[#This Row],[DateKey]],tblCalendar[DateKey],tblCalendar[FullDate],"")</f>
        <v>45870</v>
      </c>
      <c r="I1140">
        <f>_xlfn.XLOOKUP(tblFinancials[[#This Row],[AccountKey]],tblAccounts[AccountKey],tblAccounts[AccountNumber],"")</f>
        <v>5000</v>
      </c>
      <c r="J1140" t="str">
        <f>_xlfn.XLOOKUP(tblFinancials[[#This Row],[AccountKey]],tblAccounts[AccountKey],tblAccounts[AccountName],"")</f>
        <v>Cost of Goods Sold</v>
      </c>
      <c r="K1140" s="8" t="str">
        <f>_xlfn.XLOOKUP(tblFinancials[[#This Row],[AccountKey]],tblAccounts[AccountKey],tblAccounts[FinancialStatement],"")</f>
        <v>Income Statement</v>
      </c>
      <c r="L1140" s="8" t="str">
        <f>_xlfn.XLOOKUP(tblFinancials[[#This Row],[AccountKey]],tblAccounts[AccountKey],tblAccounts[AccountCategory],"")</f>
        <v>Cost of Sales</v>
      </c>
      <c r="M1140" s="8" t="str">
        <f>_xlfn.XLOOKUP(tblFinancials[[#This Row],[AccountKey]],tblAccounts[AccountKey],tblAccounts[NormalBalance],"")</f>
        <v>Debit</v>
      </c>
      <c r="N1140" s="8" t="str">
        <f>_xlfn.XLOOKUP(tblFinancials[[#This Row],[DepartmentKey]],tblDepartments[DepartmentKey],tblDepartments[DepartmentName],"")</f>
        <v>Information Technology</v>
      </c>
      <c r="O1140" s="8" t="str">
        <f>_xlfn.XLOOKUP(tblFinancials[[#This Row],[BusinessUnitKey]],tblBusinessUnits[BusinessUnitKey],tblBusinessUnits[BusinessUnitName],"")</f>
        <v>E-Commerce</v>
      </c>
      <c r="P1140" s="8" t="str">
        <f>_xlfn.XLOOKUP(tblFinancials[[#This Row],[RegionKey]],tblRegions[RegionKey],tblRegions[RegionName],"")</f>
        <v>South</v>
      </c>
    </row>
    <row r="1141" spans="1:16">
      <c r="A1141">
        <v>20250801</v>
      </c>
      <c r="B1141">
        <v>1</v>
      </c>
      <c r="C1141">
        <v>2</v>
      </c>
      <c r="D1141">
        <v>1</v>
      </c>
      <c r="E1141">
        <v>14</v>
      </c>
      <c r="F1141" t="s">
        <v>92</v>
      </c>
      <c r="G1141">
        <v>-24951.4</v>
      </c>
      <c r="H1141">
        <f>_xlfn.XLOOKUP(tblFinancials[[#This Row],[DateKey]],tblCalendar[DateKey],tblCalendar[FullDate],"")</f>
        <v>45870</v>
      </c>
      <c r="I1141">
        <f>_xlfn.XLOOKUP(tblFinancials[[#This Row],[AccountKey]],tblAccounts[AccountKey],tblAccounts[AccountNumber],"")</f>
        <v>5000</v>
      </c>
      <c r="J1141" t="str">
        <f>_xlfn.XLOOKUP(tblFinancials[[#This Row],[AccountKey]],tblAccounts[AccountKey],tblAccounts[AccountName],"")</f>
        <v>Cost of Goods Sold</v>
      </c>
      <c r="K1141" s="8" t="str">
        <f>_xlfn.XLOOKUP(tblFinancials[[#This Row],[AccountKey]],tblAccounts[AccountKey],tblAccounts[FinancialStatement],"")</f>
        <v>Income Statement</v>
      </c>
      <c r="L1141" s="8" t="str">
        <f>_xlfn.XLOOKUP(tblFinancials[[#This Row],[AccountKey]],tblAccounts[AccountKey],tblAccounts[AccountCategory],"")</f>
        <v>Cost of Sales</v>
      </c>
      <c r="M1141" s="8" t="str">
        <f>_xlfn.XLOOKUP(tblFinancials[[#This Row],[AccountKey]],tblAccounts[AccountKey],tblAccounts[NormalBalance],"")</f>
        <v>Debit</v>
      </c>
      <c r="N1141" s="8" t="str">
        <f>_xlfn.XLOOKUP(tblFinancials[[#This Row],[DepartmentKey]],tblDepartments[DepartmentKey],tblDepartments[DepartmentName],"")</f>
        <v>Executive</v>
      </c>
      <c r="O1141" s="8" t="str">
        <f>_xlfn.XLOOKUP(tblFinancials[[#This Row],[BusinessUnitKey]],tblBusinessUnits[BusinessUnitKey],tblBusinessUnits[BusinessUnitName],"")</f>
        <v>Wholesale</v>
      </c>
      <c r="P1141" s="8" t="str">
        <f>_xlfn.XLOOKUP(tblFinancials[[#This Row],[RegionKey]],tblRegions[RegionKey],tblRegions[RegionName],"")</f>
        <v>West</v>
      </c>
    </row>
    <row r="1142" spans="1:16">
      <c r="A1142">
        <v>20250801</v>
      </c>
      <c r="B1142">
        <v>3</v>
      </c>
      <c r="C1142">
        <v>1</v>
      </c>
      <c r="D1142">
        <v>4</v>
      </c>
      <c r="E1142">
        <v>19</v>
      </c>
      <c r="F1142" t="s">
        <v>92</v>
      </c>
      <c r="G1142">
        <v>-8359.07</v>
      </c>
      <c r="H1142">
        <f>_xlfn.XLOOKUP(tblFinancials[[#This Row],[DateKey]],tblCalendar[DateKey],tblCalendar[FullDate],"")</f>
        <v>45870</v>
      </c>
      <c r="I1142">
        <f>_xlfn.XLOOKUP(tblFinancials[[#This Row],[AccountKey]],tblAccounts[AccountKey],tblAccounts[AccountNumber],"")</f>
        <v>6300</v>
      </c>
      <c r="J1142" t="str">
        <f>_xlfn.XLOOKUP(tblFinancials[[#This Row],[AccountKey]],tblAccounts[AccountKey],tblAccounts[AccountName],"")</f>
        <v>Software Expense</v>
      </c>
      <c r="K1142" s="8" t="str">
        <f>_xlfn.XLOOKUP(tblFinancials[[#This Row],[AccountKey]],tblAccounts[AccountKey],tblAccounts[FinancialStatement],"")</f>
        <v>Income Statement</v>
      </c>
      <c r="L1142" s="8" t="str">
        <f>_xlfn.XLOOKUP(tblFinancials[[#This Row],[AccountKey]],tblAccounts[AccountKey],tblAccounts[AccountCategory],"")</f>
        <v>Operating Expense</v>
      </c>
      <c r="M1142" s="8" t="str">
        <f>_xlfn.XLOOKUP(tblFinancials[[#This Row],[AccountKey]],tblAccounts[AccountKey],tblAccounts[NormalBalance],"")</f>
        <v>Debit</v>
      </c>
      <c r="N1142" s="8" t="str">
        <f>_xlfn.XLOOKUP(tblFinancials[[#This Row],[DepartmentKey]],tblDepartments[DepartmentKey],tblDepartments[DepartmentName],"")</f>
        <v>Human Resources</v>
      </c>
      <c r="O1142" s="8" t="str">
        <f>_xlfn.XLOOKUP(tblFinancials[[#This Row],[BusinessUnitKey]],tblBusinessUnits[BusinessUnitKey],tblBusinessUnits[BusinessUnitName],"")</f>
        <v xml:space="preserve">Manufacturing </v>
      </c>
      <c r="P1142" s="8" t="str">
        <f>_xlfn.XLOOKUP(tblFinancials[[#This Row],[RegionKey]],tblRegions[RegionKey],tblRegions[RegionName],"")</f>
        <v>East</v>
      </c>
    </row>
    <row r="1143" spans="1:16">
      <c r="A1143">
        <v>20250801</v>
      </c>
      <c r="B1143">
        <v>7</v>
      </c>
      <c r="C1143">
        <v>4</v>
      </c>
      <c r="D1143">
        <v>4</v>
      </c>
      <c r="E1143">
        <v>21</v>
      </c>
      <c r="F1143" t="s">
        <v>92</v>
      </c>
      <c r="G1143">
        <v>-8664.58</v>
      </c>
      <c r="H1143">
        <f>_xlfn.XLOOKUP(tblFinancials[[#This Row],[DateKey]],tblCalendar[DateKey],tblCalendar[FullDate],"")</f>
        <v>45870</v>
      </c>
      <c r="I1143">
        <f>_xlfn.XLOOKUP(tblFinancials[[#This Row],[AccountKey]],tblAccounts[AccountKey],tblAccounts[AccountNumber],"")</f>
        <v>6600</v>
      </c>
      <c r="J1143" t="str">
        <f>_xlfn.XLOOKUP(tblFinancials[[#This Row],[AccountKey]],tblAccounts[AccountKey],tblAccounts[AccountName],"")</f>
        <v>Utilities Expense</v>
      </c>
      <c r="K1143" s="8" t="str">
        <f>_xlfn.XLOOKUP(tblFinancials[[#This Row],[AccountKey]],tblAccounts[AccountKey],tblAccounts[FinancialStatement],"")</f>
        <v>Income Statement</v>
      </c>
      <c r="L1143" s="8" t="str">
        <f>_xlfn.XLOOKUP(tblFinancials[[#This Row],[AccountKey]],tblAccounts[AccountKey],tblAccounts[AccountCategory],"")</f>
        <v>Operating Expense</v>
      </c>
      <c r="M1143" s="8" t="str">
        <f>_xlfn.XLOOKUP(tblFinancials[[#This Row],[AccountKey]],tblAccounts[AccountKey],tblAccounts[NormalBalance],"")</f>
        <v>Debit</v>
      </c>
      <c r="N1143" s="8" t="str">
        <f>_xlfn.XLOOKUP(tblFinancials[[#This Row],[DepartmentKey]],tblDepartments[DepartmentKey],tblDepartments[DepartmentName],"")</f>
        <v>Information Technology</v>
      </c>
      <c r="O1143" s="8" t="str">
        <f>_xlfn.XLOOKUP(tblFinancials[[#This Row],[BusinessUnitKey]],tblBusinessUnits[BusinessUnitKey],tblBusinessUnits[BusinessUnitName],"")</f>
        <v>E-Commerce</v>
      </c>
      <c r="P1143" s="8" t="str">
        <f>_xlfn.XLOOKUP(tblFinancials[[#This Row],[RegionKey]],tblRegions[RegionKey],tblRegions[RegionName],"")</f>
        <v>East</v>
      </c>
    </row>
    <row r="1144" spans="1:16">
      <c r="A1144">
        <v>20250801</v>
      </c>
      <c r="B1144">
        <v>8</v>
      </c>
      <c r="C1144">
        <v>4</v>
      </c>
      <c r="D1144">
        <v>1</v>
      </c>
      <c r="E1144">
        <v>20</v>
      </c>
      <c r="F1144" t="s">
        <v>92</v>
      </c>
      <c r="G1144">
        <v>-8003.01</v>
      </c>
      <c r="H1144">
        <f>_xlfn.XLOOKUP(tblFinancials[[#This Row],[DateKey]],tblCalendar[DateKey],tblCalendar[FullDate],"")</f>
        <v>45870</v>
      </c>
      <c r="I1144">
        <f>_xlfn.XLOOKUP(tblFinancials[[#This Row],[AccountKey]],tblAccounts[AccountKey],tblAccounts[AccountNumber],"")</f>
        <v>6500</v>
      </c>
      <c r="J1144" t="str">
        <f>_xlfn.XLOOKUP(tblFinancials[[#This Row],[AccountKey]],tblAccounts[AccountKey],tblAccounts[AccountName],"")</f>
        <v>Rent Expense</v>
      </c>
      <c r="K1144" s="8" t="str">
        <f>_xlfn.XLOOKUP(tblFinancials[[#This Row],[AccountKey]],tblAccounts[AccountKey],tblAccounts[FinancialStatement],"")</f>
        <v>Income Statement</v>
      </c>
      <c r="L1144" s="8" t="str">
        <f>_xlfn.XLOOKUP(tblFinancials[[#This Row],[AccountKey]],tblAccounts[AccountKey],tblAccounts[AccountCategory],"")</f>
        <v>Operating Expense</v>
      </c>
      <c r="M1144" s="8" t="str">
        <f>_xlfn.XLOOKUP(tblFinancials[[#This Row],[AccountKey]],tblAccounts[AccountKey],tblAccounts[NormalBalance],"")</f>
        <v>Debit</v>
      </c>
      <c r="N1144" s="8" t="str">
        <f>_xlfn.XLOOKUP(tblFinancials[[#This Row],[DepartmentKey]],tblDepartments[DepartmentKey],tblDepartments[DepartmentName],"")</f>
        <v>Customer Service</v>
      </c>
      <c r="O1144" s="8" t="str">
        <f>_xlfn.XLOOKUP(tblFinancials[[#This Row],[BusinessUnitKey]],tblBusinessUnits[BusinessUnitKey],tblBusinessUnits[BusinessUnitName],"")</f>
        <v>E-Commerce</v>
      </c>
      <c r="P1144" s="8" t="str">
        <f>_xlfn.XLOOKUP(tblFinancials[[#This Row],[RegionKey]],tblRegions[RegionKey],tblRegions[RegionName],"")</f>
        <v>West</v>
      </c>
    </row>
    <row r="1145" spans="1:16">
      <c r="A1145">
        <v>20250801</v>
      </c>
      <c r="B1145">
        <v>4</v>
      </c>
      <c r="C1145">
        <v>3</v>
      </c>
      <c r="D1145">
        <v>2</v>
      </c>
      <c r="E1145">
        <v>19</v>
      </c>
      <c r="F1145" t="s">
        <v>92</v>
      </c>
      <c r="G1145">
        <v>-8171.87</v>
      </c>
      <c r="H1145">
        <f>_xlfn.XLOOKUP(tblFinancials[[#This Row],[DateKey]],tblCalendar[DateKey],tblCalendar[FullDate],"")</f>
        <v>45870</v>
      </c>
      <c r="I1145">
        <f>_xlfn.XLOOKUP(tblFinancials[[#This Row],[AccountKey]],tblAccounts[AccountKey],tblAccounts[AccountNumber],"")</f>
        <v>6300</v>
      </c>
      <c r="J1145" t="str">
        <f>_xlfn.XLOOKUP(tblFinancials[[#This Row],[AccountKey]],tblAccounts[AccountKey],tblAccounts[AccountName],"")</f>
        <v>Software Expense</v>
      </c>
      <c r="K1145" s="8" t="str">
        <f>_xlfn.XLOOKUP(tblFinancials[[#This Row],[AccountKey]],tblAccounts[AccountKey],tblAccounts[FinancialStatement],"")</f>
        <v>Income Statement</v>
      </c>
      <c r="L1145" s="8" t="str">
        <f>_xlfn.XLOOKUP(tblFinancials[[#This Row],[AccountKey]],tblAccounts[AccountKey],tblAccounts[AccountCategory],"")</f>
        <v>Operating Expense</v>
      </c>
      <c r="M1145" s="8" t="str">
        <f>_xlfn.XLOOKUP(tblFinancials[[#This Row],[AccountKey]],tblAccounts[AccountKey],tblAccounts[NormalBalance],"")</f>
        <v>Debit</v>
      </c>
      <c r="N1145" s="8" t="str">
        <f>_xlfn.XLOOKUP(tblFinancials[[#This Row],[DepartmentKey]],tblDepartments[DepartmentKey],tblDepartments[DepartmentName],"")</f>
        <v>Sales</v>
      </c>
      <c r="O1145" s="8" t="str">
        <f>_xlfn.XLOOKUP(tblFinancials[[#This Row],[BusinessUnitKey]],tblBusinessUnits[BusinessUnitKey],tblBusinessUnits[BusinessUnitName],"")</f>
        <v>Retail</v>
      </c>
      <c r="P1145" s="8" t="str">
        <f>_xlfn.XLOOKUP(tblFinancials[[#This Row],[RegionKey]],tblRegions[RegionKey],tblRegions[RegionName],"")</f>
        <v>Midwest</v>
      </c>
    </row>
    <row r="1146" spans="1:16">
      <c r="A1146">
        <v>20250801</v>
      </c>
      <c r="B1146">
        <v>3</v>
      </c>
      <c r="C1146">
        <v>3</v>
      </c>
      <c r="D1146">
        <v>4</v>
      </c>
      <c r="E1146">
        <v>19</v>
      </c>
      <c r="F1146" t="s">
        <v>92</v>
      </c>
      <c r="G1146">
        <v>-7728.07</v>
      </c>
      <c r="H1146">
        <f>_xlfn.XLOOKUP(tblFinancials[[#This Row],[DateKey]],tblCalendar[DateKey],tblCalendar[FullDate],"")</f>
        <v>45870</v>
      </c>
      <c r="I1146">
        <f>_xlfn.XLOOKUP(tblFinancials[[#This Row],[AccountKey]],tblAccounts[AccountKey],tblAccounts[AccountNumber],"")</f>
        <v>6300</v>
      </c>
      <c r="J1146" t="str">
        <f>_xlfn.XLOOKUP(tblFinancials[[#This Row],[AccountKey]],tblAccounts[AccountKey],tblAccounts[AccountName],"")</f>
        <v>Software Expense</v>
      </c>
      <c r="K1146" s="8" t="str">
        <f>_xlfn.XLOOKUP(tblFinancials[[#This Row],[AccountKey]],tblAccounts[AccountKey],tblAccounts[FinancialStatement],"")</f>
        <v>Income Statement</v>
      </c>
      <c r="L1146" s="8" t="str">
        <f>_xlfn.XLOOKUP(tblFinancials[[#This Row],[AccountKey]],tblAccounts[AccountKey],tblAccounts[AccountCategory],"")</f>
        <v>Operating Expense</v>
      </c>
      <c r="M1146" s="8" t="str">
        <f>_xlfn.XLOOKUP(tblFinancials[[#This Row],[AccountKey]],tblAccounts[AccountKey],tblAccounts[NormalBalance],"")</f>
        <v>Debit</v>
      </c>
      <c r="N1146" s="8" t="str">
        <f>_xlfn.XLOOKUP(tblFinancials[[#This Row],[DepartmentKey]],tblDepartments[DepartmentKey],tblDepartments[DepartmentName],"")</f>
        <v>Human Resources</v>
      </c>
      <c r="O1146" s="8" t="str">
        <f>_xlfn.XLOOKUP(tblFinancials[[#This Row],[BusinessUnitKey]],tblBusinessUnits[BusinessUnitKey],tblBusinessUnits[BusinessUnitName],"")</f>
        <v>Retail</v>
      </c>
      <c r="P1146" s="8" t="str">
        <f>_xlfn.XLOOKUP(tblFinancials[[#This Row],[RegionKey]],tblRegions[RegionKey],tblRegions[RegionName],"")</f>
        <v>East</v>
      </c>
    </row>
    <row r="1147" spans="1:16">
      <c r="A1147">
        <v>20250801</v>
      </c>
      <c r="B1147">
        <v>6</v>
      </c>
      <c r="C1147">
        <v>1</v>
      </c>
      <c r="D1147">
        <v>4</v>
      </c>
      <c r="E1147">
        <v>18</v>
      </c>
      <c r="F1147" t="s">
        <v>92</v>
      </c>
      <c r="G1147">
        <v>-7848.91</v>
      </c>
      <c r="H1147">
        <f>_xlfn.XLOOKUP(tblFinancials[[#This Row],[DateKey]],tblCalendar[DateKey],tblCalendar[FullDate],"")</f>
        <v>45870</v>
      </c>
      <c r="I1147">
        <f>_xlfn.XLOOKUP(tblFinancials[[#This Row],[AccountKey]],tblAccounts[AccountKey],tblAccounts[AccountNumber],"")</f>
        <v>6200</v>
      </c>
      <c r="J1147" t="str">
        <f>_xlfn.XLOOKUP(tblFinancials[[#This Row],[AccountKey]],tblAccounts[AccountKey],tblAccounts[AccountName],"")</f>
        <v>Marketing Expense</v>
      </c>
      <c r="K1147" s="8" t="str">
        <f>_xlfn.XLOOKUP(tblFinancials[[#This Row],[AccountKey]],tblAccounts[AccountKey],tblAccounts[FinancialStatement],"")</f>
        <v>Income Statement</v>
      </c>
      <c r="L1147" s="8" t="str">
        <f>_xlfn.XLOOKUP(tblFinancials[[#This Row],[AccountKey]],tblAccounts[AccountKey],tblAccounts[AccountCategory],"")</f>
        <v>Operating Expense</v>
      </c>
      <c r="M1147" s="8" t="str">
        <f>_xlfn.XLOOKUP(tblFinancials[[#This Row],[AccountKey]],tblAccounts[AccountKey],tblAccounts[NormalBalance],"")</f>
        <v>Debit</v>
      </c>
      <c r="N1147" s="8" t="str">
        <f>_xlfn.XLOOKUP(tblFinancials[[#This Row],[DepartmentKey]],tblDepartments[DepartmentKey],tblDepartments[DepartmentName],"")</f>
        <v>Operations</v>
      </c>
      <c r="O1147" s="8" t="str">
        <f>_xlfn.XLOOKUP(tblFinancials[[#This Row],[BusinessUnitKey]],tblBusinessUnits[BusinessUnitKey],tblBusinessUnits[BusinessUnitName],"")</f>
        <v xml:space="preserve">Manufacturing </v>
      </c>
      <c r="P1147" s="8" t="str">
        <f>_xlfn.XLOOKUP(tblFinancials[[#This Row],[RegionKey]],tblRegions[RegionKey],tblRegions[RegionName],"")</f>
        <v>East</v>
      </c>
    </row>
    <row r="1148" spans="1:16">
      <c r="A1148">
        <v>20250801</v>
      </c>
      <c r="B1148">
        <v>3</v>
      </c>
      <c r="C1148">
        <v>1</v>
      </c>
      <c r="D1148">
        <v>3</v>
      </c>
      <c r="E1148">
        <v>16</v>
      </c>
      <c r="F1148" t="s">
        <v>92</v>
      </c>
      <c r="G1148">
        <v>-7966.67</v>
      </c>
      <c r="H1148">
        <f>_xlfn.XLOOKUP(tblFinancials[[#This Row],[DateKey]],tblCalendar[DateKey],tblCalendar[FullDate],"")</f>
        <v>45870</v>
      </c>
      <c r="I1148">
        <f>_xlfn.XLOOKUP(tblFinancials[[#This Row],[AccountKey]],tblAccounts[AccountKey],tblAccounts[AccountNumber],"")</f>
        <v>6110</v>
      </c>
      <c r="J1148" t="str">
        <f>_xlfn.XLOOKUP(tblFinancials[[#This Row],[AccountKey]],tblAccounts[AccountKey],tblAccounts[AccountName],"")</f>
        <v>Payroll Taxes</v>
      </c>
      <c r="K1148" s="8" t="str">
        <f>_xlfn.XLOOKUP(tblFinancials[[#This Row],[AccountKey]],tblAccounts[AccountKey],tblAccounts[FinancialStatement],"")</f>
        <v>Income Statement</v>
      </c>
      <c r="L1148" s="8" t="str">
        <f>_xlfn.XLOOKUP(tblFinancials[[#This Row],[AccountKey]],tblAccounts[AccountKey],tblAccounts[AccountCategory],"")</f>
        <v>Operating Expense</v>
      </c>
      <c r="M1148" s="8" t="str">
        <f>_xlfn.XLOOKUP(tblFinancials[[#This Row],[AccountKey]],tblAccounts[AccountKey],tblAccounts[NormalBalance],"")</f>
        <v>Debit</v>
      </c>
      <c r="N1148" s="8" t="str">
        <f>_xlfn.XLOOKUP(tblFinancials[[#This Row],[DepartmentKey]],tblDepartments[DepartmentKey],tblDepartments[DepartmentName],"")</f>
        <v>Human Resources</v>
      </c>
      <c r="O1148" s="8" t="str">
        <f>_xlfn.XLOOKUP(tblFinancials[[#This Row],[BusinessUnitKey]],tblBusinessUnits[BusinessUnitKey],tblBusinessUnits[BusinessUnitName],"")</f>
        <v xml:space="preserve">Manufacturing </v>
      </c>
      <c r="P1148" s="8" t="str">
        <f>_xlfn.XLOOKUP(tblFinancials[[#This Row],[RegionKey]],tblRegions[RegionKey],tblRegions[RegionName],"")</f>
        <v>South</v>
      </c>
    </row>
    <row r="1149" spans="1:16">
      <c r="A1149">
        <v>20250801</v>
      </c>
      <c r="B1149">
        <v>1</v>
      </c>
      <c r="C1149">
        <v>2</v>
      </c>
      <c r="D1149">
        <v>1</v>
      </c>
      <c r="E1149">
        <v>23</v>
      </c>
      <c r="F1149" t="s">
        <v>92</v>
      </c>
      <c r="G1149">
        <v>-8179.15</v>
      </c>
      <c r="H1149">
        <f>_xlfn.XLOOKUP(tblFinancials[[#This Row],[DateKey]],tblCalendar[DateKey],tblCalendar[FullDate],"")</f>
        <v>45870</v>
      </c>
      <c r="I1149">
        <f>_xlfn.XLOOKUP(tblFinancials[[#This Row],[AccountKey]],tblAccounts[AccountKey],tblAccounts[AccountNumber],"")</f>
        <v>6800</v>
      </c>
      <c r="J1149" t="str">
        <f>_xlfn.XLOOKUP(tblFinancials[[#This Row],[AccountKey]],tblAccounts[AccountKey],tblAccounts[AccountName],"")</f>
        <v>Travel Expense</v>
      </c>
      <c r="K1149" s="8" t="str">
        <f>_xlfn.XLOOKUP(tblFinancials[[#This Row],[AccountKey]],tblAccounts[AccountKey],tblAccounts[FinancialStatement],"")</f>
        <v>Income Statement</v>
      </c>
      <c r="L1149" s="8" t="str">
        <f>_xlfn.XLOOKUP(tblFinancials[[#This Row],[AccountKey]],tblAccounts[AccountKey],tblAccounts[AccountCategory],"")</f>
        <v>Operating Expense</v>
      </c>
      <c r="M1149" s="8" t="str">
        <f>_xlfn.XLOOKUP(tblFinancials[[#This Row],[AccountKey]],tblAccounts[AccountKey],tblAccounts[NormalBalance],"")</f>
        <v>Debit</v>
      </c>
      <c r="N1149" s="8" t="str">
        <f>_xlfn.XLOOKUP(tblFinancials[[#This Row],[DepartmentKey]],tblDepartments[DepartmentKey],tblDepartments[DepartmentName],"")</f>
        <v>Executive</v>
      </c>
      <c r="O1149" s="8" t="str">
        <f>_xlfn.XLOOKUP(tblFinancials[[#This Row],[BusinessUnitKey]],tblBusinessUnits[BusinessUnitKey],tblBusinessUnits[BusinessUnitName],"")</f>
        <v>Wholesale</v>
      </c>
      <c r="P1149" s="8" t="str">
        <f>_xlfn.XLOOKUP(tblFinancials[[#This Row],[RegionKey]],tblRegions[RegionKey],tblRegions[RegionName],"")</f>
        <v>West</v>
      </c>
    </row>
    <row r="1150" spans="1:16">
      <c r="A1150">
        <v>20250801</v>
      </c>
      <c r="B1150">
        <v>6</v>
      </c>
      <c r="C1150">
        <v>2</v>
      </c>
      <c r="D1150">
        <v>3</v>
      </c>
      <c r="E1150">
        <v>19</v>
      </c>
      <c r="F1150" t="s">
        <v>92</v>
      </c>
      <c r="G1150">
        <v>-7825.09</v>
      </c>
      <c r="H1150">
        <f>_xlfn.XLOOKUP(tblFinancials[[#This Row],[DateKey]],tblCalendar[DateKey],tblCalendar[FullDate],"")</f>
        <v>45870</v>
      </c>
      <c r="I1150">
        <f>_xlfn.XLOOKUP(tblFinancials[[#This Row],[AccountKey]],tblAccounts[AccountKey],tblAccounts[AccountNumber],"")</f>
        <v>6300</v>
      </c>
      <c r="J1150" t="str">
        <f>_xlfn.XLOOKUP(tblFinancials[[#This Row],[AccountKey]],tblAccounts[AccountKey],tblAccounts[AccountName],"")</f>
        <v>Software Expense</v>
      </c>
      <c r="K1150" s="8" t="str">
        <f>_xlfn.XLOOKUP(tblFinancials[[#This Row],[AccountKey]],tblAccounts[AccountKey],tblAccounts[FinancialStatement],"")</f>
        <v>Income Statement</v>
      </c>
      <c r="L1150" s="8" t="str">
        <f>_xlfn.XLOOKUP(tblFinancials[[#This Row],[AccountKey]],tblAccounts[AccountKey],tblAccounts[AccountCategory],"")</f>
        <v>Operating Expense</v>
      </c>
      <c r="M1150" s="8" t="str">
        <f>_xlfn.XLOOKUP(tblFinancials[[#This Row],[AccountKey]],tblAccounts[AccountKey],tblAccounts[NormalBalance],"")</f>
        <v>Debit</v>
      </c>
      <c r="N1150" s="8" t="str">
        <f>_xlfn.XLOOKUP(tblFinancials[[#This Row],[DepartmentKey]],tblDepartments[DepartmentKey],tblDepartments[DepartmentName],"")</f>
        <v>Operations</v>
      </c>
      <c r="O1150" s="8" t="str">
        <f>_xlfn.XLOOKUP(tblFinancials[[#This Row],[BusinessUnitKey]],tblBusinessUnits[BusinessUnitKey],tblBusinessUnits[BusinessUnitName],"")</f>
        <v>Wholesale</v>
      </c>
      <c r="P1150" s="8" t="str">
        <f>_xlfn.XLOOKUP(tblFinancials[[#This Row],[RegionKey]],tblRegions[RegionKey],tblRegions[RegionName],"")</f>
        <v>South</v>
      </c>
    </row>
    <row r="1151" spans="1:16">
      <c r="A1151">
        <v>20250801</v>
      </c>
      <c r="B1151">
        <v>3</v>
      </c>
      <c r="C1151">
        <v>4</v>
      </c>
      <c r="D1151">
        <v>3</v>
      </c>
      <c r="E1151">
        <v>19</v>
      </c>
      <c r="F1151" t="s">
        <v>92</v>
      </c>
      <c r="G1151">
        <v>-7291.6</v>
      </c>
      <c r="H1151">
        <f>_xlfn.XLOOKUP(tblFinancials[[#This Row],[DateKey]],tblCalendar[DateKey],tblCalendar[FullDate],"")</f>
        <v>45870</v>
      </c>
      <c r="I1151">
        <f>_xlfn.XLOOKUP(tblFinancials[[#This Row],[AccountKey]],tblAccounts[AccountKey],tblAccounts[AccountNumber],"")</f>
        <v>6300</v>
      </c>
      <c r="J1151" t="str">
        <f>_xlfn.XLOOKUP(tblFinancials[[#This Row],[AccountKey]],tblAccounts[AccountKey],tblAccounts[AccountName],"")</f>
        <v>Software Expense</v>
      </c>
      <c r="K1151" s="8" t="str">
        <f>_xlfn.XLOOKUP(tblFinancials[[#This Row],[AccountKey]],tblAccounts[AccountKey],tblAccounts[FinancialStatement],"")</f>
        <v>Income Statement</v>
      </c>
      <c r="L1151" s="8" t="str">
        <f>_xlfn.XLOOKUP(tblFinancials[[#This Row],[AccountKey]],tblAccounts[AccountKey],tblAccounts[AccountCategory],"")</f>
        <v>Operating Expense</v>
      </c>
      <c r="M1151" s="8" t="str">
        <f>_xlfn.XLOOKUP(tblFinancials[[#This Row],[AccountKey]],tblAccounts[AccountKey],tblAccounts[NormalBalance],"")</f>
        <v>Debit</v>
      </c>
      <c r="N1151" s="8" t="str">
        <f>_xlfn.XLOOKUP(tblFinancials[[#This Row],[DepartmentKey]],tblDepartments[DepartmentKey],tblDepartments[DepartmentName],"")</f>
        <v>Human Resources</v>
      </c>
      <c r="O1151" s="8" t="str">
        <f>_xlfn.XLOOKUP(tblFinancials[[#This Row],[BusinessUnitKey]],tblBusinessUnits[BusinessUnitKey],tblBusinessUnits[BusinessUnitName],"")</f>
        <v>E-Commerce</v>
      </c>
      <c r="P1151" s="8" t="str">
        <f>_xlfn.XLOOKUP(tblFinancials[[#This Row],[RegionKey]],tblRegions[RegionKey],tblRegions[RegionName],"")</f>
        <v>South</v>
      </c>
    </row>
    <row r="1152" spans="1:16">
      <c r="A1152">
        <v>20250801</v>
      </c>
      <c r="B1152">
        <v>7</v>
      </c>
      <c r="C1152">
        <v>3</v>
      </c>
      <c r="D1152">
        <v>1</v>
      </c>
      <c r="E1152">
        <v>22</v>
      </c>
      <c r="F1152" t="s">
        <v>92</v>
      </c>
      <c r="G1152">
        <v>-8840.8700000000008</v>
      </c>
      <c r="H1152">
        <f>_xlfn.XLOOKUP(tblFinancials[[#This Row],[DateKey]],tblCalendar[DateKey],tblCalendar[FullDate],"")</f>
        <v>45870</v>
      </c>
      <c r="I1152">
        <f>_xlfn.XLOOKUP(tblFinancials[[#This Row],[AccountKey]],tblAccounts[AccountKey],tblAccounts[AccountNumber],"")</f>
        <v>6700</v>
      </c>
      <c r="J1152" t="str">
        <f>_xlfn.XLOOKUP(tblFinancials[[#This Row],[AccountKey]],tblAccounts[AccountKey],tblAccounts[AccountName],"")</f>
        <v>Insurance Expense</v>
      </c>
      <c r="K1152" s="8" t="str">
        <f>_xlfn.XLOOKUP(tblFinancials[[#This Row],[AccountKey]],tblAccounts[AccountKey],tblAccounts[FinancialStatement],"")</f>
        <v>Income Statement</v>
      </c>
      <c r="L1152" s="8" t="str">
        <f>_xlfn.XLOOKUP(tblFinancials[[#This Row],[AccountKey]],tblAccounts[AccountKey],tblAccounts[AccountCategory],"")</f>
        <v>Operating Expense</v>
      </c>
      <c r="M1152" s="8" t="str">
        <f>_xlfn.XLOOKUP(tblFinancials[[#This Row],[AccountKey]],tblAccounts[AccountKey],tblAccounts[NormalBalance],"")</f>
        <v>Debit</v>
      </c>
      <c r="N1152" s="8" t="str">
        <f>_xlfn.XLOOKUP(tblFinancials[[#This Row],[DepartmentKey]],tblDepartments[DepartmentKey],tblDepartments[DepartmentName],"")</f>
        <v>Information Technology</v>
      </c>
      <c r="O1152" s="8" t="str">
        <f>_xlfn.XLOOKUP(tblFinancials[[#This Row],[BusinessUnitKey]],tblBusinessUnits[BusinessUnitKey],tblBusinessUnits[BusinessUnitName],"")</f>
        <v>Retail</v>
      </c>
      <c r="P1152" s="8" t="str">
        <f>_xlfn.XLOOKUP(tblFinancials[[#This Row],[RegionKey]],tblRegions[RegionKey],tblRegions[RegionName],"")</f>
        <v>West</v>
      </c>
    </row>
    <row r="1153" spans="1:16">
      <c r="A1153">
        <v>20250801</v>
      </c>
      <c r="B1153">
        <v>1</v>
      </c>
      <c r="C1153">
        <v>4</v>
      </c>
      <c r="D1153">
        <v>4</v>
      </c>
      <c r="E1153">
        <v>24</v>
      </c>
      <c r="F1153" t="s">
        <v>92</v>
      </c>
      <c r="G1153">
        <v>-10639.3</v>
      </c>
      <c r="H1153">
        <f>_xlfn.XLOOKUP(tblFinancials[[#This Row],[DateKey]],tblCalendar[DateKey],tblCalendar[FullDate],"")</f>
        <v>45870</v>
      </c>
      <c r="I1153">
        <f>_xlfn.XLOOKUP(tblFinancials[[#This Row],[AccountKey]],tblAccounts[AccountKey],tblAccounts[AccountNumber],"")</f>
        <v>6900</v>
      </c>
      <c r="J1153" t="str">
        <f>_xlfn.XLOOKUP(tblFinancials[[#This Row],[AccountKey]],tblAccounts[AccountKey],tblAccounts[AccountName],"")</f>
        <v>Professional Services</v>
      </c>
      <c r="K1153" s="8" t="str">
        <f>_xlfn.XLOOKUP(tblFinancials[[#This Row],[AccountKey]],tblAccounts[AccountKey],tblAccounts[FinancialStatement],"")</f>
        <v>Income Statement</v>
      </c>
      <c r="L1153" s="8" t="str">
        <f>_xlfn.XLOOKUP(tblFinancials[[#This Row],[AccountKey]],tblAccounts[AccountKey],tblAccounts[AccountCategory],"")</f>
        <v>Operating Expense</v>
      </c>
      <c r="M1153" s="8" t="str">
        <f>_xlfn.XLOOKUP(tblFinancials[[#This Row],[AccountKey]],tblAccounts[AccountKey],tblAccounts[NormalBalance],"")</f>
        <v>Debit</v>
      </c>
      <c r="N1153" s="8" t="str">
        <f>_xlfn.XLOOKUP(tblFinancials[[#This Row],[DepartmentKey]],tblDepartments[DepartmentKey],tblDepartments[DepartmentName],"")</f>
        <v>Executive</v>
      </c>
      <c r="O1153" s="8" t="str">
        <f>_xlfn.XLOOKUP(tblFinancials[[#This Row],[BusinessUnitKey]],tblBusinessUnits[BusinessUnitKey],tblBusinessUnits[BusinessUnitName],"")</f>
        <v>E-Commerce</v>
      </c>
      <c r="P1153" s="8" t="str">
        <f>_xlfn.XLOOKUP(tblFinancials[[#This Row],[RegionKey]],tblRegions[RegionKey],tblRegions[RegionName],"")</f>
        <v>East</v>
      </c>
    </row>
    <row r="1154" spans="1:16">
      <c r="A1154">
        <v>20250901</v>
      </c>
      <c r="B1154">
        <v>3</v>
      </c>
      <c r="C1154">
        <v>4</v>
      </c>
      <c r="D1154">
        <v>3</v>
      </c>
      <c r="E1154">
        <v>13</v>
      </c>
      <c r="F1154" t="s">
        <v>92</v>
      </c>
      <c r="G1154">
        <v>33414.83</v>
      </c>
      <c r="H1154">
        <f>_xlfn.XLOOKUP(tblFinancials[[#This Row],[DateKey]],tblCalendar[DateKey],tblCalendar[FullDate],"")</f>
        <v>45901</v>
      </c>
      <c r="I1154">
        <f>_xlfn.XLOOKUP(tblFinancials[[#This Row],[AccountKey]],tblAccounts[AccountKey],tblAccounts[AccountNumber],"")</f>
        <v>4020</v>
      </c>
      <c r="J1154" t="str">
        <f>_xlfn.XLOOKUP(tblFinancials[[#This Row],[AccountKey]],tblAccounts[AccountKey],tblAccounts[AccountName],"")</f>
        <v>Online Revenue</v>
      </c>
      <c r="K1154" s="8" t="str">
        <f>_xlfn.XLOOKUP(tblFinancials[[#This Row],[AccountKey]],tblAccounts[AccountKey],tblAccounts[FinancialStatement],"")</f>
        <v>Income Statement</v>
      </c>
      <c r="L1154" s="8" t="str">
        <f>_xlfn.XLOOKUP(tblFinancials[[#This Row],[AccountKey]],tblAccounts[AccountKey],tblAccounts[AccountCategory],"")</f>
        <v>Revenue</v>
      </c>
      <c r="M1154" s="8" t="str">
        <f>_xlfn.XLOOKUP(tblFinancials[[#This Row],[AccountKey]],tblAccounts[AccountKey],tblAccounts[NormalBalance],"")</f>
        <v>Credit</v>
      </c>
      <c r="N1154" s="8" t="str">
        <f>_xlfn.XLOOKUP(tblFinancials[[#This Row],[DepartmentKey]],tblDepartments[DepartmentKey],tblDepartments[DepartmentName],"")</f>
        <v>Human Resources</v>
      </c>
      <c r="O1154" s="8" t="str">
        <f>_xlfn.XLOOKUP(tblFinancials[[#This Row],[BusinessUnitKey]],tblBusinessUnits[BusinessUnitKey],tblBusinessUnits[BusinessUnitName],"")</f>
        <v>E-Commerce</v>
      </c>
      <c r="P1154" s="8" t="str">
        <f>_xlfn.XLOOKUP(tblFinancials[[#This Row],[RegionKey]],tblRegions[RegionKey],tblRegions[RegionName],"")</f>
        <v>South</v>
      </c>
    </row>
    <row r="1155" spans="1:16">
      <c r="A1155">
        <v>20250901</v>
      </c>
      <c r="B1155">
        <v>6</v>
      </c>
      <c r="C1155">
        <v>1</v>
      </c>
      <c r="D1155">
        <v>3</v>
      </c>
      <c r="E1155">
        <v>11</v>
      </c>
      <c r="F1155" t="s">
        <v>92</v>
      </c>
      <c r="G1155">
        <v>31695.49</v>
      </c>
      <c r="H1155">
        <f>_xlfn.XLOOKUP(tblFinancials[[#This Row],[DateKey]],tblCalendar[DateKey],tblCalendar[FullDate],"")</f>
        <v>45901</v>
      </c>
      <c r="I1155">
        <f>_xlfn.XLOOKUP(tblFinancials[[#This Row],[AccountKey]],tblAccounts[AccountKey],tblAccounts[AccountNumber],"")</f>
        <v>4000</v>
      </c>
      <c r="J1155" t="str">
        <f>_xlfn.XLOOKUP(tblFinancials[[#This Row],[AccountKey]],tblAccounts[AccountKey],tblAccounts[AccountName],"")</f>
        <v>Product Revenue</v>
      </c>
      <c r="K1155" s="8" t="str">
        <f>_xlfn.XLOOKUP(tblFinancials[[#This Row],[AccountKey]],tblAccounts[AccountKey],tblAccounts[FinancialStatement],"")</f>
        <v>Income Statement</v>
      </c>
      <c r="L1155" s="8" t="str">
        <f>_xlfn.XLOOKUP(tblFinancials[[#This Row],[AccountKey]],tblAccounts[AccountKey],tblAccounts[AccountCategory],"")</f>
        <v>Revenue</v>
      </c>
      <c r="M1155" s="8" t="str">
        <f>_xlfn.XLOOKUP(tblFinancials[[#This Row],[AccountKey]],tblAccounts[AccountKey],tblAccounts[NormalBalance],"")</f>
        <v>Credit</v>
      </c>
      <c r="N1155" s="8" t="str">
        <f>_xlfn.XLOOKUP(tblFinancials[[#This Row],[DepartmentKey]],tblDepartments[DepartmentKey],tblDepartments[DepartmentName],"")</f>
        <v>Operations</v>
      </c>
      <c r="O1155" s="8" t="str">
        <f>_xlfn.XLOOKUP(tblFinancials[[#This Row],[BusinessUnitKey]],tblBusinessUnits[BusinessUnitKey],tblBusinessUnits[BusinessUnitName],"")</f>
        <v xml:space="preserve">Manufacturing </v>
      </c>
      <c r="P1155" s="8" t="str">
        <f>_xlfn.XLOOKUP(tblFinancials[[#This Row],[RegionKey]],tblRegions[RegionKey],tblRegions[RegionName],"")</f>
        <v>South</v>
      </c>
    </row>
    <row r="1156" spans="1:16">
      <c r="A1156">
        <v>20250901</v>
      </c>
      <c r="B1156">
        <v>6</v>
      </c>
      <c r="C1156">
        <v>1</v>
      </c>
      <c r="D1156">
        <v>3</v>
      </c>
      <c r="E1156">
        <v>12</v>
      </c>
      <c r="F1156" t="s">
        <v>92</v>
      </c>
      <c r="G1156">
        <v>33727.370000000003</v>
      </c>
      <c r="H1156">
        <f>_xlfn.XLOOKUP(tblFinancials[[#This Row],[DateKey]],tblCalendar[DateKey],tblCalendar[FullDate],"")</f>
        <v>45901</v>
      </c>
      <c r="I1156">
        <f>_xlfn.XLOOKUP(tblFinancials[[#This Row],[AccountKey]],tblAccounts[AccountKey],tblAccounts[AccountNumber],"")</f>
        <v>4010</v>
      </c>
      <c r="J1156" t="str">
        <f>_xlfn.XLOOKUP(tblFinancials[[#This Row],[AccountKey]],tblAccounts[AccountKey],tblAccounts[AccountName],"")</f>
        <v>Service Revenue</v>
      </c>
      <c r="K1156" s="8" t="str">
        <f>_xlfn.XLOOKUP(tblFinancials[[#This Row],[AccountKey]],tblAccounts[AccountKey],tblAccounts[FinancialStatement],"")</f>
        <v>Income Statement</v>
      </c>
      <c r="L1156" s="8" t="str">
        <f>_xlfn.XLOOKUP(tblFinancials[[#This Row],[AccountKey]],tblAccounts[AccountKey],tblAccounts[AccountCategory],"")</f>
        <v>Revenue</v>
      </c>
      <c r="M1156" s="8" t="str">
        <f>_xlfn.XLOOKUP(tblFinancials[[#This Row],[AccountKey]],tblAccounts[AccountKey],tblAccounts[NormalBalance],"")</f>
        <v>Credit</v>
      </c>
      <c r="N1156" s="8" t="str">
        <f>_xlfn.XLOOKUP(tblFinancials[[#This Row],[DepartmentKey]],tblDepartments[DepartmentKey],tblDepartments[DepartmentName],"")</f>
        <v>Operations</v>
      </c>
      <c r="O1156" s="8" t="str">
        <f>_xlfn.XLOOKUP(tblFinancials[[#This Row],[BusinessUnitKey]],tblBusinessUnits[BusinessUnitKey],tblBusinessUnits[BusinessUnitName],"")</f>
        <v xml:space="preserve">Manufacturing </v>
      </c>
      <c r="P1156" s="8" t="str">
        <f>_xlfn.XLOOKUP(tblFinancials[[#This Row],[RegionKey]],tblRegions[RegionKey],tblRegions[RegionName],"")</f>
        <v>South</v>
      </c>
    </row>
    <row r="1157" spans="1:16">
      <c r="A1157">
        <v>20250901</v>
      </c>
      <c r="B1157">
        <v>6</v>
      </c>
      <c r="C1157">
        <v>4</v>
      </c>
      <c r="D1157">
        <v>2</v>
      </c>
      <c r="E1157">
        <v>12</v>
      </c>
      <c r="F1157" t="s">
        <v>92</v>
      </c>
      <c r="G1157">
        <v>33859.83</v>
      </c>
      <c r="H1157">
        <f>_xlfn.XLOOKUP(tblFinancials[[#This Row],[DateKey]],tblCalendar[DateKey],tblCalendar[FullDate],"")</f>
        <v>45901</v>
      </c>
      <c r="I1157">
        <f>_xlfn.XLOOKUP(tblFinancials[[#This Row],[AccountKey]],tblAccounts[AccountKey],tblAccounts[AccountNumber],"")</f>
        <v>4010</v>
      </c>
      <c r="J1157" t="str">
        <f>_xlfn.XLOOKUP(tblFinancials[[#This Row],[AccountKey]],tblAccounts[AccountKey],tblAccounts[AccountName],"")</f>
        <v>Service Revenue</v>
      </c>
      <c r="K1157" s="8" t="str">
        <f>_xlfn.XLOOKUP(tblFinancials[[#This Row],[AccountKey]],tblAccounts[AccountKey],tblAccounts[FinancialStatement],"")</f>
        <v>Income Statement</v>
      </c>
      <c r="L1157" s="8" t="str">
        <f>_xlfn.XLOOKUP(tblFinancials[[#This Row],[AccountKey]],tblAccounts[AccountKey],tblAccounts[AccountCategory],"")</f>
        <v>Revenue</v>
      </c>
      <c r="M1157" s="8" t="str">
        <f>_xlfn.XLOOKUP(tblFinancials[[#This Row],[AccountKey]],tblAccounts[AccountKey],tblAccounts[NormalBalance],"")</f>
        <v>Credit</v>
      </c>
      <c r="N1157" s="8" t="str">
        <f>_xlfn.XLOOKUP(tblFinancials[[#This Row],[DepartmentKey]],tblDepartments[DepartmentKey],tblDepartments[DepartmentName],"")</f>
        <v>Operations</v>
      </c>
      <c r="O1157" s="8" t="str">
        <f>_xlfn.XLOOKUP(tblFinancials[[#This Row],[BusinessUnitKey]],tblBusinessUnits[BusinessUnitKey],tblBusinessUnits[BusinessUnitName],"")</f>
        <v>E-Commerce</v>
      </c>
      <c r="P1157" s="8" t="str">
        <f>_xlfn.XLOOKUP(tblFinancials[[#This Row],[RegionKey]],tblRegions[RegionKey],tblRegions[RegionName],"")</f>
        <v>Midwest</v>
      </c>
    </row>
    <row r="1158" spans="1:16">
      <c r="A1158">
        <v>20250901</v>
      </c>
      <c r="B1158">
        <v>1</v>
      </c>
      <c r="C1158">
        <v>2</v>
      </c>
      <c r="D1158">
        <v>2</v>
      </c>
      <c r="E1158">
        <v>12</v>
      </c>
      <c r="F1158" t="s">
        <v>92</v>
      </c>
      <c r="G1158">
        <v>33678.080000000002</v>
      </c>
      <c r="H1158">
        <f>_xlfn.XLOOKUP(tblFinancials[[#This Row],[DateKey]],tblCalendar[DateKey],tblCalendar[FullDate],"")</f>
        <v>45901</v>
      </c>
      <c r="I1158">
        <f>_xlfn.XLOOKUP(tblFinancials[[#This Row],[AccountKey]],tblAccounts[AccountKey],tblAccounts[AccountNumber],"")</f>
        <v>4010</v>
      </c>
      <c r="J1158" t="str">
        <f>_xlfn.XLOOKUP(tblFinancials[[#This Row],[AccountKey]],tblAccounts[AccountKey],tblAccounts[AccountName],"")</f>
        <v>Service Revenue</v>
      </c>
      <c r="K1158" s="8" t="str">
        <f>_xlfn.XLOOKUP(tblFinancials[[#This Row],[AccountKey]],tblAccounts[AccountKey],tblAccounts[FinancialStatement],"")</f>
        <v>Income Statement</v>
      </c>
      <c r="L1158" s="8" t="str">
        <f>_xlfn.XLOOKUP(tblFinancials[[#This Row],[AccountKey]],tblAccounts[AccountKey],tblAccounts[AccountCategory],"")</f>
        <v>Revenue</v>
      </c>
      <c r="M1158" s="8" t="str">
        <f>_xlfn.XLOOKUP(tblFinancials[[#This Row],[AccountKey]],tblAccounts[AccountKey],tblAccounts[NormalBalance],"")</f>
        <v>Credit</v>
      </c>
      <c r="N1158" s="8" t="str">
        <f>_xlfn.XLOOKUP(tblFinancials[[#This Row],[DepartmentKey]],tblDepartments[DepartmentKey],tblDepartments[DepartmentName],"")</f>
        <v>Executive</v>
      </c>
      <c r="O1158" s="8" t="str">
        <f>_xlfn.XLOOKUP(tblFinancials[[#This Row],[BusinessUnitKey]],tblBusinessUnits[BusinessUnitKey],tblBusinessUnits[BusinessUnitName],"")</f>
        <v>Wholesale</v>
      </c>
      <c r="P1158" s="8" t="str">
        <f>_xlfn.XLOOKUP(tblFinancials[[#This Row],[RegionKey]],tblRegions[RegionKey],tblRegions[RegionName],"")</f>
        <v>Midwest</v>
      </c>
    </row>
    <row r="1159" spans="1:16">
      <c r="A1159">
        <v>20250901</v>
      </c>
      <c r="B1159">
        <v>2</v>
      </c>
      <c r="C1159">
        <v>3</v>
      </c>
      <c r="D1159">
        <v>3</v>
      </c>
      <c r="E1159">
        <v>11</v>
      </c>
      <c r="F1159" t="s">
        <v>92</v>
      </c>
      <c r="G1159">
        <v>32566.35</v>
      </c>
      <c r="H1159">
        <f>_xlfn.XLOOKUP(tblFinancials[[#This Row],[DateKey]],tblCalendar[DateKey],tblCalendar[FullDate],"")</f>
        <v>45901</v>
      </c>
      <c r="I1159">
        <f>_xlfn.XLOOKUP(tblFinancials[[#This Row],[AccountKey]],tblAccounts[AccountKey],tblAccounts[AccountNumber],"")</f>
        <v>4000</v>
      </c>
      <c r="J1159" t="str">
        <f>_xlfn.XLOOKUP(tblFinancials[[#This Row],[AccountKey]],tblAccounts[AccountKey],tblAccounts[AccountName],"")</f>
        <v>Product Revenue</v>
      </c>
      <c r="K1159" s="8" t="str">
        <f>_xlfn.XLOOKUP(tblFinancials[[#This Row],[AccountKey]],tblAccounts[AccountKey],tblAccounts[FinancialStatement],"")</f>
        <v>Income Statement</v>
      </c>
      <c r="L1159" s="8" t="str">
        <f>_xlfn.XLOOKUP(tblFinancials[[#This Row],[AccountKey]],tblAccounts[AccountKey],tblAccounts[AccountCategory],"")</f>
        <v>Revenue</v>
      </c>
      <c r="M1159" s="8" t="str">
        <f>_xlfn.XLOOKUP(tblFinancials[[#This Row],[AccountKey]],tblAccounts[AccountKey],tblAccounts[NormalBalance],"")</f>
        <v>Credit</v>
      </c>
      <c r="N1159" s="8" t="str">
        <f>_xlfn.XLOOKUP(tblFinancials[[#This Row],[DepartmentKey]],tblDepartments[DepartmentKey],tblDepartments[DepartmentName],"")</f>
        <v>Finance</v>
      </c>
      <c r="O1159" s="8" t="str">
        <f>_xlfn.XLOOKUP(tblFinancials[[#This Row],[BusinessUnitKey]],tblBusinessUnits[BusinessUnitKey],tblBusinessUnits[BusinessUnitName],"")</f>
        <v>Retail</v>
      </c>
      <c r="P1159" s="8" t="str">
        <f>_xlfn.XLOOKUP(tblFinancials[[#This Row],[RegionKey]],tblRegions[RegionKey],tblRegions[RegionName],"")</f>
        <v>South</v>
      </c>
    </row>
    <row r="1160" spans="1:16">
      <c r="A1160">
        <v>20250901</v>
      </c>
      <c r="B1160">
        <v>7</v>
      </c>
      <c r="C1160">
        <v>2</v>
      </c>
      <c r="D1160">
        <v>2</v>
      </c>
      <c r="E1160">
        <v>13</v>
      </c>
      <c r="F1160" t="s">
        <v>92</v>
      </c>
      <c r="G1160">
        <v>32334.15</v>
      </c>
      <c r="H1160">
        <f>_xlfn.XLOOKUP(tblFinancials[[#This Row],[DateKey]],tblCalendar[DateKey],tblCalendar[FullDate],"")</f>
        <v>45901</v>
      </c>
      <c r="I1160">
        <f>_xlfn.XLOOKUP(tblFinancials[[#This Row],[AccountKey]],tblAccounts[AccountKey],tblAccounts[AccountNumber],"")</f>
        <v>4020</v>
      </c>
      <c r="J1160" t="str">
        <f>_xlfn.XLOOKUP(tblFinancials[[#This Row],[AccountKey]],tblAccounts[AccountKey],tblAccounts[AccountName],"")</f>
        <v>Online Revenue</v>
      </c>
      <c r="K1160" s="8" t="str">
        <f>_xlfn.XLOOKUP(tblFinancials[[#This Row],[AccountKey]],tblAccounts[AccountKey],tblAccounts[FinancialStatement],"")</f>
        <v>Income Statement</v>
      </c>
      <c r="L1160" s="8" t="str">
        <f>_xlfn.XLOOKUP(tblFinancials[[#This Row],[AccountKey]],tblAccounts[AccountKey],tblAccounts[AccountCategory],"")</f>
        <v>Revenue</v>
      </c>
      <c r="M1160" s="8" t="str">
        <f>_xlfn.XLOOKUP(tblFinancials[[#This Row],[AccountKey]],tblAccounts[AccountKey],tblAccounts[NormalBalance],"")</f>
        <v>Credit</v>
      </c>
      <c r="N1160" s="8" t="str">
        <f>_xlfn.XLOOKUP(tblFinancials[[#This Row],[DepartmentKey]],tblDepartments[DepartmentKey],tblDepartments[DepartmentName],"")</f>
        <v>Information Technology</v>
      </c>
      <c r="O1160" s="8" t="str">
        <f>_xlfn.XLOOKUP(tblFinancials[[#This Row],[BusinessUnitKey]],tblBusinessUnits[BusinessUnitKey],tblBusinessUnits[BusinessUnitName],"")</f>
        <v>Wholesale</v>
      </c>
      <c r="P1160" s="8" t="str">
        <f>_xlfn.XLOOKUP(tblFinancials[[#This Row],[RegionKey]],tblRegions[RegionKey],tblRegions[RegionName],"")</f>
        <v>Midwest</v>
      </c>
    </row>
    <row r="1161" spans="1:16">
      <c r="A1161">
        <v>20250901</v>
      </c>
      <c r="B1161">
        <v>6</v>
      </c>
      <c r="C1161">
        <v>4</v>
      </c>
      <c r="D1161">
        <v>3</v>
      </c>
      <c r="E1161">
        <v>12</v>
      </c>
      <c r="F1161" t="s">
        <v>92</v>
      </c>
      <c r="G1161">
        <v>32015.57</v>
      </c>
      <c r="H1161">
        <f>_xlfn.XLOOKUP(tblFinancials[[#This Row],[DateKey]],tblCalendar[DateKey],tblCalendar[FullDate],"")</f>
        <v>45901</v>
      </c>
      <c r="I1161">
        <f>_xlfn.XLOOKUP(tblFinancials[[#This Row],[AccountKey]],tblAccounts[AccountKey],tblAccounts[AccountNumber],"")</f>
        <v>4010</v>
      </c>
      <c r="J1161" t="str">
        <f>_xlfn.XLOOKUP(tblFinancials[[#This Row],[AccountKey]],tblAccounts[AccountKey],tblAccounts[AccountName],"")</f>
        <v>Service Revenue</v>
      </c>
      <c r="K1161" s="8" t="str">
        <f>_xlfn.XLOOKUP(tblFinancials[[#This Row],[AccountKey]],tblAccounts[AccountKey],tblAccounts[FinancialStatement],"")</f>
        <v>Income Statement</v>
      </c>
      <c r="L1161" s="8" t="str">
        <f>_xlfn.XLOOKUP(tblFinancials[[#This Row],[AccountKey]],tblAccounts[AccountKey],tblAccounts[AccountCategory],"")</f>
        <v>Revenue</v>
      </c>
      <c r="M1161" s="8" t="str">
        <f>_xlfn.XLOOKUP(tblFinancials[[#This Row],[AccountKey]],tblAccounts[AccountKey],tblAccounts[NormalBalance],"")</f>
        <v>Credit</v>
      </c>
      <c r="N1161" s="8" t="str">
        <f>_xlfn.XLOOKUP(tblFinancials[[#This Row],[DepartmentKey]],tblDepartments[DepartmentKey],tblDepartments[DepartmentName],"")</f>
        <v>Operations</v>
      </c>
      <c r="O1161" s="8" t="str">
        <f>_xlfn.XLOOKUP(tblFinancials[[#This Row],[BusinessUnitKey]],tblBusinessUnits[BusinessUnitKey],tblBusinessUnits[BusinessUnitName],"")</f>
        <v>E-Commerce</v>
      </c>
      <c r="P1161" s="8" t="str">
        <f>_xlfn.XLOOKUP(tblFinancials[[#This Row],[RegionKey]],tblRegions[RegionKey],tblRegions[RegionName],"")</f>
        <v>South</v>
      </c>
    </row>
    <row r="1162" spans="1:16">
      <c r="A1162">
        <v>20250901</v>
      </c>
      <c r="B1162">
        <v>4</v>
      </c>
      <c r="C1162">
        <v>3</v>
      </c>
      <c r="D1162">
        <v>1</v>
      </c>
      <c r="E1162">
        <v>12</v>
      </c>
      <c r="F1162" t="s">
        <v>92</v>
      </c>
      <c r="G1162">
        <v>32787.24</v>
      </c>
      <c r="H1162">
        <f>_xlfn.XLOOKUP(tblFinancials[[#This Row],[DateKey]],tblCalendar[DateKey],tblCalendar[FullDate],"")</f>
        <v>45901</v>
      </c>
      <c r="I1162">
        <f>_xlfn.XLOOKUP(tblFinancials[[#This Row],[AccountKey]],tblAccounts[AccountKey],tblAccounts[AccountNumber],"")</f>
        <v>4010</v>
      </c>
      <c r="J1162" t="str">
        <f>_xlfn.XLOOKUP(tblFinancials[[#This Row],[AccountKey]],tblAccounts[AccountKey],tblAccounts[AccountName],"")</f>
        <v>Service Revenue</v>
      </c>
      <c r="K1162" s="8" t="str">
        <f>_xlfn.XLOOKUP(tblFinancials[[#This Row],[AccountKey]],tblAccounts[AccountKey],tblAccounts[FinancialStatement],"")</f>
        <v>Income Statement</v>
      </c>
      <c r="L1162" s="8" t="str">
        <f>_xlfn.XLOOKUP(tblFinancials[[#This Row],[AccountKey]],tblAccounts[AccountKey],tblAccounts[AccountCategory],"")</f>
        <v>Revenue</v>
      </c>
      <c r="M1162" s="8" t="str">
        <f>_xlfn.XLOOKUP(tblFinancials[[#This Row],[AccountKey]],tblAccounts[AccountKey],tblAccounts[NormalBalance],"")</f>
        <v>Credit</v>
      </c>
      <c r="N1162" s="8" t="str">
        <f>_xlfn.XLOOKUP(tblFinancials[[#This Row],[DepartmentKey]],tblDepartments[DepartmentKey],tblDepartments[DepartmentName],"")</f>
        <v>Sales</v>
      </c>
      <c r="O1162" s="8" t="str">
        <f>_xlfn.XLOOKUP(tblFinancials[[#This Row],[BusinessUnitKey]],tblBusinessUnits[BusinessUnitKey],tblBusinessUnits[BusinessUnitName],"")</f>
        <v>Retail</v>
      </c>
      <c r="P1162" s="8" t="str">
        <f>_xlfn.XLOOKUP(tblFinancials[[#This Row],[RegionKey]],tblRegions[RegionKey],tblRegions[RegionName],"")</f>
        <v>West</v>
      </c>
    </row>
    <row r="1163" spans="1:16">
      <c r="A1163">
        <v>20250901</v>
      </c>
      <c r="B1163">
        <v>5</v>
      </c>
      <c r="C1163">
        <v>4</v>
      </c>
      <c r="D1163">
        <v>4</v>
      </c>
      <c r="E1163">
        <v>13</v>
      </c>
      <c r="F1163" t="s">
        <v>92</v>
      </c>
      <c r="G1163">
        <v>32362.2</v>
      </c>
      <c r="H1163">
        <f>_xlfn.XLOOKUP(tblFinancials[[#This Row],[DateKey]],tblCalendar[DateKey],tblCalendar[FullDate],"")</f>
        <v>45901</v>
      </c>
      <c r="I1163">
        <f>_xlfn.XLOOKUP(tblFinancials[[#This Row],[AccountKey]],tblAccounts[AccountKey],tblAccounts[AccountNumber],"")</f>
        <v>4020</v>
      </c>
      <c r="J1163" t="str">
        <f>_xlfn.XLOOKUP(tblFinancials[[#This Row],[AccountKey]],tblAccounts[AccountKey],tblAccounts[AccountName],"")</f>
        <v>Online Revenue</v>
      </c>
      <c r="K1163" s="8" t="str">
        <f>_xlfn.XLOOKUP(tblFinancials[[#This Row],[AccountKey]],tblAccounts[AccountKey],tblAccounts[FinancialStatement],"")</f>
        <v>Income Statement</v>
      </c>
      <c r="L1163" s="8" t="str">
        <f>_xlfn.XLOOKUP(tblFinancials[[#This Row],[AccountKey]],tblAccounts[AccountKey],tblAccounts[AccountCategory],"")</f>
        <v>Revenue</v>
      </c>
      <c r="M1163" s="8" t="str">
        <f>_xlfn.XLOOKUP(tblFinancials[[#This Row],[AccountKey]],tblAccounts[AccountKey],tblAccounts[NormalBalance],"")</f>
        <v>Credit</v>
      </c>
      <c r="N1163" s="8" t="str">
        <f>_xlfn.XLOOKUP(tblFinancials[[#This Row],[DepartmentKey]],tblDepartments[DepartmentKey],tblDepartments[DepartmentName],"")</f>
        <v>Marketing</v>
      </c>
      <c r="O1163" s="8" t="str">
        <f>_xlfn.XLOOKUP(tblFinancials[[#This Row],[BusinessUnitKey]],tblBusinessUnits[BusinessUnitKey],tblBusinessUnits[BusinessUnitName],"")</f>
        <v>E-Commerce</v>
      </c>
      <c r="P1163" s="8" t="str">
        <f>_xlfn.XLOOKUP(tblFinancials[[#This Row],[RegionKey]],tblRegions[RegionKey],tblRegions[RegionName],"")</f>
        <v>East</v>
      </c>
    </row>
    <row r="1164" spans="1:16">
      <c r="A1164">
        <v>20250901</v>
      </c>
      <c r="B1164">
        <v>5</v>
      </c>
      <c r="C1164">
        <v>2</v>
      </c>
      <c r="D1164">
        <v>2</v>
      </c>
      <c r="E1164">
        <v>13</v>
      </c>
      <c r="F1164" t="s">
        <v>92</v>
      </c>
      <c r="G1164">
        <v>33710.94</v>
      </c>
      <c r="H1164">
        <f>_xlfn.XLOOKUP(tblFinancials[[#This Row],[DateKey]],tblCalendar[DateKey],tblCalendar[FullDate],"")</f>
        <v>45901</v>
      </c>
      <c r="I1164">
        <f>_xlfn.XLOOKUP(tblFinancials[[#This Row],[AccountKey]],tblAccounts[AccountKey],tblAccounts[AccountNumber],"")</f>
        <v>4020</v>
      </c>
      <c r="J1164" t="str">
        <f>_xlfn.XLOOKUP(tblFinancials[[#This Row],[AccountKey]],tblAccounts[AccountKey],tblAccounts[AccountName],"")</f>
        <v>Online Revenue</v>
      </c>
      <c r="K1164" s="8" t="str">
        <f>_xlfn.XLOOKUP(tblFinancials[[#This Row],[AccountKey]],tblAccounts[AccountKey],tblAccounts[FinancialStatement],"")</f>
        <v>Income Statement</v>
      </c>
      <c r="L1164" s="8" t="str">
        <f>_xlfn.XLOOKUP(tblFinancials[[#This Row],[AccountKey]],tblAccounts[AccountKey],tblAccounts[AccountCategory],"")</f>
        <v>Revenue</v>
      </c>
      <c r="M1164" s="8" t="str">
        <f>_xlfn.XLOOKUP(tblFinancials[[#This Row],[AccountKey]],tblAccounts[AccountKey],tblAccounts[NormalBalance],"")</f>
        <v>Credit</v>
      </c>
      <c r="N1164" s="8" t="str">
        <f>_xlfn.XLOOKUP(tblFinancials[[#This Row],[DepartmentKey]],tblDepartments[DepartmentKey],tblDepartments[DepartmentName],"")</f>
        <v>Marketing</v>
      </c>
      <c r="O1164" s="8" t="str">
        <f>_xlfn.XLOOKUP(tblFinancials[[#This Row],[BusinessUnitKey]],tblBusinessUnits[BusinessUnitKey],tblBusinessUnits[BusinessUnitName],"")</f>
        <v>Wholesale</v>
      </c>
      <c r="P1164" s="8" t="str">
        <f>_xlfn.XLOOKUP(tblFinancials[[#This Row],[RegionKey]],tblRegions[RegionKey],tblRegions[RegionName],"")</f>
        <v>Midwest</v>
      </c>
    </row>
    <row r="1165" spans="1:16">
      <c r="A1165">
        <v>20250901</v>
      </c>
      <c r="B1165">
        <v>1</v>
      </c>
      <c r="C1165">
        <v>2</v>
      </c>
      <c r="D1165">
        <v>3</v>
      </c>
      <c r="E1165">
        <v>11</v>
      </c>
      <c r="F1165" t="s">
        <v>92</v>
      </c>
      <c r="G1165">
        <v>31706.46</v>
      </c>
      <c r="H1165">
        <f>_xlfn.XLOOKUP(tblFinancials[[#This Row],[DateKey]],tblCalendar[DateKey],tblCalendar[FullDate],"")</f>
        <v>45901</v>
      </c>
      <c r="I1165">
        <f>_xlfn.XLOOKUP(tblFinancials[[#This Row],[AccountKey]],tblAccounts[AccountKey],tblAccounts[AccountNumber],"")</f>
        <v>4000</v>
      </c>
      <c r="J1165" t="str">
        <f>_xlfn.XLOOKUP(tblFinancials[[#This Row],[AccountKey]],tblAccounts[AccountKey],tblAccounts[AccountName],"")</f>
        <v>Product Revenue</v>
      </c>
      <c r="K1165" s="8" t="str">
        <f>_xlfn.XLOOKUP(tblFinancials[[#This Row],[AccountKey]],tblAccounts[AccountKey],tblAccounts[FinancialStatement],"")</f>
        <v>Income Statement</v>
      </c>
      <c r="L1165" s="8" t="str">
        <f>_xlfn.XLOOKUP(tblFinancials[[#This Row],[AccountKey]],tblAccounts[AccountKey],tblAccounts[AccountCategory],"")</f>
        <v>Revenue</v>
      </c>
      <c r="M1165" s="8" t="str">
        <f>_xlfn.XLOOKUP(tblFinancials[[#This Row],[AccountKey]],tblAccounts[AccountKey],tblAccounts[NormalBalance],"")</f>
        <v>Credit</v>
      </c>
      <c r="N1165" s="8" t="str">
        <f>_xlfn.XLOOKUP(tblFinancials[[#This Row],[DepartmentKey]],tblDepartments[DepartmentKey],tblDepartments[DepartmentName],"")</f>
        <v>Executive</v>
      </c>
      <c r="O1165" s="8" t="str">
        <f>_xlfn.XLOOKUP(tblFinancials[[#This Row],[BusinessUnitKey]],tblBusinessUnits[BusinessUnitKey],tblBusinessUnits[BusinessUnitName],"")</f>
        <v>Wholesale</v>
      </c>
      <c r="P1165" s="8" t="str">
        <f>_xlfn.XLOOKUP(tblFinancials[[#This Row],[RegionKey]],tblRegions[RegionKey],tblRegions[RegionName],"")</f>
        <v>South</v>
      </c>
    </row>
    <row r="1166" spans="1:16">
      <c r="A1166">
        <v>20250901</v>
      </c>
      <c r="B1166">
        <v>8</v>
      </c>
      <c r="C1166">
        <v>4</v>
      </c>
      <c r="D1166">
        <v>2</v>
      </c>
      <c r="E1166">
        <v>14</v>
      </c>
      <c r="F1166" t="s">
        <v>92</v>
      </c>
      <c r="G1166">
        <v>-20246.09</v>
      </c>
      <c r="H1166">
        <f>_xlfn.XLOOKUP(tblFinancials[[#This Row],[DateKey]],tblCalendar[DateKey],tblCalendar[FullDate],"")</f>
        <v>45901</v>
      </c>
      <c r="I1166">
        <f>_xlfn.XLOOKUP(tblFinancials[[#This Row],[AccountKey]],tblAccounts[AccountKey],tblAccounts[AccountNumber],"")</f>
        <v>5000</v>
      </c>
      <c r="J1166" t="str">
        <f>_xlfn.XLOOKUP(tblFinancials[[#This Row],[AccountKey]],tblAccounts[AccountKey],tblAccounts[AccountName],"")</f>
        <v>Cost of Goods Sold</v>
      </c>
      <c r="K1166" s="8" t="str">
        <f>_xlfn.XLOOKUP(tblFinancials[[#This Row],[AccountKey]],tblAccounts[AccountKey],tblAccounts[FinancialStatement],"")</f>
        <v>Income Statement</v>
      </c>
      <c r="L1166" s="8" t="str">
        <f>_xlfn.XLOOKUP(tblFinancials[[#This Row],[AccountKey]],tblAccounts[AccountKey],tblAccounts[AccountCategory],"")</f>
        <v>Cost of Sales</v>
      </c>
      <c r="M1166" s="8" t="str">
        <f>_xlfn.XLOOKUP(tblFinancials[[#This Row],[AccountKey]],tblAccounts[AccountKey],tblAccounts[NormalBalance],"")</f>
        <v>Debit</v>
      </c>
      <c r="N1166" s="8" t="str">
        <f>_xlfn.XLOOKUP(tblFinancials[[#This Row],[DepartmentKey]],tblDepartments[DepartmentKey],tblDepartments[DepartmentName],"")</f>
        <v>Customer Service</v>
      </c>
      <c r="O1166" s="8" t="str">
        <f>_xlfn.XLOOKUP(tblFinancials[[#This Row],[BusinessUnitKey]],tblBusinessUnits[BusinessUnitKey],tblBusinessUnits[BusinessUnitName],"")</f>
        <v>E-Commerce</v>
      </c>
      <c r="P1166" s="8" t="str">
        <f>_xlfn.XLOOKUP(tblFinancials[[#This Row],[RegionKey]],tblRegions[RegionKey],tblRegions[RegionName],"")</f>
        <v>Midwest</v>
      </c>
    </row>
    <row r="1167" spans="1:16">
      <c r="A1167">
        <v>20250901</v>
      </c>
      <c r="B1167">
        <v>4</v>
      </c>
      <c r="C1167">
        <v>2</v>
      </c>
      <c r="D1167">
        <v>1</v>
      </c>
      <c r="E1167">
        <v>14</v>
      </c>
      <c r="F1167" t="s">
        <v>92</v>
      </c>
      <c r="G1167">
        <v>-18738.22</v>
      </c>
      <c r="H1167">
        <f>_xlfn.XLOOKUP(tblFinancials[[#This Row],[DateKey]],tblCalendar[DateKey],tblCalendar[FullDate],"")</f>
        <v>45901</v>
      </c>
      <c r="I1167">
        <f>_xlfn.XLOOKUP(tblFinancials[[#This Row],[AccountKey]],tblAccounts[AccountKey],tblAccounts[AccountNumber],"")</f>
        <v>5000</v>
      </c>
      <c r="J1167" t="str">
        <f>_xlfn.XLOOKUP(tblFinancials[[#This Row],[AccountKey]],tblAccounts[AccountKey],tblAccounts[AccountName],"")</f>
        <v>Cost of Goods Sold</v>
      </c>
      <c r="K1167" s="8" t="str">
        <f>_xlfn.XLOOKUP(tblFinancials[[#This Row],[AccountKey]],tblAccounts[AccountKey],tblAccounts[FinancialStatement],"")</f>
        <v>Income Statement</v>
      </c>
      <c r="L1167" s="8" t="str">
        <f>_xlfn.XLOOKUP(tblFinancials[[#This Row],[AccountKey]],tblAccounts[AccountKey],tblAccounts[AccountCategory],"")</f>
        <v>Cost of Sales</v>
      </c>
      <c r="M1167" s="8" t="str">
        <f>_xlfn.XLOOKUP(tblFinancials[[#This Row],[AccountKey]],tblAccounts[AccountKey],tblAccounts[NormalBalance],"")</f>
        <v>Debit</v>
      </c>
      <c r="N1167" s="8" t="str">
        <f>_xlfn.XLOOKUP(tblFinancials[[#This Row],[DepartmentKey]],tblDepartments[DepartmentKey],tblDepartments[DepartmentName],"")</f>
        <v>Sales</v>
      </c>
      <c r="O1167" s="8" t="str">
        <f>_xlfn.XLOOKUP(tblFinancials[[#This Row],[BusinessUnitKey]],tblBusinessUnits[BusinessUnitKey],tblBusinessUnits[BusinessUnitName],"")</f>
        <v>Wholesale</v>
      </c>
      <c r="P1167" s="8" t="str">
        <f>_xlfn.XLOOKUP(tblFinancials[[#This Row],[RegionKey]],tblRegions[RegionKey],tblRegions[RegionName],"")</f>
        <v>West</v>
      </c>
    </row>
    <row r="1168" spans="1:16">
      <c r="A1168">
        <v>20250901</v>
      </c>
      <c r="B1168">
        <v>8</v>
      </c>
      <c r="C1168">
        <v>2</v>
      </c>
      <c r="D1168">
        <v>2</v>
      </c>
      <c r="E1168">
        <v>14</v>
      </c>
      <c r="F1168" t="s">
        <v>92</v>
      </c>
      <c r="G1168">
        <v>-19952.64</v>
      </c>
      <c r="H1168">
        <f>_xlfn.XLOOKUP(tblFinancials[[#This Row],[DateKey]],tblCalendar[DateKey],tblCalendar[FullDate],"")</f>
        <v>45901</v>
      </c>
      <c r="I1168">
        <f>_xlfn.XLOOKUP(tblFinancials[[#This Row],[AccountKey]],tblAccounts[AccountKey],tblAccounts[AccountNumber],"")</f>
        <v>5000</v>
      </c>
      <c r="J1168" t="str">
        <f>_xlfn.XLOOKUP(tblFinancials[[#This Row],[AccountKey]],tblAccounts[AccountKey],tblAccounts[AccountName],"")</f>
        <v>Cost of Goods Sold</v>
      </c>
      <c r="K1168" s="8" t="str">
        <f>_xlfn.XLOOKUP(tblFinancials[[#This Row],[AccountKey]],tblAccounts[AccountKey],tblAccounts[FinancialStatement],"")</f>
        <v>Income Statement</v>
      </c>
      <c r="L1168" s="8" t="str">
        <f>_xlfn.XLOOKUP(tblFinancials[[#This Row],[AccountKey]],tblAccounts[AccountKey],tblAccounts[AccountCategory],"")</f>
        <v>Cost of Sales</v>
      </c>
      <c r="M1168" s="8" t="str">
        <f>_xlfn.XLOOKUP(tblFinancials[[#This Row],[AccountKey]],tblAccounts[AccountKey],tblAccounts[NormalBalance],"")</f>
        <v>Debit</v>
      </c>
      <c r="N1168" s="8" t="str">
        <f>_xlfn.XLOOKUP(tblFinancials[[#This Row],[DepartmentKey]],tblDepartments[DepartmentKey],tblDepartments[DepartmentName],"")</f>
        <v>Customer Service</v>
      </c>
      <c r="O1168" s="8" t="str">
        <f>_xlfn.XLOOKUP(tblFinancials[[#This Row],[BusinessUnitKey]],tblBusinessUnits[BusinessUnitKey],tblBusinessUnits[BusinessUnitName],"")</f>
        <v>Wholesale</v>
      </c>
      <c r="P1168" s="8" t="str">
        <f>_xlfn.XLOOKUP(tblFinancials[[#This Row],[RegionKey]],tblRegions[RegionKey],tblRegions[RegionName],"")</f>
        <v>Midwest</v>
      </c>
    </row>
    <row r="1169" spans="1:16">
      <c r="A1169">
        <v>20250901</v>
      </c>
      <c r="B1169">
        <v>5</v>
      </c>
      <c r="C1169">
        <v>4</v>
      </c>
      <c r="D1169">
        <v>2</v>
      </c>
      <c r="E1169">
        <v>14</v>
      </c>
      <c r="F1169" t="s">
        <v>92</v>
      </c>
      <c r="G1169">
        <v>-19559.95</v>
      </c>
      <c r="H1169">
        <f>_xlfn.XLOOKUP(tblFinancials[[#This Row],[DateKey]],tblCalendar[DateKey],tblCalendar[FullDate],"")</f>
        <v>45901</v>
      </c>
      <c r="I1169">
        <f>_xlfn.XLOOKUP(tblFinancials[[#This Row],[AccountKey]],tblAccounts[AccountKey],tblAccounts[AccountNumber],"")</f>
        <v>5000</v>
      </c>
      <c r="J1169" t="str">
        <f>_xlfn.XLOOKUP(tblFinancials[[#This Row],[AccountKey]],tblAccounts[AccountKey],tblAccounts[AccountName],"")</f>
        <v>Cost of Goods Sold</v>
      </c>
      <c r="K1169" s="8" t="str">
        <f>_xlfn.XLOOKUP(tblFinancials[[#This Row],[AccountKey]],tblAccounts[AccountKey],tblAccounts[FinancialStatement],"")</f>
        <v>Income Statement</v>
      </c>
      <c r="L1169" s="8" t="str">
        <f>_xlfn.XLOOKUP(tblFinancials[[#This Row],[AccountKey]],tblAccounts[AccountKey],tblAccounts[AccountCategory],"")</f>
        <v>Cost of Sales</v>
      </c>
      <c r="M1169" s="8" t="str">
        <f>_xlfn.XLOOKUP(tblFinancials[[#This Row],[AccountKey]],tblAccounts[AccountKey],tblAccounts[NormalBalance],"")</f>
        <v>Debit</v>
      </c>
      <c r="N1169" s="8" t="str">
        <f>_xlfn.XLOOKUP(tblFinancials[[#This Row],[DepartmentKey]],tblDepartments[DepartmentKey],tblDepartments[DepartmentName],"")</f>
        <v>Marketing</v>
      </c>
      <c r="O1169" s="8" t="str">
        <f>_xlfn.XLOOKUP(tblFinancials[[#This Row],[BusinessUnitKey]],tblBusinessUnits[BusinessUnitKey],tblBusinessUnits[BusinessUnitName],"")</f>
        <v>E-Commerce</v>
      </c>
      <c r="P1169" s="8" t="str">
        <f>_xlfn.XLOOKUP(tblFinancials[[#This Row],[RegionKey]],tblRegions[RegionKey],tblRegions[RegionName],"")</f>
        <v>Midwest</v>
      </c>
    </row>
    <row r="1170" spans="1:16">
      <c r="A1170">
        <v>20250901</v>
      </c>
      <c r="B1170">
        <v>3</v>
      </c>
      <c r="C1170">
        <v>3</v>
      </c>
      <c r="D1170">
        <v>4</v>
      </c>
      <c r="E1170">
        <v>14</v>
      </c>
      <c r="F1170" t="s">
        <v>92</v>
      </c>
      <c r="G1170">
        <v>-19093.849999999999</v>
      </c>
      <c r="H1170">
        <f>_xlfn.XLOOKUP(tblFinancials[[#This Row],[DateKey]],tblCalendar[DateKey],tblCalendar[FullDate],"")</f>
        <v>45901</v>
      </c>
      <c r="I1170">
        <f>_xlfn.XLOOKUP(tblFinancials[[#This Row],[AccountKey]],tblAccounts[AccountKey],tblAccounts[AccountNumber],"")</f>
        <v>5000</v>
      </c>
      <c r="J1170" t="str">
        <f>_xlfn.XLOOKUP(tblFinancials[[#This Row],[AccountKey]],tblAccounts[AccountKey],tblAccounts[AccountName],"")</f>
        <v>Cost of Goods Sold</v>
      </c>
      <c r="K1170" s="8" t="str">
        <f>_xlfn.XLOOKUP(tblFinancials[[#This Row],[AccountKey]],tblAccounts[AccountKey],tblAccounts[FinancialStatement],"")</f>
        <v>Income Statement</v>
      </c>
      <c r="L1170" s="8" t="str">
        <f>_xlfn.XLOOKUP(tblFinancials[[#This Row],[AccountKey]],tblAccounts[AccountKey],tblAccounts[AccountCategory],"")</f>
        <v>Cost of Sales</v>
      </c>
      <c r="M1170" s="8" t="str">
        <f>_xlfn.XLOOKUP(tblFinancials[[#This Row],[AccountKey]],tblAccounts[AccountKey],tblAccounts[NormalBalance],"")</f>
        <v>Debit</v>
      </c>
      <c r="N1170" s="8" t="str">
        <f>_xlfn.XLOOKUP(tblFinancials[[#This Row],[DepartmentKey]],tblDepartments[DepartmentKey],tblDepartments[DepartmentName],"")</f>
        <v>Human Resources</v>
      </c>
      <c r="O1170" s="8" t="str">
        <f>_xlfn.XLOOKUP(tblFinancials[[#This Row],[BusinessUnitKey]],tblBusinessUnits[BusinessUnitKey],tblBusinessUnits[BusinessUnitName],"")</f>
        <v>Retail</v>
      </c>
      <c r="P1170" s="8" t="str">
        <f>_xlfn.XLOOKUP(tblFinancials[[#This Row],[RegionKey]],tblRegions[RegionKey],tblRegions[RegionName],"")</f>
        <v>East</v>
      </c>
    </row>
    <row r="1171" spans="1:16">
      <c r="A1171">
        <v>20250901</v>
      </c>
      <c r="B1171">
        <v>2</v>
      </c>
      <c r="C1171">
        <v>4</v>
      </c>
      <c r="D1171">
        <v>3</v>
      </c>
      <c r="E1171">
        <v>14</v>
      </c>
      <c r="F1171" t="s">
        <v>92</v>
      </c>
      <c r="G1171">
        <v>-19258.98</v>
      </c>
      <c r="H1171">
        <f>_xlfn.XLOOKUP(tblFinancials[[#This Row],[DateKey]],tblCalendar[DateKey],tblCalendar[FullDate],"")</f>
        <v>45901</v>
      </c>
      <c r="I1171">
        <f>_xlfn.XLOOKUP(tblFinancials[[#This Row],[AccountKey]],tblAccounts[AccountKey],tblAccounts[AccountNumber],"")</f>
        <v>5000</v>
      </c>
      <c r="J1171" t="str">
        <f>_xlfn.XLOOKUP(tblFinancials[[#This Row],[AccountKey]],tblAccounts[AccountKey],tblAccounts[AccountName],"")</f>
        <v>Cost of Goods Sold</v>
      </c>
      <c r="K1171" s="8" t="str">
        <f>_xlfn.XLOOKUP(tblFinancials[[#This Row],[AccountKey]],tblAccounts[AccountKey],tblAccounts[FinancialStatement],"")</f>
        <v>Income Statement</v>
      </c>
      <c r="L1171" s="8" t="str">
        <f>_xlfn.XLOOKUP(tblFinancials[[#This Row],[AccountKey]],tblAccounts[AccountKey],tblAccounts[AccountCategory],"")</f>
        <v>Cost of Sales</v>
      </c>
      <c r="M1171" s="8" t="str">
        <f>_xlfn.XLOOKUP(tblFinancials[[#This Row],[AccountKey]],tblAccounts[AccountKey],tblAccounts[NormalBalance],"")</f>
        <v>Debit</v>
      </c>
      <c r="N1171" s="8" t="str">
        <f>_xlfn.XLOOKUP(tblFinancials[[#This Row],[DepartmentKey]],tblDepartments[DepartmentKey],tblDepartments[DepartmentName],"")</f>
        <v>Finance</v>
      </c>
      <c r="O1171" s="8" t="str">
        <f>_xlfn.XLOOKUP(tblFinancials[[#This Row],[BusinessUnitKey]],tblBusinessUnits[BusinessUnitKey],tblBusinessUnits[BusinessUnitName],"")</f>
        <v>E-Commerce</v>
      </c>
      <c r="P1171" s="8" t="str">
        <f>_xlfn.XLOOKUP(tblFinancials[[#This Row],[RegionKey]],tblRegions[RegionKey],tblRegions[RegionName],"")</f>
        <v>South</v>
      </c>
    </row>
    <row r="1172" spans="1:16">
      <c r="A1172">
        <v>20250901</v>
      </c>
      <c r="B1172">
        <v>3</v>
      </c>
      <c r="C1172">
        <v>1</v>
      </c>
      <c r="D1172">
        <v>4</v>
      </c>
      <c r="E1172">
        <v>14</v>
      </c>
      <c r="F1172" t="s">
        <v>92</v>
      </c>
      <c r="G1172">
        <v>-19876.98</v>
      </c>
      <c r="H1172">
        <f>_xlfn.XLOOKUP(tblFinancials[[#This Row],[DateKey]],tblCalendar[DateKey],tblCalendar[FullDate],"")</f>
        <v>45901</v>
      </c>
      <c r="I1172">
        <f>_xlfn.XLOOKUP(tblFinancials[[#This Row],[AccountKey]],tblAccounts[AccountKey],tblAccounts[AccountNumber],"")</f>
        <v>5000</v>
      </c>
      <c r="J1172" t="str">
        <f>_xlfn.XLOOKUP(tblFinancials[[#This Row],[AccountKey]],tblAccounts[AccountKey],tblAccounts[AccountName],"")</f>
        <v>Cost of Goods Sold</v>
      </c>
      <c r="K1172" s="8" t="str">
        <f>_xlfn.XLOOKUP(tblFinancials[[#This Row],[AccountKey]],tblAccounts[AccountKey],tblAccounts[FinancialStatement],"")</f>
        <v>Income Statement</v>
      </c>
      <c r="L1172" s="8" t="str">
        <f>_xlfn.XLOOKUP(tblFinancials[[#This Row],[AccountKey]],tblAccounts[AccountKey],tblAccounts[AccountCategory],"")</f>
        <v>Cost of Sales</v>
      </c>
      <c r="M1172" s="8" t="str">
        <f>_xlfn.XLOOKUP(tblFinancials[[#This Row],[AccountKey]],tblAccounts[AccountKey],tblAccounts[NormalBalance],"")</f>
        <v>Debit</v>
      </c>
      <c r="N1172" s="8" t="str">
        <f>_xlfn.XLOOKUP(tblFinancials[[#This Row],[DepartmentKey]],tblDepartments[DepartmentKey],tblDepartments[DepartmentName],"")</f>
        <v>Human Resources</v>
      </c>
      <c r="O1172" s="8" t="str">
        <f>_xlfn.XLOOKUP(tblFinancials[[#This Row],[BusinessUnitKey]],tblBusinessUnits[BusinessUnitKey],tblBusinessUnits[BusinessUnitName],"")</f>
        <v xml:space="preserve">Manufacturing </v>
      </c>
      <c r="P1172" s="8" t="str">
        <f>_xlfn.XLOOKUP(tblFinancials[[#This Row],[RegionKey]],tblRegions[RegionKey],tblRegions[RegionName],"")</f>
        <v>East</v>
      </c>
    </row>
    <row r="1173" spans="1:16">
      <c r="A1173">
        <v>20250901</v>
      </c>
      <c r="B1173">
        <v>3</v>
      </c>
      <c r="C1173">
        <v>1</v>
      </c>
      <c r="D1173">
        <v>3</v>
      </c>
      <c r="E1173">
        <v>14</v>
      </c>
      <c r="F1173" t="s">
        <v>92</v>
      </c>
      <c r="G1173">
        <v>-18074.48</v>
      </c>
      <c r="H1173">
        <f>_xlfn.XLOOKUP(tblFinancials[[#This Row],[DateKey]],tblCalendar[DateKey],tblCalendar[FullDate],"")</f>
        <v>45901</v>
      </c>
      <c r="I1173">
        <f>_xlfn.XLOOKUP(tblFinancials[[#This Row],[AccountKey]],tblAccounts[AccountKey],tblAccounts[AccountNumber],"")</f>
        <v>5000</v>
      </c>
      <c r="J1173" t="str">
        <f>_xlfn.XLOOKUP(tblFinancials[[#This Row],[AccountKey]],tblAccounts[AccountKey],tblAccounts[AccountName],"")</f>
        <v>Cost of Goods Sold</v>
      </c>
      <c r="K1173" s="8" t="str">
        <f>_xlfn.XLOOKUP(tblFinancials[[#This Row],[AccountKey]],tblAccounts[AccountKey],tblAccounts[FinancialStatement],"")</f>
        <v>Income Statement</v>
      </c>
      <c r="L1173" s="8" t="str">
        <f>_xlfn.XLOOKUP(tblFinancials[[#This Row],[AccountKey]],tblAccounts[AccountKey],tblAccounts[AccountCategory],"")</f>
        <v>Cost of Sales</v>
      </c>
      <c r="M1173" s="8" t="str">
        <f>_xlfn.XLOOKUP(tblFinancials[[#This Row],[AccountKey]],tblAccounts[AccountKey],tblAccounts[NormalBalance],"")</f>
        <v>Debit</v>
      </c>
      <c r="N1173" s="8" t="str">
        <f>_xlfn.XLOOKUP(tblFinancials[[#This Row],[DepartmentKey]],tblDepartments[DepartmentKey],tblDepartments[DepartmentName],"")</f>
        <v>Human Resources</v>
      </c>
      <c r="O1173" s="8" t="str">
        <f>_xlfn.XLOOKUP(tblFinancials[[#This Row],[BusinessUnitKey]],tblBusinessUnits[BusinessUnitKey],tblBusinessUnits[BusinessUnitName],"")</f>
        <v xml:space="preserve">Manufacturing </v>
      </c>
      <c r="P1173" s="8" t="str">
        <f>_xlfn.XLOOKUP(tblFinancials[[#This Row],[RegionKey]],tblRegions[RegionKey],tblRegions[RegionName],"")</f>
        <v>South</v>
      </c>
    </row>
    <row r="1174" spans="1:16">
      <c r="A1174">
        <v>20250901</v>
      </c>
      <c r="B1174">
        <v>2</v>
      </c>
      <c r="C1174">
        <v>3</v>
      </c>
      <c r="D1174">
        <v>1</v>
      </c>
      <c r="E1174">
        <v>14</v>
      </c>
      <c r="F1174" t="s">
        <v>92</v>
      </c>
      <c r="G1174">
        <v>-18820.830000000002</v>
      </c>
      <c r="H1174">
        <f>_xlfn.XLOOKUP(tblFinancials[[#This Row],[DateKey]],tblCalendar[DateKey],tblCalendar[FullDate],"")</f>
        <v>45901</v>
      </c>
      <c r="I1174">
        <f>_xlfn.XLOOKUP(tblFinancials[[#This Row],[AccountKey]],tblAccounts[AccountKey],tblAccounts[AccountNumber],"")</f>
        <v>5000</v>
      </c>
      <c r="J1174" t="str">
        <f>_xlfn.XLOOKUP(tblFinancials[[#This Row],[AccountKey]],tblAccounts[AccountKey],tblAccounts[AccountName],"")</f>
        <v>Cost of Goods Sold</v>
      </c>
      <c r="K1174" s="8" t="str">
        <f>_xlfn.XLOOKUP(tblFinancials[[#This Row],[AccountKey]],tblAccounts[AccountKey],tblAccounts[FinancialStatement],"")</f>
        <v>Income Statement</v>
      </c>
      <c r="L1174" s="8" t="str">
        <f>_xlfn.XLOOKUP(tblFinancials[[#This Row],[AccountKey]],tblAccounts[AccountKey],tblAccounts[AccountCategory],"")</f>
        <v>Cost of Sales</v>
      </c>
      <c r="M1174" s="8" t="str">
        <f>_xlfn.XLOOKUP(tblFinancials[[#This Row],[AccountKey]],tblAccounts[AccountKey],tblAccounts[NormalBalance],"")</f>
        <v>Debit</v>
      </c>
      <c r="N1174" s="8" t="str">
        <f>_xlfn.XLOOKUP(tblFinancials[[#This Row],[DepartmentKey]],tblDepartments[DepartmentKey],tblDepartments[DepartmentName],"")</f>
        <v>Finance</v>
      </c>
      <c r="O1174" s="8" t="str">
        <f>_xlfn.XLOOKUP(tblFinancials[[#This Row],[BusinessUnitKey]],tblBusinessUnits[BusinessUnitKey],tblBusinessUnits[BusinessUnitName],"")</f>
        <v>Retail</v>
      </c>
      <c r="P1174" s="8" t="str">
        <f>_xlfn.XLOOKUP(tblFinancials[[#This Row],[RegionKey]],tblRegions[RegionKey],tblRegions[RegionName],"")</f>
        <v>West</v>
      </c>
    </row>
    <row r="1175" spans="1:16">
      <c r="A1175">
        <v>20250901</v>
      </c>
      <c r="B1175">
        <v>5</v>
      </c>
      <c r="C1175">
        <v>4</v>
      </c>
      <c r="D1175">
        <v>3</v>
      </c>
      <c r="E1175">
        <v>14</v>
      </c>
      <c r="F1175" t="s">
        <v>92</v>
      </c>
      <c r="G1175">
        <v>-18108.66</v>
      </c>
      <c r="H1175">
        <f>_xlfn.XLOOKUP(tblFinancials[[#This Row],[DateKey]],tblCalendar[DateKey],tblCalendar[FullDate],"")</f>
        <v>45901</v>
      </c>
      <c r="I1175">
        <f>_xlfn.XLOOKUP(tblFinancials[[#This Row],[AccountKey]],tblAccounts[AccountKey],tblAccounts[AccountNumber],"")</f>
        <v>5000</v>
      </c>
      <c r="J1175" t="str">
        <f>_xlfn.XLOOKUP(tblFinancials[[#This Row],[AccountKey]],tblAccounts[AccountKey],tblAccounts[AccountName],"")</f>
        <v>Cost of Goods Sold</v>
      </c>
      <c r="K1175" s="8" t="str">
        <f>_xlfn.XLOOKUP(tblFinancials[[#This Row],[AccountKey]],tblAccounts[AccountKey],tblAccounts[FinancialStatement],"")</f>
        <v>Income Statement</v>
      </c>
      <c r="L1175" s="8" t="str">
        <f>_xlfn.XLOOKUP(tblFinancials[[#This Row],[AccountKey]],tblAccounts[AccountKey],tblAccounts[AccountCategory],"")</f>
        <v>Cost of Sales</v>
      </c>
      <c r="M1175" s="8" t="str">
        <f>_xlfn.XLOOKUP(tblFinancials[[#This Row],[AccountKey]],tblAccounts[AccountKey],tblAccounts[NormalBalance],"")</f>
        <v>Debit</v>
      </c>
      <c r="N1175" s="8" t="str">
        <f>_xlfn.XLOOKUP(tblFinancials[[#This Row],[DepartmentKey]],tblDepartments[DepartmentKey],tblDepartments[DepartmentName],"")</f>
        <v>Marketing</v>
      </c>
      <c r="O1175" s="8" t="str">
        <f>_xlfn.XLOOKUP(tblFinancials[[#This Row],[BusinessUnitKey]],tblBusinessUnits[BusinessUnitKey],tblBusinessUnits[BusinessUnitName],"")</f>
        <v>E-Commerce</v>
      </c>
      <c r="P1175" s="8" t="str">
        <f>_xlfn.XLOOKUP(tblFinancials[[#This Row],[RegionKey]],tblRegions[RegionKey],tblRegions[RegionName],"")</f>
        <v>South</v>
      </c>
    </row>
    <row r="1176" spans="1:16">
      <c r="A1176">
        <v>20250901</v>
      </c>
      <c r="B1176">
        <v>7</v>
      </c>
      <c r="C1176">
        <v>3</v>
      </c>
      <c r="D1176">
        <v>4</v>
      </c>
      <c r="E1176">
        <v>14</v>
      </c>
      <c r="F1176" t="s">
        <v>92</v>
      </c>
      <c r="G1176">
        <v>-19837.27</v>
      </c>
      <c r="H1176">
        <f>_xlfn.XLOOKUP(tblFinancials[[#This Row],[DateKey]],tblCalendar[DateKey],tblCalendar[FullDate],"")</f>
        <v>45901</v>
      </c>
      <c r="I1176">
        <f>_xlfn.XLOOKUP(tblFinancials[[#This Row],[AccountKey]],tblAccounts[AccountKey],tblAccounts[AccountNumber],"")</f>
        <v>5000</v>
      </c>
      <c r="J1176" t="str">
        <f>_xlfn.XLOOKUP(tblFinancials[[#This Row],[AccountKey]],tblAccounts[AccountKey],tblAccounts[AccountName],"")</f>
        <v>Cost of Goods Sold</v>
      </c>
      <c r="K1176" s="8" t="str">
        <f>_xlfn.XLOOKUP(tblFinancials[[#This Row],[AccountKey]],tblAccounts[AccountKey],tblAccounts[FinancialStatement],"")</f>
        <v>Income Statement</v>
      </c>
      <c r="L1176" s="8" t="str">
        <f>_xlfn.XLOOKUP(tblFinancials[[#This Row],[AccountKey]],tblAccounts[AccountKey],tblAccounts[AccountCategory],"")</f>
        <v>Cost of Sales</v>
      </c>
      <c r="M1176" s="8" t="str">
        <f>_xlfn.XLOOKUP(tblFinancials[[#This Row],[AccountKey]],tblAccounts[AccountKey],tblAccounts[NormalBalance],"")</f>
        <v>Debit</v>
      </c>
      <c r="N1176" s="8" t="str">
        <f>_xlfn.XLOOKUP(tblFinancials[[#This Row],[DepartmentKey]],tblDepartments[DepartmentKey],tblDepartments[DepartmentName],"")</f>
        <v>Information Technology</v>
      </c>
      <c r="O1176" s="8" t="str">
        <f>_xlfn.XLOOKUP(tblFinancials[[#This Row],[BusinessUnitKey]],tblBusinessUnits[BusinessUnitKey],tblBusinessUnits[BusinessUnitName],"")</f>
        <v>Retail</v>
      </c>
      <c r="P1176" s="8" t="str">
        <f>_xlfn.XLOOKUP(tblFinancials[[#This Row],[RegionKey]],tblRegions[RegionKey],tblRegions[RegionName],"")</f>
        <v>East</v>
      </c>
    </row>
    <row r="1177" spans="1:16">
      <c r="A1177">
        <v>20250901</v>
      </c>
      <c r="B1177">
        <v>4</v>
      </c>
      <c r="C1177">
        <v>4</v>
      </c>
      <c r="D1177">
        <v>1</v>
      </c>
      <c r="E1177">
        <v>14</v>
      </c>
      <c r="F1177" t="s">
        <v>92</v>
      </c>
      <c r="G1177">
        <v>-18839.28</v>
      </c>
      <c r="H1177">
        <f>_xlfn.XLOOKUP(tblFinancials[[#This Row],[DateKey]],tblCalendar[DateKey],tblCalendar[FullDate],"")</f>
        <v>45901</v>
      </c>
      <c r="I1177">
        <f>_xlfn.XLOOKUP(tblFinancials[[#This Row],[AccountKey]],tblAccounts[AccountKey],tblAccounts[AccountNumber],"")</f>
        <v>5000</v>
      </c>
      <c r="J1177" t="str">
        <f>_xlfn.XLOOKUP(tblFinancials[[#This Row],[AccountKey]],tblAccounts[AccountKey],tblAccounts[AccountName],"")</f>
        <v>Cost of Goods Sold</v>
      </c>
      <c r="K1177" s="8" t="str">
        <f>_xlfn.XLOOKUP(tblFinancials[[#This Row],[AccountKey]],tblAccounts[AccountKey],tblAccounts[FinancialStatement],"")</f>
        <v>Income Statement</v>
      </c>
      <c r="L1177" s="8" t="str">
        <f>_xlfn.XLOOKUP(tblFinancials[[#This Row],[AccountKey]],tblAccounts[AccountKey],tblAccounts[AccountCategory],"")</f>
        <v>Cost of Sales</v>
      </c>
      <c r="M1177" s="8" t="str">
        <f>_xlfn.XLOOKUP(tblFinancials[[#This Row],[AccountKey]],tblAccounts[AccountKey],tblAccounts[NormalBalance],"")</f>
        <v>Debit</v>
      </c>
      <c r="N1177" s="8" t="str">
        <f>_xlfn.XLOOKUP(tblFinancials[[#This Row],[DepartmentKey]],tblDepartments[DepartmentKey],tblDepartments[DepartmentName],"")</f>
        <v>Sales</v>
      </c>
      <c r="O1177" s="8" t="str">
        <f>_xlfn.XLOOKUP(tblFinancials[[#This Row],[BusinessUnitKey]],tblBusinessUnits[BusinessUnitKey],tblBusinessUnits[BusinessUnitName],"")</f>
        <v>E-Commerce</v>
      </c>
      <c r="P1177" s="8" t="str">
        <f>_xlfn.XLOOKUP(tblFinancials[[#This Row],[RegionKey]],tblRegions[RegionKey],tblRegions[RegionName],"")</f>
        <v>West</v>
      </c>
    </row>
    <row r="1178" spans="1:16">
      <c r="A1178">
        <v>20250901</v>
      </c>
      <c r="B1178">
        <v>6</v>
      </c>
      <c r="C1178">
        <v>1</v>
      </c>
      <c r="D1178">
        <v>2</v>
      </c>
      <c r="E1178">
        <v>18</v>
      </c>
      <c r="F1178" t="s">
        <v>92</v>
      </c>
      <c r="G1178">
        <v>-6676.19</v>
      </c>
      <c r="H1178">
        <f>_xlfn.XLOOKUP(tblFinancials[[#This Row],[DateKey]],tblCalendar[DateKey],tblCalendar[FullDate],"")</f>
        <v>45901</v>
      </c>
      <c r="I1178">
        <f>_xlfn.XLOOKUP(tblFinancials[[#This Row],[AccountKey]],tblAccounts[AccountKey],tblAccounts[AccountNumber],"")</f>
        <v>6200</v>
      </c>
      <c r="J1178" t="str">
        <f>_xlfn.XLOOKUP(tblFinancials[[#This Row],[AccountKey]],tblAccounts[AccountKey],tblAccounts[AccountName],"")</f>
        <v>Marketing Expense</v>
      </c>
      <c r="K1178" s="8" t="str">
        <f>_xlfn.XLOOKUP(tblFinancials[[#This Row],[AccountKey]],tblAccounts[AccountKey],tblAccounts[FinancialStatement],"")</f>
        <v>Income Statement</v>
      </c>
      <c r="L1178" s="8" t="str">
        <f>_xlfn.XLOOKUP(tblFinancials[[#This Row],[AccountKey]],tblAccounts[AccountKey],tblAccounts[AccountCategory],"")</f>
        <v>Operating Expense</v>
      </c>
      <c r="M1178" s="8" t="str">
        <f>_xlfn.XLOOKUP(tblFinancials[[#This Row],[AccountKey]],tblAccounts[AccountKey],tblAccounts[NormalBalance],"")</f>
        <v>Debit</v>
      </c>
      <c r="N1178" s="8" t="str">
        <f>_xlfn.XLOOKUP(tblFinancials[[#This Row],[DepartmentKey]],tblDepartments[DepartmentKey],tblDepartments[DepartmentName],"")</f>
        <v>Operations</v>
      </c>
      <c r="O1178" s="8" t="str">
        <f>_xlfn.XLOOKUP(tblFinancials[[#This Row],[BusinessUnitKey]],tblBusinessUnits[BusinessUnitKey],tblBusinessUnits[BusinessUnitName],"")</f>
        <v xml:space="preserve">Manufacturing </v>
      </c>
      <c r="P1178" s="8" t="str">
        <f>_xlfn.XLOOKUP(tblFinancials[[#This Row],[RegionKey]],tblRegions[RegionKey],tblRegions[RegionName],"")</f>
        <v>Midwest</v>
      </c>
    </row>
    <row r="1179" spans="1:16">
      <c r="A1179">
        <v>20250901</v>
      </c>
      <c r="B1179">
        <v>7</v>
      </c>
      <c r="C1179">
        <v>4</v>
      </c>
      <c r="D1179">
        <v>3</v>
      </c>
      <c r="E1179">
        <v>18</v>
      </c>
      <c r="F1179" t="s">
        <v>92</v>
      </c>
      <c r="G1179">
        <v>-8827.35</v>
      </c>
      <c r="H1179">
        <f>_xlfn.XLOOKUP(tblFinancials[[#This Row],[DateKey]],tblCalendar[DateKey],tblCalendar[FullDate],"")</f>
        <v>45901</v>
      </c>
      <c r="I1179">
        <f>_xlfn.XLOOKUP(tblFinancials[[#This Row],[AccountKey]],tblAccounts[AccountKey],tblAccounts[AccountNumber],"")</f>
        <v>6200</v>
      </c>
      <c r="J1179" t="str">
        <f>_xlfn.XLOOKUP(tblFinancials[[#This Row],[AccountKey]],tblAccounts[AccountKey],tblAccounts[AccountName],"")</f>
        <v>Marketing Expense</v>
      </c>
      <c r="K1179" s="8" t="str">
        <f>_xlfn.XLOOKUP(tblFinancials[[#This Row],[AccountKey]],tblAccounts[AccountKey],tblAccounts[FinancialStatement],"")</f>
        <v>Income Statement</v>
      </c>
      <c r="L1179" s="8" t="str">
        <f>_xlfn.XLOOKUP(tblFinancials[[#This Row],[AccountKey]],tblAccounts[AccountKey],tblAccounts[AccountCategory],"")</f>
        <v>Operating Expense</v>
      </c>
      <c r="M1179" s="8" t="str">
        <f>_xlfn.XLOOKUP(tblFinancials[[#This Row],[AccountKey]],tblAccounts[AccountKey],tblAccounts[NormalBalance],"")</f>
        <v>Debit</v>
      </c>
      <c r="N1179" s="8" t="str">
        <f>_xlfn.XLOOKUP(tblFinancials[[#This Row],[DepartmentKey]],tblDepartments[DepartmentKey],tblDepartments[DepartmentName],"")</f>
        <v>Information Technology</v>
      </c>
      <c r="O1179" s="8" t="str">
        <f>_xlfn.XLOOKUP(tblFinancials[[#This Row],[BusinessUnitKey]],tblBusinessUnits[BusinessUnitKey],tblBusinessUnits[BusinessUnitName],"")</f>
        <v>E-Commerce</v>
      </c>
      <c r="P1179" s="8" t="str">
        <f>_xlfn.XLOOKUP(tblFinancials[[#This Row],[RegionKey]],tblRegions[RegionKey],tblRegions[RegionName],"")</f>
        <v>South</v>
      </c>
    </row>
    <row r="1180" spans="1:16">
      <c r="A1180">
        <v>20250901</v>
      </c>
      <c r="B1180">
        <v>3</v>
      </c>
      <c r="C1180">
        <v>2</v>
      </c>
      <c r="D1180">
        <v>4</v>
      </c>
      <c r="E1180">
        <v>19</v>
      </c>
      <c r="F1180" t="s">
        <v>92</v>
      </c>
      <c r="G1180">
        <v>-7546.84</v>
      </c>
      <c r="H1180">
        <f>_xlfn.XLOOKUP(tblFinancials[[#This Row],[DateKey]],tblCalendar[DateKey],tblCalendar[FullDate],"")</f>
        <v>45901</v>
      </c>
      <c r="I1180">
        <f>_xlfn.XLOOKUP(tblFinancials[[#This Row],[AccountKey]],tblAccounts[AccountKey],tblAccounts[AccountNumber],"")</f>
        <v>6300</v>
      </c>
      <c r="J1180" t="str">
        <f>_xlfn.XLOOKUP(tblFinancials[[#This Row],[AccountKey]],tblAccounts[AccountKey],tblAccounts[AccountName],"")</f>
        <v>Software Expense</v>
      </c>
      <c r="K1180" s="8" t="str">
        <f>_xlfn.XLOOKUP(tblFinancials[[#This Row],[AccountKey]],tblAccounts[AccountKey],tblAccounts[FinancialStatement],"")</f>
        <v>Income Statement</v>
      </c>
      <c r="L1180" s="8" t="str">
        <f>_xlfn.XLOOKUP(tblFinancials[[#This Row],[AccountKey]],tblAccounts[AccountKey],tblAccounts[AccountCategory],"")</f>
        <v>Operating Expense</v>
      </c>
      <c r="M1180" s="8" t="str">
        <f>_xlfn.XLOOKUP(tblFinancials[[#This Row],[AccountKey]],tblAccounts[AccountKey],tblAccounts[NormalBalance],"")</f>
        <v>Debit</v>
      </c>
      <c r="N1180" s="8" t="str">
        <f>_xlfn.XLOOKUP(tblFinancials[[#This Row],[DepartmentKey]],tblDepartments[DepartmentKey],tblDepartments[DepartmentName],"")</f>
        <v>Human Resources</v>
      </c>
      <c r="O1180" s="8" t="str">
        <f>_xlfn.XLOOKUP(tblFinancials[[#This Row],[BusinessUnitKey]],tblBusinessUnits[BusinessUnitKey],tblBusinessUnits[BusinessUnitName],"")</f>
        <v>Wholesale</v>
      </c>
      <c r="P1180" s="8" t="str">
        <f>_xlfn.XLOOKUP(tblFinancials[[#This Row],[RegionKey]],tblRegions[RegionKey],tblRegions[RegionName],"")</f>
        <v>East</v>
      </c>
    </row>
    <row r="1181" spans="1:16">
      <c r="A1181">
        <v>20250901</v>
      </c>
      <c r="B1181">
        <v>6</v>
      </c>
      <c r="C1181">
        <v>2</v>
      </c>
      <c r="D1181">
        <v>3</v>
      </c>
      <c r="E1181">
        <v>17</v>
      </c>
      <c r="F1181" t="s">
        <v>92</v>
      </c>
      <c r="G1181">
        <v>-8902.4</v>
      </c>
      <c r="H1181">
        <f>_xlfn.XLOOKUP(tblFinancials[[#This Row],[DateKey]],tblCalendar[DateKey],tblCalendar[FullDate],"")</f>
        <v>45901</v>
      </c>
      <c r="I1181">
        <f>_xlfn.XLOOKUP(tblFinancials[[#This Row],[AccountKey]],tblAccounts[AccountKey],tblAccounts[AccountNumber],"")</f>
        <v>6120</v>
      </c>
      <c r="J1181" t="str">
        <f>_xlfn.XLOOKUP(tblFinancials[[#This Row],[AccountKey]],tblAccounts[AccountKey],tblAccounts[AccountName],"")</f>
        <v>Employee Benefits</v>
      </c>
      <c r="K1181" s="8" t="str">
        <f>_xlfn.XLOOKUP(tblFinancials[[#This Row],[AccountKey]],tblAccounts[AccountKey],tblAccounts[FinancialStatement],"")</f>
        <v>Income Statement</v>
      </c>
      <c r="L1181" s="8" t="str">
        <f>_xlfn.XLOOKUP(tblFinancials[[#This Row],[AccountKey]],tblAccounts[AccountKey],tblAccounts[AccountCategory],"")</f>
        <v>Operating Expense</v>
      </c>
      <c r="M1181" s="8" t="str">
        <f>_xlfn.XLOOKUP(tblFinancials[[#This Row],[AccountKey]],tblAccounts[AccountKey],tblAccounts[NormalBalance],"")</f>
        <v>Debit</v>
      </c>
      <c r="N1181" s="8" t="str">
        <f>_xlfn.XLOOKUP(tblFinancials[[#This Row],[DepartmentKey]],tblDepartments[DepartmentKey],tblDepartments[DepartmentName],"")</f>
        <v>Operations</v>
      </c>
      <c r="O1181" s="8" t="str">
        <f>_xlfn.XLOOKUP(tblFinancials[[#This Row],[BusinessUnitKey]],tblBusinessUnits[BusinessUnitKey],tblBusinessUnits[BusinessUnitName],"")</f>
        <v>Wholesale</v>
      </c>
      <c r="P1181" s="8" t="str">
        <f>_xlfn.XLOOKUP(tblFinancials[[#This Row],[RegionKey]],tblRegions[RegionKey],tblRegions[RegionName],"")</f>
        <v>South</v>
      </c>
    </row>
    <row r="1182" spans="1:16">
      <c r="A1182">
        <v>20250901</v>
      </c>
      <c r="B1182">
        <v>5</v>
      </c>
      <c r="C1182">
        <v>3</v>
      </c>
      <c r="D1182">
        <v>4</v>
      </c>
      <c r="E1182">
        <v>18</v>
      </c>
      <c r="F1182" t="s">
        <v>92</v>
      </c>
      <c r="G1182">
        <v>-6725.99</v>
      </c>
      <c r="H1182">
        <f>_xlfn.XLOOKUP(tblFinancials[[#This Row],[DateKey]],tblCalendar[DateKey],tblCalendar[FullDate],"")</f>
        <v>45901</v>
      </c>
      <c r="I1182">
        <f>_xlfn.XLOOKUP(tblFinancials[[#This Row],[AccountKey]],tblAccounts[AccountKey],tblAccounts[AccountNumber],"")</f>
        <v>6200</v>
      </c>
      <c r="J1182" t="str">
        <f>_xlfn.XLOOKUP(tblFinancials[[#This Row],[AccountKey]],tblAccounts[AccountKey],tblAccounts[AccountName],"")</f>
        <v>Marketing Expense</v>
      </c>
      <c r="K1182" s="8" t="str">
        <f>_xlfn.XLOOKUP(tblFinancials[[#This Row],[AccountKey]],tblAccounts[AccountKey],tblAccounts[FinancialStatement],"")</f>
        <v>Income Statement</v>
      </c>
      <c r="L1182" s="8" t="str">
        <f>_xlfn.XLOOKUP(tblFinancials[[#This Row],[AccountKey]],tblAccounts[AccountKey],tblAccounts[AccountCategory],"")</f>
        <v>Operating Expense</v>
      </c>
      <c r="M1182" s="8" t="str">
        <f>_xlfn.XLOOKUP(tblFinancials[[#This Row],[AccountKey]],tblAccounts[AccountKey],tblAccounts[NormalBalance],"")</f>
        <v>Debit</v>
      </c>
      <c r="N1182" s="8" t="str">
        <f>_xlfn.XLOOKUP(tblFinancials[[#This Row],[DepartmentKey]],tblDepartments[DepartmentKey],tblDepartments[DepartmentName],"")</f>
        <v>Marketing</v>
      </c>
      <c r="O1182" s="8" t="str">
        <f>_xlfn.XLOOKUP(tblFinancials[[#This Row],[BusinessUnitKey]],tblBusinessUnits[BusinessUnitKey],tblBusinessUnits[BusinessUnitName],"")</f>
        <v>Retail</v>
      </c>
      <c r="P1182" s="8" t="str">
        <f>_xlfn.XLOOKUP(tblFinancials[[#This Row],[RegionKey]],tblRegions[RegionKey],tblRegions[RegionName],"")</f>
        <v>East</v>
      </c>
    </row>
    <row r="1183" spans="1:16">
      <c r="A1183">
        <v>20250901</v>
      </c>
      <c r="B1183">
        <v>2</v>
      </c>
      <c r="C1183">
        <v>3</v>
      </c>
      <c r="D1183">
        <v>2</v>
      </c>
      <c r="E1183">
        <v>25</v>
      </c>
      <c r="F1183" t="s">
        <v>92</v>
      </c>
      <c r="G1183">
        <v>-7887.02</v>
      </c>
      <c r="H1183">
        <f>_xlfn.XLOOKUP(tblFinancials[[#This Row],[DateKey]],tblCalendar[DateKey],tblCalendar[FullDate],"")</f>
        <v>45901</v>
      </c>
      <c r="I1183">
        <f>_xlfn.XLOOKUP(tblFinancials[[#This Row],[AccountKey]],tblAccounts[AccountKey],tblAccounts[AccountNumber],"")</f>
        <v>8200</v>
      </c>
      <c r="J1183" t="str">
        <f>_xlfn.XLOOKUP(tblFinancials[[#This Row],[AccountKey]],tblAccounts[AccountKey],tblAccounts[AccountName],"")</f>
        <v>Income Tax Expense</v>
      </c>
      <c r="K1183" s="8" t="str">
        <f>_xlfn.XLOOKUP(tblFinancials[[#This Row],[AccountKey]],tblAccounts[AccountKey],tblAccounts[FinancialStatement],"")</f>
        <v>Income Statement</v>
      </c>
      <c r="L1183" s="8" t="str">
        <f>_xlfn.XLOOKUP(tblFinancials[[#This Row],[AccountKey]],tblAccounts[AccountKey],tblAccounts[AccountCategory],"")</f>
        <v>Tax Expense</v>
      </c>
      <c r="M1183" s="8" t="str">
        <f>_xlfn.XLOOKUP(tblFinancials[[#This Row],[AccountKey]],tblAccounts[AccountKey],tblAccounts[NormalBalance],"")</f>
        <v>Debit</v>
      </c>
      <c r="N1183" s="8" t="str">
        <f>_xlfn.XLOOKUP(tblFinancials[[#This Row],[DepartmentKey]],tblDepartments[DepartmentKey],tblDepartments[DepartmentName],"")</f>
        <v>Finance</v>
      </c>
      <c r="O1183" s="8" t="str">
        <f>_xlfn.XLOOKUP(tblFinancials[[#This Row],[BusinessUnitKey]],tblBusinessUnits[BusinessUnitKey],tblBusinessUnits[BusinessUnitName],"")</f>
        <v>Retail</v>
      </c>
      <c r="P1183" s="8" t="str">
        <f>_xlfn.XLOOKUP(tblFinancials[[#This Row],[RegionKey]],tblRegions[RegionKey],tblRegions[RegionName],"")</f>
        <v>Midwest</v>
      </c>
    </row>
    <row r="1184" spans="1:16">
      <c r="A1184">
        <v>20250901</v>
      </c>
      <c r="B1184">
        <v>4</v>
      </c>
      <c r="C1184">
        <v>2</v>
      </c>
      <c r="D1184">
        <v>4</v>
      </c>
      <c r="E1184">
        <v>25</v>
      </c>
      <c r="F1184" t="s">
        <v>92</v>
      </c>
      <c r="G1184">
        <v>-8056.47</v>
      </c>
      <c r="H1184">
        <f>_xlfn.XLOOKUP(tblFinancials[[#This Row],[DateKey]],tblCalendar[DateKey],tblCalendar[FullDate],"")</f>
        <v>45901</v>
      </c>
      <c r="I1184">
        <f>_xlfn.XLOOKUP(tblFinancials[[#This Row],[AccountKey]],tblAccounts[AccountKey],tblAccounts[AccountNumber],"")</f>
        <v>8200</v>
      </c>
      <c r="J1184" t="str">
        <f>_xlfn.XLOOKUP(tblFinancials[[#This Row],[AccountKey]],tblAccounts[AccountKey],tblAccounts[AccountName],"")</f>
        <v>Income Tax Expense</v>
      </c>
      <c r="K1184" s="8" t="str">
        <f>_xlfn.XLOOKUP(tblFinancials[[#This Row],[AccountKey]],tblAccounts[AccountKey],tblAccounts[FinancialStatement],"")</f>
        <v>Income Statement</v>
      </c>
      <c r="L1184" s="8" t="str">
        <f>_xlfn.XLOOKUP(tblFinancials[[#This Row],[AccountKey]],tblAccounts[AccountKey],tblAccounts[AccountCategory],"")</f>
        <v>Tax Expense</v>
      </c>
      <c r="M1184" s="8" t="str">
        <f>_xlfn.XLOOKUP(tblFinancials[[#This Row],[AccountKey]],tblAccounts[AccountKey],tblAccounts[NormalBalance],"")</f>
        <v>Debit</v>
      </c>
      <c r="N1184" s="8" t="str">
        <f>_xlfn.XLOOKUP(tblFinancials[[#This Row],[DepartmentKey]],tblDepartments[DepartmentKey],tblDepartments[DepartmentName],"")</f>
        <v>Sales</v>
      </c>
      <c r="O1184" s="8" t="str">
        <f>_xlfn.XLOOKUP(tblFinancials[[#This Row],[BusinessUnitKey]],tblBusinessUnits[BusinessUnitKey],tblBusinessUnits[BusinessUnitName],"")</f>
        <v>Wholesale</v>
      </c>
      <c r="P1184" s="8" t="str">
        <f>_xlfn.XLOOKUP(tblFinancials[[#This Row],[RegionKey]],tblRegions[RegionKey],tblRegions[RegionName],"")</f>
        <v>East</v>
      </c>
    </row>
    <row r="1185" spans="1:16">
      <c r="A1185">
        <v>20250901</v>
      </c>
      <c r="B1185">
        <v>3</v>
      </c>
      <c r="C1185">
        <v>4</v>
      </c>
      <c r="D1185">
        <v>4</v>
      </c>
      <c r="E1185">
        <v>21</v>
      </c>
      <c r="F1185" t="s">
        <v>92</v>
      </c>
      <c r="G1185">
        <v>-8448.32</v>
      </c>
      <c r="H1185">
        <f>_xlfn.XLOOKUP(tblFinancials[[#This Row],[DateKey]],tblCalendar[DateKey],tblCalendar[FullDate],"")</f>
        <v>45901</v>
      </c>
      <c r="I1185">
        <f>_xlfn.XLOOKUP(tblFinancials[[#This Row],[AccountKey]],tblAccounts[AccountKey],tblAccounts[AccountNumber],"")</f>
        <v>6600</v>
      </c>
      <c r="J1185" t="str">
        <f>_xlfn.XLOOKUP(tblFinancials[[#This Row],[AccountKey]],tblAccounts[AccountKey],tblAccounts[AccountName],"")</f>
        <v>Utilities Expense</v>
      </c>
      <c r="K1185" s="8" t="str">
        <f>_xlfn.XLOOKUP(tblFinancials[[#This Row],[AccountKey]],tblAccounts[AccountKey],tblAccounts[FinancialStatement],"")</f>
        <v>Income Statement</v>
      </c>
      <c r="L1185" s="8" t="str">
        <f>_xlfn.XLOOKUP(tblFinancials[[#This Row],[AccountKey]],tblAccounts[AccountKey],tblAccounts[AccountCategory],"")</f>
        <v>Operating Expense</v>
      </c>
      <c r="M1185" s="8" t="str">
        <f>_xlfn.XLOOKUP(tblFinancials[[#This Row],[AccountKey]],tblAccounts[AccountKey],tblAccounts[NormalBalance],"")</f>
        <v>Debit</v>
      </c>
      <c r="N1185" s="8" t="str">
        <f>_xlfn.XLOOKUP(tblFinancials[[#This Row],[DepartmentKey]],tblDepartments[DepartmentKey],tblDepartments[DepartmentName],"")</f>
        <v>Human Resources</v>
      </c>
      <c r="O1185" s="8" t="str">
        <f>_xlfn.XLOOKUP(tblFinancials[[#This Row],[BusinessUnitKey]],tblBusinessUnits[BusinessUnitKey],tblBusinessUnits[BusinessUnitName],"")</f>
        <v>E-Commerce</v>
      </c>
      <c r="P1185" s="8" t="str">
        <f>_xlfn.XLOOKUP(tblFinancials[[#This Row],[RegionKey]],tblRegions[RegionKey],tblRegions[RegionName],"")</f>
        <v>East</v>
      </c>
    </row>
    <row r="1186" spans="1:16">
      <c r="A1186">
        <v>20250901</v>
      </c>
      <c r="B1186">
        <v>6</v>
      </c>
      <c r="C1186">
        <v>1</v>
      </c>
      <c r="D1186">
        <v>2</v>
      </c>
      <c r="E1186">
        <v>21</v>
      </c>
      <c r="F1186" t="s">
        <v>92</v>
      </c>
      <c r="G1186">
        <v>-8909.7099999999991</v>
      </c>
      <c r="H1186">
        <f>_xlfn.XLOOKUP(tblFinancials[[#This Row],[DateKey]],tblCalendar[DateKey],tblCalendar[FullDate],"")</f>
        <v>45901</v>
      </c>
      <c r="I1186">
        <f>_xlfn.XLOOKUP(tblFinancials[[#This Row],[AccountKey]],tblAccounts[AccountKey],tblAccounts[AccountNumber],"")</f>
        <v>6600</v>
      </c>
      <c r="J1186" t="str">
        <f>_xlfn.XLOOKUP(tblFinancials[[#This Row],[AccountKey]],tblAccounts[AccountKey],tblAccounts[AccountName],"")</f>
        <v>Utilities Expense</v>
      </c>
      <c r="K1186" s="8" t="str">
        <f>_xlfn.XLOOKUP(tblFinancials[[#This Row],[AccountKey]],tblAccounts[AccountKey],tblAccounts[FinancialStatement],"")</f>
        <v>Income Statement</v>
      </c>
      <c r="L1186" s="8" t="str">
        <f>_xlfn.XLOOKUP(tblFinancials[[#This Row],[AccountKey]],tblAccounts[AccountKey],tblAccounts[AccountCategory],"")</f>
        <v>Operating Expense</v>
      </c>
      <c r="M1186" s="8" t="str">
        <f>_xlfn.XLOOKUP(tblFinancials[[#This Row],[AccountKey]],tblAccounts[AccountKey],tblAccounts[NormalBalance],"")</f>
        <v>Debit</v>
      </c>
      <c r="N1186" s="8" t="str">
        <f>_xlfn.XLOOKUP(tblFinancials[[#This Row],[DepartmentKey]],tblDepartments[DepartmentKey],tblDepartments[DepartmentName],"")</f>
        <v>Operations</v>
      </c>
      <c r="O1186" s="8" t="str">
        <f>_xlfn.XLOOKUP(tblFinancials[[#This Row],[BusinessUnitKey]],tblBusinessUnits[BusinessUnitKey],tblBusinessUnits[BusinessUnitName],"")</f>
        <v xml:space="preserve">Manufacturing </v>
      </c>
      <c r="P1186" s="8" t="str">
        <f>_xlfn.XLOOKUP(tblFinancials[[#This Row],[RegionKey]],tblRegions[RegionKey],tblRegions[RegionName],"")</f>
        <v>Midwest</v>
      </c>
    </row>
    <row r="1187" spans="1:16">
      <c r="A1187">
        <v>20250901</v>
      </c>
      <c r="B1187">
        <v>6</v>
      </c>
      <c r="C1187">
        <v>4</v>
      </c>
      <c r="D1187">
        <v>4</v>
      </c>
      <c r="E1187">
        <v>25</v>
      </c>
      <c r="F1187" t="s">
        <v>92</v>
      </c>
      <c r="G1187">
        <v>-6956.43</v>
      </c>
      <c r="H1187">
        <f>_xlfn.XLOOKUP(tblFinancials[[#This Row],[DateKey]],tblCalendar[DateKey],tblCalendar[FullDate],"")</f>
        <v>45901</v>
      </c>
      <c r="I1187">
        <f>_xlfn.XLOOKUP(tblFinancials[[#This Row],[AccountKey]],tblAccounts[AccountKey],tblAccounts[AccountNumber],"")</f>
        <v>8200</v>
      </c>
      <c r="J1187" t="str">
        <f>_xlfn.XLOOKUP(tblFinancials[[#This Row],[AccountKey]],tblAccounts[AccountKey],tblAccounts[AccountName],"")</f>
        <v>Income Tax Expense</v>
      </c>
      <c r="K1187" s="8" t="str">
        <f>_xlfn.XLOOKUP(tblFinancials[[#This Row],[AccountKey]],tblAccounts[AccountKey],tblAccounts[FinancialStatement],"")</f>
        <v>Income Statement</v>
      </c>
      <c r="L1187" s="8" t="str">
        <f>_xlfn.XLOOKUP(tblFinancials[[#This Row],[AccountKey]],tblAccounts[AccountKey],tblAccounts[AccountCategory],"")</f>
        <v>Tax Expense</v>
      </c>
      <c r="M1187" s="8" t="str">
        <f>_xlfn.XLOOKUP(tblFinancials[[#This Row],[AccountKey]],tblAccounts[AccountKey],tblAccounts[NormalBalance],"")</f>
        <v>Debit</v>
      </c>
      <c r="N1187" s="8" t="str">
        <f>_xlfn.XLOOKUP(tblFinancials[[#This Row],[DepartmentKey]],tblDepartments[DepartmentKey],tblDepartments[DepartmentName],"")</f>
        <v>Operations</v>
      </c>
      <c r="O1187" s="8" t="str">
        <f>_xlfn.XLOOKUP(tblFinancials[[#This Row],[BusinessUnitKey]],tblBusinessUnits[BusinessUnitKey],tblBusinessUnits[BusinessUnitName],"")</f>
        <v>E-Commerce</v>
      </c>
      <c r="P1187" s="8" t="str">
        <f>_xlfn.XLOOKUP(tblFinancials[[#This Row],[RegionKey]],tblRegions[RegionKey],tblRegions[RegionName],"")</f>
        <v>East</v>
      </c>
    </row>
    <row r="1188" spans="1:16">
      <c r="A1188">
        <v>20250901</v>
      </c>
      <c r="B1188">
        <v>6</v>
      </c>
      <c r="C1188">
        <v>1</v>
      </c>
      <c r="D1188">
        <v>2</v>
      </c>
      <c r="E1188">
        <v>15</v>
      </c>
      <c r="F1188" t="s">
        <v>92</v>
      </c>
      <c r="G1188">
        <v>-8595.18</v>
      </c>
      <c r="H1188">
        <f>_xlfn.XLOOKUP(tblFinancials[[#This Row],[DateKey]],tblCalendar[DateKey],tblCalendar[FullDate],"")</f>
        <v>45901</v>
      </c>
      <c r="I1188">
        <f>_xlfn.XLOOKUP(tblFinancials[[#This Row],[AccountKey]],tblAccounts[AccountKey],tblAccounts[AccountNumber],"")</f>
        <v>6100</v>
      </c>
      <c r="J1188" t="str">
        <f>_xlfn.XLOOKUP(tblFinancials[[#This Row],[AccountKey]],tblAccounts[AccountKey],tblAccounts[AccountName],"")</f>
        <v>Salaries Expense</v>
      </c>
      <c r="K1188" s="8" t="str">
        <f>_xlfn.XLOOKUP(tblFinancials[[#This Row],[AccountKey]],tblAccounts[AccountKey],tblAccounts[FinancialStatement],"")</f>
        <v>Income Statement</v>
      </c>
      <c r="L1188" s="8" t="str">
        <f>_xlfn.XLOOKUP(tblFinancials[[#This Row],[AccountKey]],tblAccounts[AccountKey],tblAccounts[AccountCategory],"")</f>
        <v>Operating Expense</v>
      </c>
      <c r="M1188" s="8" t="str">
        <f>_xlfn.XLOOKUP(tblFinancials[[#This Row],[AccountKey]],tblAccounts[AccountKey],tblAccounts[NormalBalance],"")</f>
        <v>Debit</v>
      </c>
      <c r="N1188" s="8" t="str">
        <f>_xlfn.XLOOKUP(tblFinancials[[#This Row],[DepartmentKey]],tblDepartments[DepartmentKey],tblDepartments[DepartmentName],"")</f>
        <v>Operations</v>
      </c>
      <c r="O1188" s="8" t="str">
        <f>_xlfn.XLOOKUP(tblFinancials[[#This Row],[BusinessUnitKey]],tblBusinessUnits[BusinessUnitKey],tblBusinessUnits[BusinessUnitName],"")</f>
        <v xml:space="preserve">Manufacturing </v>
      </c>
      <c r="P1188" s="8" t="str">
        <f>_xlfn.XLOOKUP(tblFinancials[[#This Row],[RegionKey]],tblRegions[RegionKey],tblRegions[RegionName],"")</f>
        <v>Midwest</v>
      </c>
    </row>
    <row r="1189" spans="1:16">
      <c r="A1189">
        <v>20250901</v>
      </c>
      <c r="B1189">
        <v>8</v>
      </c>
      <c r="C1189">
        <v>4</v>
      </c>
      <c r="D1189">
        <v>1</v>
      </c>
      <c r="E1189">
        <v>23</v>
      </c>
      <c r="F1189" t="s">
        <v>92</v>
      </c>
      <c r="G1189">
        <v>-5024.8500000000004</v>
      </c>
      <c r="H1189">
        <f>_xlfn.XLOOKUP(tblFinancials[[#This Row],[DateKey]],tblCalendar[DateKey],tblCalendar[FullDate],"")</f>
        <v>45901</v>
      </c>
      <c r="I1189">
        <f>_xlfn.XLOOKUP(tblFinancials[[#This Row],[AccountKey]],tblAccounts[AccountKey],tblAccounts[AccountNumber],"")</f>
        <v>6800</v>
      </c>
      <c r="J1189" t="str">
        <f>_xlfn.XLOOKUP(tblFinancials[[#This Row],[AccountKey]],tblAccounts[AccountKey],tblAccounts[AccountName],"")</f>
        <v>Travel Expense</v>
      </c>
      <c r="K1189" s="8" t="str">
        <f>_xlfn.XLOOKUP(tblFinancials[[#This Row],[AccountKey]],tblAccounts[AccountKey],tblAccounts[FinancialStatement],"")</f>
        <v>Income Statement</v>
      </c>
      <c r="L1189" s="8" t="str">
        <f>_xlfn.XLOOKUP(tblFinancials[[#This Row],[AccountKey]],tblAccounts[AccountKey],tblAccounts[AccountCategory],"")</f>
        <v>Operating Expense</v>
      </c>
      <c r="M1189" s="8" t="str">
        <f>_xlfn.XLOOKUP(tblFinancials[[#This Row],[AccountKey]],tblAccounts[AccountKey],tblAccounts[NormalBalance],"")</f>
        <v>Debit</v>
      </c>
      <c r="N1189" s="8" t="str">
        <f>_xlfn.XLOOKUP(tblFinancials[[#This Row],[DepartmentKey]],tblDepartments[DepartmentKey],tblDepartments[DepartmentName],"")</f>
        <v>Customer Service</v>
      </c>
      <c r="O1189" s="8" t="str">
        <f>_xlfn.XLOOKUP(tblFinancials[[#This Row],[BusinessUnitKey]],tblBusinessUnits[BusinessUnitKey],tblBusinessUnits[BusinessUnitName],"")</f>
        <v>E-Commerce</v>
      </c>
      <c r="P1189" s="8" t="str">
        <f>_xlfn.XLOOKUP(tblFinancials[[#This Row],[RegionKey]],tblRegions[RegionKey],tblRegions[RegionName],"")</f>
        <v>West</v>
      </c>
    </row>
    <row r="1190" spans="1:16">
      <c r="A1190">
        <v>20251001</v>
      </c>
      <c r="B1190">
        <v>8</v>
      </c>
      <c r="C1190">
        <v>2</v>
      </c>
      <c r="D1190">
        <v>1</v>
      </c>
      <c r="E1190">
        <v>11</v>
      </c>
      <c r="F1190" t="s">
        <v>92</v>
      </c>
      <c r="G1190">
        <v>33801.120000000003</v>
      </c>
      <c r="H1190">
        <f>_xlfn.XLOOKUP(tblFinancials[[#This Row],[DateKey]],tblCalendar[DateKey],tblCalendar[FullDate],"")</f>
        <v>45931</v>
      </c>
      <c r="I1190">
        <f>_xlfn.XLOOKUP(tblFinancials[[#This Row],[AccountKey]],tblAccounts[AccountKey],tblAccounts[AccountNumber],"")</f>
        <v>4000</v>
      </c>
      <c r="J1190" t="str">
        <f>_xlfn.XLOOKUP(tblFinancials[[#This Row],[AccountKey]],tblAccounts[AccountKey],tblAccounts[AccountName],"")</f>
        <v>Product Revenue</v>
      </c>
      <c r="K1190" s="8" t="str">
        <f>_xlfn.XLOOKUP(tblFinancials[[#This Row],[AccountKey]],tblAccounts[AccountKey],tblAccounts[FinancialStatement],"")</f>
        <v>Income Statement</v>
      </c>
      <c r="L1190" s="8" t="str">
        <f>_xlfn.XLOOKUP(tblFinancials[[#This Row],[AccountKey]],tblAccounts[AccountKey],tblAccounts[AccountCategory],"")</f>
        <v>Revenue</v>
      </c>
      <c r="M1190" s="8" t="str">
        <f>_xlfn.XLOOKUP(tblFinancials[[#This Row],[AccountKey]],tblAccounts[AccountKey],tblAccounts[NormalBalance],"")</f>
        <v>Credit</v>
      </c>
      <c r="N1190" s="8" t="str">
        <f>_xlfn.XLOOKUP(tblFinancials[[#This Row],[DepartmentKey]],tblDepartments[DepartmentKey],tblDepartments[DepartmentName],"")</f>
        <v>Customer Service</v>
      </c>
      <c r="O1190" s="8" t="str">
        <f>_xlfn.XLOOKUP(tblFinancials[[#This Row],[BusinessUnitKey]],tblBusinessUnits[BusinessUnitKey],tblBusinessUnits[BusinessUnitName],"")</f>
        <v>Wholesale</v>
      </c>
      <c r="P1190" s="8" t="str">
        <f>_xlfn.XLOOKUP(tblFinancials[[#This Row],[RegionKey]],tblRegions[RegionKey],tblRegions[RegionName],"")</f>
        <v>West</v>
      </c>
    </row>
    <row r="1191" spans="1:16">
      <c r="A1191">
        <v>20251001</v>
      </c>
      <c r="B1191">
        <v>5</v>
      </c>
      <c r="C1191">
        <v>1</v>
      </c>
      <c r="D1191">
        <v>2</v>
      </c>
      <c r="E1191">
        <v>11</v>
      </c>
      <c r="F1191" t="s">
        <v>92</v>
      </c>
      <c r="G1191">
        <v>33050.980000000003</v>
      </c>
      <c r="H1191">
        <f>_xlfn.XLOOKUP(tblFinancials[[#This Row],[DateKey]],tblCalendar[DateKey],tblCalendar[FullDate],"")</f>
        <v>45931</v>
      </c>
      <c r="I1191">
        <f>_xlfn.XLOOKUP(tblFinancials[[#This Row],[AccountKey]],tblAccounts[AccountKey],tblAccounts[AccountNumber],"")</f>
        <v>4000</v>
      </c>
      <c r="J1191" t="str">
        <f>_xlfn.XLOOKUP(tblFinancials[[#This Row],[AccountKey]],tblAccounts[AccountKey],tblAccounts[AccountName],"")</f>
        <v>Product Revenue</v>
      </c>
      <c r="K1191" s="8" t="str">
        <f>_xlfn.XLOOKUP(tblFinancials[[#This Row],[AccountKey]],tblAccounts[AccountKey],tblAccounts[FinancialStatement],"")</f>
        <v>Income Statement</v>
      </c>
      <c r="L1191" s="8" t="str">
        <f>_xlfn.XLOOKUP(tblFinancials[[#This Row],[AccountKey]],tblAccounts[AccountKey],tblAccounts[AccountCategory],"")</f>
        <v>Revenue</v>
      </c>
      <c r="M1191" s="8" t="str">
        <f>_xlfn.XLOOKUP(tblFinancials[[#This Row],[AccountKey]],tblAccounts[AccountKey],tblAccounts[NormalBalance],"")</f>
        <v>Credit</v>
      </c>
      <c r="N1191" s="8" t="str">
        <f>_xlfn.XLOOKUP(tblFinancials[[#This Row],[DepartmentKey]],tblDepartments[DepartmentKey],tblDepartments[DepartmentName],"")</f>
        <v>Marketing</v>
      </c>
      <c r="O1191" s="8" t="str">
        <f>_xlfn.XLOOKUP(tblFinancials[[#This Row],[BusinessUnitKey]],tblBusinessUnits[BusinessUnitKey],tblBusinessUnits[BusinessUnitName],"")</f>
        <v xml:space="preserve">Manufacturing </v>
      </c>
      <c r="P1191" s="8" t="str">
        <f>_xlfn.XLOOKUP(tblFinancials[[#This Row],[RegionKey]],tblRegions[RegionKey],tblRegions[RegionName],"")</f>
        <v>Midwest</v>
      </c>
    </row>
    <row r="1192" spans="1:16">
      <c r="A1192">
        <v>20251001</v>
      </c>
      <c r="B1192">
        <v>7</v>
      </c>
      <c r="C1192">
        <v>1</v>
      </c>
      <c r="D1192">
        <v>1</v>
      </c>
      <c r="E1192">
        <v>11</v>
      </c>
      <c r="F1192" t="s">
        <v>92</v>
      </c>
      <c r="G1192">
        <v>33877.919999999998</v>
      </c>
      <c r="H1192">
        <f>_xlfn.XLOOKUP(tblFinancials[[#This Row],[DateKey]],tblCalendar[DateKey],tblCalendar[FullDate],"")</f>
        <v>45931</v>
      </c>
      <c r="I1192">
        <f>_xlfn.XLOOKUP(tblFinancials[[#This Row],[AccountKey]],tblAccounts[AccountKey],tblAccounts[AccountNumber],"")</f>
        <v>4000</v>
      </c>
      <c r="J1192" t="str">
        <f>_xlfn.XLOOKUP(tblFinancials[[#This Row],[AccountKey]],tblAccounts[AccountKey],tblAccounts[AccountName],"")</f>
        <v>Product Revenue</v>
      </c>
      <c r="K1192" s="8" t="str">
        <f>_xlfn.XLOOKUP(tblFinancials[[#This Row],[AccountKey]],tblAccounts[AccountKey],tblAccounts[FinancialStatement],"")</f>
        <v>Income Statement</v>
      </c>
      <c r="L1192" s="8" t="str">
        <f>_xlfn.XLOOKUP(tblFinancials[[#This Row],[AccountKey]],tblAccounts[AccountKey],tblAccounts[AccountCategory],"")</f>
        <v>Revenue</v>
      </c>
      <c r="M1192" s="8" t="str">
        <f>_xlfn.XLOOKUP(tblFinancials[[#This Row],[AccountKey]],tblAccounts[AccountKey],tblAccounts[NormalBalance],"")</f>
        <v>Credit</v>
      </c>
      <c r="N1192" s="8" t="str">
        <f>_xlfn.XLOOKUP(tblFinancials[[#This Row],[DepartmentKey]],tblDepartments[DepartmentKey],tblDepartments[DepartmentName],"")</f>
        <v>Information Technology</v>
      </c>
      <c r="O1192" s="8" t="str">
        <f>_xlfn.XLOOKUP(tblFinancials[[#This Row],[BusinessUnitKey]],tblBusinessUnits[BusinessUnitKey],tblBusinessUnits[BusinessUnitName],"")</f>
        <v xml:space="preserve">Manufacturing </v>
      </c>
      <c r="P1192" s="8" t="str">
        <f>_xlfn.XLOOKUP(tblFinancials[[#This Row],[RegionKey]],tblRegions[RegionKey],tblRegions[RegionName],"")</f>
        <v>West</v>
      </c>
    </row>
    <row r="1193" spans="1:16">
      <c r="A1193">
        <v>20251001</v>
      </c>
      <c r="B1193">
        <v>7</v>
      </c>
      <c r="C1193">
        <v>3</v>
      </c>
      <c r="D1193">
        <v>4</v>
      </c>
      <c r="E1193">
        <v>13</v>
      </c>
      <c r="F1193" t="s">
        <v>92</v>
      </c>
      <c r="G1193">
        <v>33785.72</v>
      </c>
      <c r="H1193">
        <f>_xlfn.XLOOKUP(tblFinancials[[#This Row],[DateKey]],tblCalendar[DateKey],tblCalendar[FullDate],"")</f>
        <v>45931</v>
      </c>
      <c r="I1193">
        <f>_xlfn.XLOOKUP(tblFinancials[[#This Row],[AccountKey]],tblAccounts[AccountKey],tblAccounts[AccountNumber],"")</f>
        <v>4020</v>
      </c>
      <c r="J1193" t="str">
        <f>_xlfn.XLOOKUP(tblFinancials[[#This Row],[AccountKey]],tblAccounts[AccountKey],tblAccounts[AccountName],"")</f>
        <v>Online Revenue</v>
      </c>
      <c r="K1193" s="8" t="str">
        <f>_xlfn.XLOOKUP(tblFinancials[[#This Row],[AccountKey]],tblAccounts[AccountKey],tblAccounts[FinancialStatement],"")</f>
        <v>Income Statement</v>
      </c>
      <c r="L1193" s="8" t="str">
        <f>_xlfn.XLOOKUP(tblFinancials[[#This Row],[AccountKey]],tblAccounts[AccountKey],tblAccounts[AccountCategory],"")</f>
        <v>Revenue</v>
      </c>
      <c r="M1193" s="8" t="str">
        <f>_xlfn.XLOOKUP(tblFinancials[[#This Row],[AccountKey]],tblAccounts[AccountKey],tblAccounts[NormalBalance],"")</f>
        <v>Credit</v>
      </c>
      <c r="N1193" s="8" t="str">
        <f>_xlfn.XLOOKUP(tblFinancials[[#This Row],[DepartmentKey]],tblDepartments[DepartmentKey],tblDepartments[DepartmentName],"")</f>
        <v>Information Technology</v>
      </c>
      <c r="O1193" s="8" t="str">
        <f>_xlfn.XLOOKUP(tblFinancials[[#This Row],[BusinessUnitKey]],tblBusinessUnits[BusinessUnitKey],tblBusinessUnits[BusinessUnitName],"")</f>
        <v>Retail</v>
      </c>
      <c r="P1193" s="8" t="str">
        <f>_xlfn.XLOOKUP(tblFinancials[[#This Row],[RegionKey]],tblRegions[RegionKey],tblRegions[RegionName],"")</f>
        <v>East</v>
      </c>
    </row>
    <row r="1194" spans="1:16">
      <c r="A1194">
        <v>20251001</v>
      </c>
      <c r="B1194">
        <v>6</v>
      </c>
      <c r="C1194">
        <v>3</v>
      </c>
      <c r="D1194">
        <v>3</v>
      </c>
      <c r="E1194">
        <v>12</v>
      </c>
      <c r="F1194" t="s">
        <v>92</v>
      </c>
      <c r="G1194">
        <v>33999.980000000003</v>
      </c>
      <c r="H1194">
        <f>_xlfn.XLOOKUP(tblFinancials[[#This Row],[DateKey]],tblCalendar[DateKey],tblCalendar[FullDate],"")</f>
        <v>45931</v>
      </c>
      <c r="I1194">
        <f>_xlfn.XLOOKUP(tblFinancials[[#This Row],[AccountKey]],tblAccounts[AccountKey],tblAccounts[AccountNumber],"")</f>
        <v>4010</v>
      </c>
      <c r="J1194" t="str">
        <f>_xlfn.XLOOKUP(tblFinancials[[#This Row],[AccountKey]],tblAccounts[AccountKey],tblAccounts[AccountName],"")</f>
        <v>Service Revenue</v>
      </c>
      <c r="K1194" s="8" t="str">
        <f>_xlfn.XLOOKUP(tblFinancials[[#This Row],[AccountKey]],tblAccounts[AccountKey],tblAccounts[FinancialStatement],"")</f>
        <v>Income Statement</v>
      </c>
      <c r="L1194" s="8" t="str">
        <f>_xlfn.XLOOKUP(tblFinancials[[#This Row],[AccountKey]],tblAccounts[AccountKey],tblAccounts[AccountCategory],"")</f>
        <v>Revenue</v>
      </c>
      <c r="M1194" s="8" t="str">
        <f>_xlfn.XLOOKUP(tblFinancials[[#This Row],[AccountKey]],tblAccounts[AccountKey],tblAccounts[NormalBalance],"")</f>
        <v>Credit</v>
      </c>
      <c r="N1194" s="8" t="str">
        <f>_xlfn.XLOOKUP(tblFinancials[[#This Row],[DepartmentKey]],tblDepartments[DepartmentKey],tblDepartments[DepartmentName],"")</f>
        <v>Operations</v>
      </c>
      <c r="O1194" s="8" t="str">
        <f>_xlfn.XLOOKUP(tblFinancials[[#This Row],[BusinessUnitKey]],tblBusinessUnits[BusinessUnitKey],tblBusinessUnits[BusinessUnitName],"")</f>
        <v>Retail</v>
      </c>
      <c r="P1194" s="8" t="str">
        <f>_xlfn.XLOOKUP(tblFinancials[[#This Row],[RegionKey]],tblRegions[RegionKey],tblRegions[RegionName],"")</f>
        <v>South</v>
      </c>
    </row>
    <row r="1195" spans="1:16">
      <c r="A1195">
        <v>20251001</v>
      </c>
      <c r="B1195">
        <v>2</v>
      </c>
      <c r="C1195">
        <v>1</v>
      </c>
      <c r="D1195">
        <v>3</v>
      </c>
      <c r="E1195">
        <v>13</v>
      </c>
      <c r="F1195" t="s">
        <v>92</v>
      </c>
      <c r="G1195">
        <v>32300.48</v>
      </c>
      <c r="H1195">
        <f>_xlfn.XLOOKUP(tblFinancials[[#This Row],[DateKey]],tblCalendar[DateKey],tblCalendar[FullDate],"")</f>
        <v>45931</v>
      </c>
      <c r="I1195">
        <f>_xlfn.XLOOKUP(tblFinancials[[#This Row],[AccountKey]],tblAccounts[AccountKey],tblAccounts[AccountNumber],"")</f>
        <v>4020</v>
      </c>
      <c r="J1195" t="str">
        <f>_xlfn.XLOOKUP(tblFinancials[[#This Row],[AccountKey]],tblAccounts[AccountKey],tblAccounts[AccountName],"")</f>
        <v>Online Revenue</v>
      </c>
      <c r="K1195" s="8" t="str">
        <f>_xlfn.XLOOKUP(tblFinancials[[#This Row],[AccountKey]],tblAccounts[AccountKey],tblAccounts[FinancialStatement],"")</f>
        <v>Income Statement</v>
      </c>
      <c r="L1195" s="8" t="str">
        <f>_xlfn.XLOOKUP(tblFinancials[[#This Row],[AccountKey]],tblAccounts[AccountKey],tblAccounts[AccountCategory],"")</f>
        <v>Revenue</v>
      </c>
      <c r="M1195" s="8" t="str">
        <f>_xlfn.XLOOKUP(tblFinancials[[#This Row],[AccountKey]],tblAccounts[AccountKey],tblAccounts[NormalBalance],"")</f>
        <v>Credit</v>
      </c>
      <c r="N1195" s="8" t="str">
        <f>_xlfn.XLOOKUP(tblFinancials[[#This Row],[DepartmentKey]],tblDepartments[DepartmentKey],tblDepartments[DepartmentName],"")</f>
        <v>Finance</v>
      </c>
      <c r="O1195" s="8" t="str">
        <f>_xlfn.XLOOKUP(tblFinancials[[#This Row],[BusinessUnitKey]],tblBusinessUnits[BusinessUnitKey],tblBusinessUnits[BusinessUnitName],"")</f>
        <v xml:space="preserve">Manufacturing </v>
      </c>
      <c r="P1195" s="8" t="str">
        <f>_xlfn.XLOOKUP(tblFinancials[[#This Row],[RegionKey]],tblRegions[RegionKey],tblRegions[RegionName],"")</f>
        <v>South</v>
      </c>
    </row>
    <row r="1196" spans="1:16">
      <c r="A1196">
        <v>20251001</v>
      </c>
      <c r="B1196">
        <v>7</v>
      </c>
      <c r="C1196">
        <v>1</v>
      </c>
      <c r="D1196">
        <v>2</v>
      </c>
      <c r="E1196">
        <v>12</v>
      </c>
      <c r="F1196" t="s">
        <v>92</v>
      </c>
      <c r="G1196">
        <v>32128.83</v>
      </c>
      <c r="H1196">
        <f>_xlfn.XLOOKUP(tblFinancials[[#This Row],[DateKey]],tblCalendar[DateKey],tblCalendar[FullDate],"")</f>
        <v>45931</v>
      </c>
      <c r="I1196">
        <f>_xlfn.XLOOKUP(tblFinancials[[#This Row],[AccountKey]],tblAccounts[AccountKey],tblAccounts[AccountNumber],"")</f>
        <v>4010</v>
      </c>
      <c r="J1196" t="str">
        <f>_xlfn.XLOOKUP(tblFinancials[[#This Row],[AccountKey]],tblAccounts[AccountKey],tblAccounts[AccountName],"")</f>
        <v>Service Revenue</v>
      </c>
      <c r="K1196" s="8" t="str">
        <f>_xlfn.XLOOKUP(tblFinancials[[#This Row],[AccountKey]],tblAccounts[AccountKey],tblAccounts[FinancialStatement],"")</f>
        <v>Income Statement</v>
      </c>
      <c r="L1196" s="8" t="str">
        <f>_xlfn.XLOOKUP(tblFinancials[[#This Row],[AccountKey]],tblAccounts[AccountKey],tblAccounts[AccountCategory],"")</f>
        <v>Revenue</v>
      </c>
      <c r="M1196" s="8" t="str">
        <f>_xlfn.XLOOKUP(tblFinancials[[#This Row],[AccountKey]],tblAccounts[AccountKey],tblAccounts[NormalBalance],"")</f>
        <v>Credit</v>
      </c>
      <c r="N1196" s="8" t="str">
        <f>_xlfn.XLOOKUP(tblFinancials[[#This Row],[DepartmentKey]],tblDepartments[DepartmentKey],tblDepartments[DepartmentName],"")</f>
        <v>Information Technology</v>
      </c>
      <c r="O1196" s="8" t="str">
        <f>_xlfn.XLOOKUP(tblFinancials[[#This Row],[BusinessUnitKey]],tblBusinessUnits[BusinessUnitKey],tblBusinessUnits[BusinessUnitName],"")</f>
        <v xml:space="preserve">Manufacturing </v>
      </c>
      <c r="P1196" s="8" t="str">
        <f>_xlfn.XLOOKUP(tblFinancials[[#This Row],[RegionKey]],tblRegions[RegionKey],tblRegions[RegionName],"")</f>
        <v>Midwest</v>
      </c>
    </row>
    <row r="1197" spans="1:16">
      <c r="A1197">
        <v>20251001</v>
      </c>
      <c r="B1197">
        <v>1</v>
      </c>
      <c r="C1197">
        <v>3</v>
      </c>
      <c r="D1197">
        <v>3</v>
      </c>
      <c r="E1197">
        <v>12</v>
      </c>
      <c r="F1197" t="s">
        <v>92</v>
      </c>
      <c r="G1197">
        <v>34013.410000000003</v>
      </c>
      <c r="H1197">
        <f>_xlfn.XLOOKUP(tblFinancials[[#This Row],[DateKey]],tblCalendar[DateKey],tblCalendar[FullDate],"")</f>
        <v>45931</v>
      </c>
      <c r="I1197">
        <f>_xlfn.XLOOKUP(tblFinancials[[#This Row],[AccountKey]],tblAccounts[AccountKey],tblAccounts[AccountNumber],"")</f>
        <v>4010</v>
      </c>
      <c r="J1197" t="str">
        <f>_xlfn.XLOOKUP(tblFinancials[[#This Row],[AccountKey]],tblAccounts[AccountKey],tblAccounts[AccountName],"")</f>
        <v>Service Revenue</v>
      </c>
      <c r="K1197" s="8" t="str">
        <f>_xlfn.XLOOKUP(tblFinancials[[#This Row],[AccountKey]],tblAccounts[AccountKey],tblAccounts[FinancialStatement],"")</f>
        <v>Income Statement</v>
      </c>
      <c r="L1197" s="8" t="str">
        <f>_xlfn.XLOOKUP(tblFinancials[[#This Row],[AccountKey]],tblAccounts[AccountKey],tblAccounts[AccountCategory],"")</f>
        <v>Revenue</v>
      </c>
      <c r="M1197" s="8" t="str">
        <f>_xlfn.XLOOKUP(tblFinancials[[#This Row],[AccountKey]],tblAccounts[AccountKey],tblAccounts[NormalBalance],"")</f>
        <v>Credit</v>
      </c>
      <c r="N1197" s="8" t="str">
        <f>_xlfn.XLOOKUP(tblFinancials[[#This Row],[DepartmentKey]],tblDepartments[DepartmentKey],tblDepartments[DepartmentName],"")</f>
        <v>Executive</v>
      </c>
      <c r="O1197" s="8" t="str">
        <f>_xlfn.XLOOKUP(tblFinancials[[#This Row],[BusinessUnitKey]],tblBusinessUnits[BusinessUnitKey],tblBusinessUnits[BusinessUnitName],"")</f>
        <v>Retail</v>
      </c>
      <c r="P1197" s="8" t="str">
        <f>_xlfn.XLOOKUP(tblFinancials[[#This Row],[RegionKey]],tblRegions[RegionKey],tblRegions[RegionName],"")</f>
        <v>South</v>
      </c>
    </row>
    <row r="1198" spans="1:16">
      <c r="A1198">
        <v>20251001</v>
      </c>
      <c r="B1198">
        <v>8</v>
      </c>
      <c r="C1198">
        <v>3</v>
      </c>
      <c r="D1198">
        <v>2</v>
      </c>
      <c r="E1198">
        <v>12</v>
      </c>
      <c r="F1198" t="s">
        <v>92</v>
      </c>
      <c r="G1198">
        <v>33407.74</v>
      </c>
      <c r="H1198">
        <f>_xlfn.XLOOKUP(tblFinancials[[#This Row],[DateKey]],tblCalendar[DateKey],tblCalendar[FullDate],"")</f>
        <v>45931</v>
      </c>
      <c r="I1198">
        <f>_xlfn.XLOOKUP(tblFinancials[[#This Row],[AccountKey]],tblAccounts[AccountKey],tblAccounts[AccountNumber],"")</f>
        <v>4010</v>
      </c>
      <c r="J1198" t="str">
        <f>_xlfn.XLOOKUP(tblFinancials[[#This Row],[AccountKey]],tblAccounts[AccountKey],tblAccounts[AccountName],"")</f>
        <v>Service Revenue</v>
      </c>
      <c r="K1198" s="8" t="str">
        <f>_xlfn.XLOOKUP(tblFinancials[[#This Row],[AccountKey]],tblAccounts[AccountKey],tblAccounts[FinancialStatement],"")</f>
        <v>Income Statement</v>
      </c>
      <c r="L1198" s="8" t="str">
        <f>_xlfn.XLOOKUP(tblFinancials[[#This Row],[AccountKey]],tblAccounts[AccountKey],tblAccounts[AccountCategory],"")</f>
        <v>Revenue</v>
      </c>
      <c r="M1198" s="8" t="str">
        <f>_xlfn.XLOOKUP(tblFinancials[[#This Row],[AccountKey]],tblAccounts[AccountKey],tblAccounts[NormalBalance],"")</f>
        <v>Credit</v>
      </c>
      <c r="N1198" s="8" t="str">
        <f>_xlfn.XLOOKUP(tblFinancials[[#This Row],[DepartmentKey]],tblDepartments[DepartmentKey],tblDepartments[DepartmentName],"")</f>
        <v>Customer Service</v>
      </c>
      <c r="O1198" s="8" t="str">
        <f>_xlfn.XLOOKUP(tblFinancials[[#This Row],[BusinessUnitKey]],tblBusinessUnits[BusinessUnitKey],tblBusinessUnits[BusinessUnitName],"")</f>
        <v>Retail</v>
      </c>
      <c r="P1198" s="8" t="str">
        <f>_xlfn.XLOOKUP(tblFinancials[[#This Row],[RegionKey]],tblRegions[RegionKey],tblRegions[RegionName],"")</f>
        <v>Midwest</v>
      </c>
    </row>
    <row r="1199" spans="1:16">
      <c r="A1199">
        <v>20251001</v>
      </c>
      <c r="B1199">
        <v>1</v>
      </c>
      <c r="C1199">
        <v>2</v>
      </c>
      <c r="D1199">
        <v>4</v>
      </c>
      <c r="E1199">
        <v>12</v>
      </c>
      <c r="F1199" t="s">
        <v>92</v>
      </c>
      <c r="G1199">
        <v>34035.83</v>
      </c>
      <c r="H1199">
        <f>_xlfn.XLOOKUP(tblFinancials[[#This Row],[DateKey]],tblCalendar[DateKey],tblCalendar[FullDate],"")</f>
        <v>45931</v>
      </c>
      <c r="I1199">
        <f>_xlfn.XLOOKUP(tblFinancials[[#This Row],[AccountKey]],tblAccounts[AccountKey],tblAccounts[AccountNumber],"")</f>
        <v>4010</v>
      </c>
      <c r="J1199" t="str">
        <f>_xlfn.XLOOKUP(tblFinancials[[#This Row],[AccountKey]],tblAccounts[AccountKey],tblAccounts[AccountName],"")</f>
        <v>Service Revenue</v>
      </c>
      <c r="K1199" s="8" t="str">
        <f>_xlfn.XLOOKUP(tblFinancials[[#This Row],[AccountKey]],tblAccounts[AccountKey],tblAccounts[FinancialStatement],"")</f>
        <v>Income Statement</v>
      </c>
      <c r="L1199" s="8" t="str">
        <f>_xlfn.XLOOKUP(tblFinancials[[#This Row],[AccountKey]],tblAccounts[AccountKey],tblAccounts[AccountCategory],"")</f>
        <v>Revenue</v>
      </c>
      <c r="M1199" s="8" t="str">
        <f>_xlfn.XLOOKUP(tblFinancials[[#This Row],[AccountKey]],tblAccounts[AccountKey],tblAccounts[NormalBalance],"")</f>
        <v>Credit</v>
      </c>
      <c r="N1199" s="8" t="str">
        <f>_xlfn.XLOOKUP(tblFinancials[[#This Row],[DepartmentKey]],tblDepartments[DepartmentKey],tblDepartments[DepartmentName],"")</f>
        <v>Executive</v>
      </c>
      <c r="O1199" s="8" t="str">
        <f>_xlfn.XLOOKUP(tblFinancials[[#This Row],[BusinessUnitKey]],tblBusinessUnits[BusinessUnitKey],tblBusinessUnits[BusinessUnitName],"")</f>
        <v>Wholesale</v>
      </c>
      <c r="P1199" s="8" t="str">
        <f>_xlfn.XLOOKUP(tblFinancials[[#This Row],[RegionKey]],tblRegions[RegionKey],tblRegions[RegionName],"")</f>
        <v>East</v>
      </c>
    </row>
    <row r="1200" spans="1:16">
      <c r="A1200">
        <v>20251001</v>
      </c>
      <c r="B1200">
        <v>7</v>
      </c>
      <c r="C1200">
        <v>3</v>
      </c>
      <c r="D1200">
        <v>1</v>
      </c>
      <c r="E1200">
        <v>13</v>
      </c>
      <c r="F1200" t="s">
        <v>92</v>
      </c>
      <c r="G1200">
        <v>32350.560000000001</v>
      </c>
      <c r="H1200">
        <f>_xlfn.XLOOKUP(tblFinancials[[#This Row],[DateKey]],tblCalendar[DateKey],tblCalendar[FullDate],"")</f>
        <v>45931</v>
      </c>
      <c r="I1200">
        <f>_xlfn.XLOOKUP(tblFinancials[[#This Row],[AccountKey]],tblAccounts[AccountKey],tblAccounts[AccountNumber],"")</f>
        <v>4020</v>
      </c>
      <c r="J1200" t="str">
        <f>_xlfn.XLOOKUP(tblFinancials[[#This Row],[AccountKey]],tblAccounts[AccountKey],tblAccounts[AccountName],"")</f>
        <v>Online Revenue</v>
      </c>
      <c r="K1200" s="8" t="str">
        <f>_xlfn.XLOOKUP(tblFinancials[[#This Row],[AccountKey]],tblAccounts[AccountKey],tblAccounts[FinancialStatement],"")</f>
        <v>Income Statement</v>
      </c>
      <c r="L1200" s="8" t="str">
        <f>_xlfn.XLOOKUP(tblFinancials[[#This Row],[AccountKey]],tblAccounts[AccountKey],tblAccounts[AccountCategory],"")</f>
        <v>Revenue</v>
      </c>
      <c r="M1200" s="8" t="str">
        <f>_xlfn.XLOOKUP(tblFinancials[[#This Row],[AccountKey]],tblAccounts[AccountKey],tblAccounts[NormalBalance],"")</f>
        <v>Credit</v>
      </c>
      <c r="N1200" s="8" t="str">
        <f>_xlfn.XLOOKUP(tblFinancials[[#This Row],[DepartmentKey]],tblDepartments[DepartmentKey],tblDepartments[DepartmentName],"")</f>
        <v>Information Technology</v>
      </c>
      <c r="O1200" s="8" t="str">
        <f>_xlfn.XLOOKUP(tblFinancials[[#This Row],[BusinessUnitKey]],tblBusinessUnits[BusinessUnitKey],tblBusinessUnits[BusinessUnitName],"")</f>
        <v>Retail</v>
      </c>
      <c r="P1200" s="8" t="str">
        <f>_xlfn.XLOOKUP(tblFinancials[[#This Row],[RegionKey]],tblRegions[RegionKey],tblRegions[RegionName],"")</f>
        <v>West</v>
      </c>
    </row>
    <row r="1201" spans="1:16">
      <c r="A1201">
        <v>20251001</v>
      </c>
      <c r="B1201">
        <v>1</v>
      </c>
      <c r="C1201">
        <v>1</v>
      </c>
      <c r="D1201">
        <v>3</v>
      </c>
      <c r="E1201">
        <v>12</v>
      </c>
      <c r="F1201" t="s">
        <v>92</v>
      </c>
      <c r="G1201">
        <v>30964.81</v>
      </c>
      <c r="H1201">
        <f>_xlfn.XLOOKUP(tblFinancials[[#This Row],[DateKey]],tblCalendar[DateKey],tblCalendar[FullDate],"")</f>
        <v>45931</v>
      </c>
      <c r="I1201">
        <f>_xlfn.XLOOKUP(tblFinancials[[#This Row],[AccountKey]],tblAccounts[AccountKey],tblAccounts[AccountNumber],"")</f>
        <v>4010</v>
      </c>
      <c r="J1201" t="str">
        <f>_xlfn.XLOOKUP(tblFinancials[[#This Row],[AccountKey]],tblAccounts[AccountKey],tblAccounts[AccountName],"")</f>
        <v>Service Revenue</v>
      </c>
      <c r="K1201" s="8" t="str">
        <f>_xlfn.XLOOKUP(tblFinancials[[#This Row],[AccountKey]],tblAccounts[AccountKey],tblAccounts[FinancialStatement],"")</f>
        <v>Income Statement</v>
      </c>
      <c r="L1201" s="8" t="str">
        <f>_xlfn.XLOOKUP(tblFinancials[[#This Row],[AccountKey]],tblAccounts[AccountKey],tblAccounts[AccountCategory],"")</f>
        <v>Revenue</v>
      </c>
      <c r="M1201" s="8" t="str">
        <f>_xlfn.XLOOKUP(tblFinancials[[#This Row],[AccountKey]],tblAccounts[AccountKey],tblAccounts[NormalBalance],"")</f>
        <v>Credit</v>
      </c>
      <c r="N1201" s="8" t="str">
        <f>_xlfn.XLOOKUP(tblFinancials[[#This Row],[DepartmentKey]],tblDepartments[DepartmentKey],tblDepartments[DepartmentName],"")</f>
        <v>Executive</v>
      </c>
      <c r="O1201" s="8" t="str">
        <f>_xlfn.XLOOKUP(tblFinancials[[#This Row],[BusinessUnitKey]],tblBusinessUnits[BusinessUnitKey],tblBusinessUnits[BusinessUnitName],"")</f>
        <v xml:space="preserve">Manufacturing </v>
      </c>
      <c r="P1201" s="8" t="str">
        <f>_xlfn.XLOOKUP(tblFinancials[[#This Row],[RegionKey]],tblRegions[RegionKey],tblRegions[RegionName],"")</f>
        <v>South</v>
      </c>
    </row>
    <row r="1202" spans="1:16">
      <c r="A1202">
        <v>20251001</v>
      </c>
      <c r="B1202">
        <v>6</v>
      </c>
      <c r="C1202">
        <v>2</v>
      </c>
      <c r="D1202">
        <v>4</v>
      </c>
      <c r="E1202">
        <v>14</v>
      </c>
      <c r="F1202" t="s">
        <v>92</v>
      </c>
      <c r="G1202">
        <v>-20481.11</v>
      </c>
      <c r="H1202">
        <f>_xlfn.XLOOKUP(tblFinancials[[#This Row],[DateKey]],tblCalendar[DateKey],tblCalendar[FullDate],"")</f>
        <v>45931</v>
      </c>
      <c r="I1202">
        <f>_xlfn.XLOOKUP(tblFinancials[[#This Row],[AccountKey]],tblAccounts[AccountKey],tblAccounts[AccountNumber],"")</f>
        <v>5000</v>
      </c>
      <c r="J1202" t="str">
        <f>_xlfn.XLOOKUP(tblFinancials[[#This Row],[AccountKey]],tblAccounts[AccountKey],tblAccounts[AccountName],"")</f>
        <v>Cost of Goods Sold</v>
      </c>
      <c r="K1202" s="8" t="str">
        <f>_xlfn.XLOOKUP(tblFinancials[[#This Row],[AccountKey]],tblAccounts[AccountKey],tblAccounts[FinancialStatement],"")</f>
        <v>Income Statement</v>
      </c>
      <c r="L1202" s="8" t="str">
        <f>_xlfn.XLOOKUP(tblFinancials[[#This Row],[AccountKey]],tblAccounts[AccountKey],tblAccounts[AccountCategory],"")</f>
        <v>Cost of Sales</v>
      </c>
      <c r="M1202" s="8" t="str">
        <f>_xlfn.XLOOKUP(tblFinancials[[#This Row],[AccountKey]],tblAccounts[AccountKey],tblAccounts[NormalBalance],"")</f>
        <v>Debit</v>
      </c>
      <c r="N1202" s="8" t="str">
        <f>_xlfn.XLOOKUP(tblFinancials[[#This Row],[DepartmentKey]],tblDepartments[DepartmentKey],tblDepartments[DepartmentName],"")</f>
        <v>Operations</v>
      </c>
      <c r="O1202" s="8" t="str">
        <f>_xlfn.XLOOKUP(tblFinancials[[#This Row],[BusinessUnitKey]],tblBusinessUnits[BusinessUnitKey],tblBusinessUnits[BusinessUnitName],"")</f>
        <v>Wholesale</v>
      </c>
      <c r="P1202" s="8" t="str">
        <f>_xlfn.XLOOKUP(tblFinancials[[#This Row],[RegionKey]],tblRegions[RegionKey],tblRegions[RegionName],"")</f>
        <v>East</v>
      </c>
    </row>
    <row r="1203" spans="1:16">
      <c r="A1203">
        <v>20251001</v>
      </c>
      <c r="B1203">
        <v>6</v>
      </c>
      <c r="C1203">
        <v>1</v>
      </c>
      <c r="D1203">
        <v>3</v>
      </c>
      <c r="E1203">
        <v>14</v>
      </c>
      <c r="F1203" t="s">
        <v>92</v>
      </c>
      <c r="G1203">
        <v>-19214.02</v>
      </c>
      <c r="H1203">
        <f>_xlfn.XLOOKUP(tblFinancials[[#This Row],[DateKey]],tblCalendar[DateKey],tblCalendar[FullDate],"")</f>
        <v>45931</v>
      </c>
      <c r="I1203">
        <f>_xlfn.XLOOKUP(tblFinancials[[#This Row],[AccountKey]],tblAccounts[AccountKey],tblAccounts[AccountNumber],"")</f>
        <v>5000</v>
      </c>
      <c r="J1203" t="str">
        <f>_xlfn.XLOOKUP(tblFinancials[[#This Row],[AccountKey]],tblAccounts[AccountKey],tblAccounts[AccountName],"")</f>
        <v>Cost of Goods Sold</v>
      </c>
      <c r="K1203" s="8" t="str">
        <f>_xlfn.XLOOKUP(tblFinancials[[#This Row],[AccountKey]],tblAccounts[AccountKey],tblAccounts[FinancialStatement],"")</f>
        <v>Income Statement</v>
      </c>
      <c r="L1203" s="8" t="str">
        <f>_xlfn.XLOOKUP(tblFinancials[[#This Row],[AccountKey]],tblAccounts[AccountKey],tblAccounts[AccountCategory],"")</f>
        <v>Cost of Sales</v>
      </c>
      <c r="M1203" s="8" t="str">
        <f>_xlfn.XLOOKUP(tblFinancials[[#This Row],[AccountKey]],tblAccounts[AccountKey],tblAccounts[NormalBalance],"")</f>
        <v>Debit</v>
      </c>
      <c r="N1203" s="8" t="str">
        <f>_xlfn.XLOOKUP(tblFinancials[[#This Row],[DepartmentKey]],tblDepartments[DepartmentKey],tblDepartments[DepartmentName],"")</f>
        <v>Operations</v>
      </c>
      <c r="O1203" s="8" t="str">
        <f>_xlfn.XLOOKUP(tblFinancials[[#This Row],[BusinessUnitKey]],tblBusinessUnits[BusinessUnitKey],tblBusinessUnits[BusinessUnitName],"")</f>
        <v xml:space="preserve">Manufacturing </v>
      </c>
      <c r="P1203" s="8" t="str">
        <f>_xlfn.XLOOKUP(tblFinancials[[#This Row],[RegionKey]],tblRegions[RegionKey],tblRegions[RegionName],"")</f>
        <v>South</v>
      </c>
    </row>
    <row r="1204" spans="1:16">
      <c r="A1204">
        <v>20251001</v>
      </c>
      <c r="B1204">
        <v>8</v>
      </c>
      <c r="C1204">
        <v>3</v>
      </c>
      <c r="D1204">
        <v>3</v>
      </c>
      <c r="E1204">
        <v>14</v>
      </c>
      <c r="F1204" t="s">
        <v>92</v>
      </c>
      <c r="G1204">
        <v>-19514.05</v>
      </c>
      <c r="H1204">
        <f>_xlfn.XLOOKUP(tblFinancials[[#This Row],[DateKey]],tblCalendar[DateKey],tblCalendar[FullDate],"")</f>
        <v>45931</v>
      </c>
      <c r="I1204">
        <f>_xlfn.XLOOKUP(tblFinancials[[#This Row],[AccountKey]],tblAccounts[AccountKey],tblAccounts[AccountNumber],"")</f>
        <v>5000</v>
      </c>
      <c r="J1204" t="str">
        <f>_xlfn.XLOOKUP(tblFinancials[[#This Row],[AccountKey]],tblAccounts[AccountKey],tblAccounts[AccountName],"")</f>
        <v>Cost of Goods Sold</v>
      </c>
      <c r="K1204" s="8" t="str">
        <f>_xlfn.XLOOKUP(tblFinancials[[#This Row],[AccountKey]],tblAccounts[AccountKey],tblAccounts[FinancialStatement],"")</f>
        <v>Income Statement</v>
      </c>
      <c r="L1204" s="8" t="str">
        <f>_xlfn.XLOOKUP(tblFinancials[[#This Row],[AccountKey]],tblAccounts[AccountKey],tblAccounts[AccountCategory],"")</f>
        <v>Cost of Sales</v>
      </c>
      <c r="M1204" s="8" t="str">
        <f>_xlfn.XLOOKUP(tblFinancials[[#This Row],[AccountKey]],tblAccounts[AccountKey],tblAccounts[NormalBalance],"")</f>
        <v>Debit</v>
      </c>
      <c r="N1204" s="8" t="str">
        <f>_xlfn.XLOOKUP(tblFinancials[[#This Row],[DepartmentKey]],tblDepartments[DepartmentKey],tblDepartments[DepartmentName],"")</f>
        <v>Customer Service</v>
      </c>
      <c r="O1204" s="8" t="str">
        <f>_xlfn.XLOOKUP(tblFinancials[[#This Row],[BusinessUnitKey]],tblBusinessUnits[BusinessUnitKey],tblBusinessUnits[BusinessUnitName],"")</f>
        <v>Retail</v>
      </c>
      <c r="P1204" s="8" t="str">
        <f>_xlfn.XLOOKUP(tblFinancials[[#This Row],[RegionKey]],tblRegions[RegionKey],tblRegions[RegionName],"")</f>
        <v>South</v>
      </c>
    </row>
    <row r="1205" spans="1:16">
      <c r="A1205">
        <v>20251001</v>
      </c>
      <c r="B1205">
        <v>3</v>
      </c>
      <c r="C1205">
        <v>2</v>
      </c>
      <c r="D1205">
        <v>2</v>
      </c>
      <c r="E1205">
        <v>14</v>
      </c>
      <c r="F1205" t="s">
        <v>92</v>
      </c>
      <c r="G1205">
        <v>-18941.330000000002</v>
      </c>
      <c r="H1205">
        <f>_xlfn.XLOOKUP(tblFinancials[[#This Row],[DateKey]],tblCalendar[DateKey],tblCalendar[FullDate],"")</f>
        <v>45931</v>
      </c>
      <c r="I1205">
        <f>_xlfn.XLOOKUP(tblFinancials[[#This Row],[AccountKey]],tblAccounts[AccountKey],tblAccounts[AccountNumber],"")</f>
        <v>5000</v>
      </c>
      <c r="J1205" t="str">
        <f>_xlfn.XLOOKUP(tblFinancials[[#This Row],[AccountKey]],tblAccounts[AccountKey],tblAccounts[AccountName],"")</f>
        <v>Cost of Goods Sold</v>
      </c>
      <c r="K1205" s="8" t="str">
        <f>_xlfn.XLOOKUP(tblFinancials[[#This Row],[AccountKey]],tblAccounts[AccountKey],tblAccounts[FinancialStatement],"")</f>
        <v>Income Statement</v>
      </c>
      <c r="L1205" s="8" t="str">
        <f>_xlfn.XLOOKUP(tblFinancials[[#This Row],[AccountKey]],tblAccounts[AccountKey],tblAccounts[AccountCategory],"")</f>
        <v>Cost of Sales</v>
      </c>
      <c r="M1205" s="8" t="str">
        <f>_xlfn.XLOOKUP(tblFinancials[[#This Row],[AccountKey]],tblAccounts[AccountKey],tblAccounts[NormalBalance],"")</f>
        <v>Debit</v>
      </c>
      <c r="N1205" s="8" t="str">
        <f>_xlfn.XLOOKUP(tblFinancials[[#This Row],[DepartmentKey]],tblDepartments[DepartmentKey],tblDepartments[DepartmentName],"")</f>
        <v>Human Resources</v>
      </c>
      <c r="O1205" s="8" t="str">
        <f>_xlfn.XLOOKUP(tblFinancials[[#This Row],[BusinessUnitKey]],tblBusinessUnits[BusinessUnitKey],tblBusinessUnits[BusinessUnitName],"")</f>
        <v>Wholesale</v>
      </c>
      <c r="P1205" s="8" t="str">
        <f>_xlfn.XLOOKUP(tblFinancials[[#This Row],[RegionKey]],tblRegions[RegionKey],tblRegions[RegionName],"")</f>
        <v>Midwest</v>
      </c>
    </row>
    <row r="1206" spans="1:16">
      <c r="A1206">
        <v>20251001</v>
      </c>
      <c r="B1206">
        <v>3</v>
      </c>
      <c r="C1206">
        <v>2</v>
      </c>
      <c r="D1206">
        <v>4</v>
      </c>
      <c r="E1206">
        <v>14</v>
      </c>
      <c r="F1206" t="s">
        <v>92</v>
      </c>
      <c r="G1206">
        <v>-18806.25</v>
      </c>
      <c r="H1206">
        <f>_xlfn.XLOOKUP(tblFinancials[[#This Row],[DateKey]],tblCalendar[DateKey],tblCalendar[FullDate],"")</f>
        <v>45931</v>
      </c>
      <c r="I1206">
        <f>_xlfn.XLOOKUP(tblFinancials[[#This Row],[AccountKey]],tblAccounts[AccountKey],tblAccounts[AccountNumber],"")</f>
        <v>5000</v>
      </c>
      <c r="J1206" t="str">
        <f>_xlfn.XLOOKUP(tblFinancials[[#This Row],[AccountKey]],tblAccounts[AccountKey],tblAccounts[AccountName],"")</f>
        <v>Cost of Goods Sold</v>
      </c>
      <c r="K1206" s="8" t="str">
        <f>_xlfn.XLOOKUP(tblFinancials[[#This Row],[AccountKey]],tblAccounts[AccountKey],tblAccounts[FinancialStatement],"")</f>
        <v>Income Statement</v>
      </c>
      <c r="L1206" s="8" t="str">
        <f>_xlfn.XLOOKUP(tblFinancials[[#This Row],[AccountKey]],tblAccounts[AccountKey],tblAccounts[AccountCategory],"")</f>
        <v>Cost of Sales</v>
      </c>
      <c r="M1206" s="8" t="str">
        <f>_xlfn.XLOOKUP(tblFinancials[[#This Row],[AccountKey]],tblAccounts[AccountKey],tblAccounts[NormalBalance],"")</f>
        <v>Debit</v>
      </c>
      <c r="N1206" s="8" t="str">
        <f>_xlfn.XLOOKUP(tblFinancials[[#This Row],[DepartmentKey]],tblDepartments[DepartmentKey],tblDepartments[DepartmentName],"")</f>
        <v>Human Resources</v>
      </c>
      <c r="O1206" s="8" t="str">
        <f>_xlfn.XLOOKUP(tblFinancials[[#This Row],[BusinessUnitKey]],tblBusinessUnits[BusinessUnitKey],tblBusinessUnits[BusinessUnitName],"")</f>
        <v>Wholesale</v>
      </c>
      <c r="P1206" s="8" t="str">
        <f>_xlfn.XLOOKUP(tblFinancials[[#This Row],[RegionKey]],tblRegions[RegionKey],tblRegions[RegionName],"")</f>
        <v>East</v>
      </c>
    </row>
    <row r="1207" spans="1:16">
      <c r="A1207">
        <v>20251001</v>
      </c>
      <c r="B1207">
        <v>8</v>
      </c>
      <c r="C1207">
        <v>2</v>
      </c>
      <c r="D1207">
        <v>2</v>
      </c>
      <c r="E1207">
        <v>14</v>
      </c>
      <c r="F1207" t="s">
        <v>92</v>
      </c>
      <c r="G1207">
        <v>-20501.189999999999</v>
      </c>
      <c r="H1207">
        <f>_xlfn.XLOOKUP(tblFinancials[[#This Row],[DateKey]],tblCalendar[DateKey],tblCalendar[FullDate],"")</f>
        <v>45931</v>
      </c>
      <c r="I1207">
        <f>_xlfn.XLOOKUP(tblFinancials[[#This Row],[AccountKey]],tblAccounts[AccountKey],tblAccounts[AccountNumber],"")</f>
        <v>5000</v>
      </c>
      <c r="J1207" t="str">
        <f>_xlfn.XLOOKUP(tblFinancials[[#This Row],[AccountKey]],tblAccounts[AccountKey],tblAccounts[AccountName],"")</f>
        <v>Cost of Goods Sold</v>
      </c>
      <c r="K1207" s="8" t="str">
        <f>_xlfn.XLOOKUP(tblFinancials[[#This Row],[AccountKey]],tblAccounts[AccountKey],tblAccounts[FinancialStatement],"")</f>
        <v>Income Statement</v>
      </c>
      <c r="L1207" s="8" t="str">
        <f>_xlfn.XLOOKUP(tblFinancials[[#This Row],[AccountKey]],tblAccounts[AccountKey],tblAccounts[AccountCategory],"")</f>
        <v>Cost of Sales</v>
      </c>
      <c r="M1207" s="8" t="str">
        <f>_xlfn.XLOOKUP(tblFinancials[[#This Row],[AccountKey]],tblAccounts[AccountKey],tblAccounts[NormalBalance],"")</f>
        <v>Debit</v>
      </c>
      <c r="N1207" s="8" t="str">
        <f>_xlfn.XLOOKUP(tblFinancials[[#This Row],[DepartmentKey]],tblDepartments[DepartmentKey],tblDepartments[DepartmentName],"")</f>
        <v>Customer Service</v>
      </c>
      <c r="O1207" s="8" t="str">
        <f>_xlfn.XLOOKUP(tblFinancials[[#This Row],[BusinessUnitKey]],tblBusinessUnits[BusinessUnitKey],tblBusinessUnits[BusinessUnitName],"")</f>
        <v>Wholesale</v>
      </c>
      <c r="P1207" s="8" t="str">
        <f>_xlfn.XLOOKUP(tblFinancials[[#This Row],[RegionKey]],tblRegions[RegionKey],tblRegions[RegionName],"")</f>
        <v>Midwest</v>
      </c>
    </row>
    <row r="1208" spans="1:16">
      <c r="A1208">
        <v>20251001</v>
      </c>
      <c r="B1208">
        <v>1</v>
      </c>
      <c r="C1208">
        <v>1</v>
      </c>
      <c r="D1208">
        <v>4</v>
      </c>
      <c r="E1208">
        <v>14</v>
      </c>
      <c r="F1208" t="s">
        <v>92</v>
      </c>
      <c r="G1208">
        <v>-19395.04</v>
      </c>
      <c r="H1208">
        <f>_xlfn.XLOOKUP(tblFinancials[[#This Row],[DateKey]],tblCalendar[DateKey],tblCalendar[FullDate],"")</f>
        <v>45931</v>
      </c>
      <c r="I1208">
        <f>_xlfn.XLOOKUP(tblFinancials[[#This Row],[AccountKey]],tblAccounts[AccountKey],tblAccounts[AccountNumber],"")</f>
        <v>5000</v>
      </c>
      <c r="J1208" t="str">
        <f>_xlfn.XLOOKUP(tblFinancials[[#This Row],[AccountKey]],tblAccounts[AccountKey],tblAccounts[AccountName],"")</f>
        <v>Cost of Goods Sold</v>
      </c>
      <c r="K1208" s="8" t="str">
        <f>_xlfn.XLOOKUP(tblFinancials[[#This Row],[AccountKey]],tblAccounts[AccountKey],tblAccounts[FinancialStatement],"")</f>
        <v>Income Statement</v>
      </c>
      <c r="L1208" s="8" t="str">
        <f>_xlfn.XLOOKUP(tblFinancials[[#This Row],[AccountKey]],tblAccounts[AccountKey],tblAccounts[AccountCategory],"")</f>
        <v>Cost of Sales</v>
      </c>
      <c r="M1208" s="8" t="str">
        <f>_xlfn.XLOOKUP(tblFinancials[[#This Row],[AccountKey]],tblAccounts[AccountKey],tblAccounts[NormalBalance],"")</f>
        <v>Debit</v>
      </c>
      <c r="N1208" s="8" t="str">
        <f>_xlfn.XLOOKUP(tblFinancials[[#This Row],[DepartmentKey]],tblDepartments[DepartmentKey],tblDepartments[DepartmentName],"")</f>
        <v>Executive</v>
      </c>
      <c r="O1208" s="8" t="str">
        <f>_xlfn.XLOOKUP(tblFinancials[[#This Row],[BusinessUnitKey]],tblBusinessUnits[BusinessUnitKey],tblBusinessUnits[BusinessUnitName],"")</f>
        <v xml:space="preserve">Manufacturing </v>
      </c>
      <c r="P1208" s="8" t="str">
        <f>_xlfn.XLOOKUP(tblFinancials[[#This Row],[RegionKey]],tblRegions[RegionKey],tblRegions[RegionName],"")</f>
        <v>East</v>
      </c>
    </row>
    <row r="1209" spans="1:16">
      <c r="A1209">
        <v>20251001</v>
      </c>
      <c r="B1209">
        <v>7</v>
      </c>
      <c r="C1209">
        <v>2</v>
      </c>
      <c r="D1209">
        <v>2</v>
      </c>
      <c r="E1209">
        <v>14</v>
      </c>
      <c r="F1209" t="s">
        <v>92</v>
      </c>
      <c r="G1209">
        <v>-19398.29</v>
      </c>
      <c r="H1209">
        <f>_xlfn.XLOOKUP(tblFinancials[[#This Row],[DateKey]],tblCalendar[DateKey],tblCalendar[FullDate],"")</f>
        <v>45931</v>
      </c>
      <c r="I1209">
        <f>_xlfn.XLOOKUP(tblFinancials[[#This Row],[AccountKey]],tblAccounts[AccountKey],tblAccounts[AccountNumber],"")</f>
        <v>5000</v>
      </c>
      <c r="J1209" t="str">
        <f>_xlfn.XLOOKUP(tblFinancials[[#This Row],[AccountKey]],tblAccounts[AccountKey],tblAccounts[AccountName],"")</f>
        <v>Cost of Goods Sold</v>
      </c>
      <c r="K1209" s="8" t="str">
        <f>_xlfn.XLOOKUP(tblFinancials[[#This Row],[AccountKey]],tblAccounts[AccountKey],tblAccounts[FinancialStatement],"")</f>
        <v>Income Statement</v>
      </c>
      <c r="L1209" s="8" t="str">
        <f>_xlfn.XLOOKUP(tblFinancials[[#This Row],[AccountKey]],tblAccounts[AccountKey],tblAccounts[AccountCategory],"")</f>
        <v>Cost of Sales</v>
      </c>
      <c r="M1209" s="8" t="str">
        <f>_xlfn.XLOOKUP(tblFinancials[[#This Row],[AccountKey]],tblAccounts[AccountKey],tblAccounts[NormalBalance],"")</f>
        <v>Debit</v>
      </c>
      <c r="N1209" s="8" t="str">
        <f>_xlfn.XLOOKUP(tblFinancials[[#This Row],[DepartmentKey]],tblDepartments[DepartmentKey],tblDepartments[DepartmentName],"")</f>
        <v>Information Technology</v>
      </c>
      <c r="O1209" s="8" t="str">
        <f>_xlfn.XLOOKUP(tblFinancials[[#This Row],[BusinessUnitKey]],tblBusinessUnits[BusinessUnitKey],tblBusinessUnits[BusinessUnitName],"")</f>
        <v>Wholesale</v>
      </c>
      <c r="P1209" s="8" t="str">
        <f>_xlfn.XLOOKUP(tblFinancials[[#This Row],[RegionKey]],tblRegions[RegionKey],tblRegions[RegionName],"")</f>
        <v>Midwest</v>
      </c>
    </row>
    <row r="1210" spans="1:16">
      <c r="A1210">
        <v>20251001</v>
      </c>
      <c r="B1210">
        <v>2</v>
      </c>
      <c r="C1210">
        <v>3</v>
      </c>
      <c r="D1210">
        <v>2</v>
      </c>
      <c r="E1210">
        <v>14</v>
      </c>
      <c r="F1210" t="s">
        <v>92</v>
      </c>
      <c r="G1210">
        <v>-19023.849999999999</v>
      </c>
      <c r="H1210">
        <f>_xlfn.XLOOKUP(tblFinancials[[#This Row],[DateKey]],tblCalendar[DateKey],tblCalendar[FullDate],"")</f>
        <v>45931</v>
      </c>
      <c r="I1210">
        <f>_xlfn.XLOOKUP(tblFinancials[[#This Row],[AccountKey]],tblAccounts[AccountKey],tblAccounts[AccountNumber],"")</f>
        <v>5000</v>
      </c>
      <c r="J1210" t="str">
        <f>_xlfn.XLOOKUP(tblFinancials[[#This Row],[AccountKey]],tblAccounts[AccountKey],tblAccounts[AccountName],"")</f>
        <v>Cost of Goods Sold</v>
      </c>
      <c r="K1210" s="8" t="str">
        <f>_xlfn.XLOOKUP(tblFinancials[[#This Row],[AccountKey]],tblAccounts[AccountKey],tblAccounts[FinancialStatement],"")</f>
        <v>Income Statement</v>
      </c>
      <c r="L1210" s="8" t="str">
        <f>_xlfn.XLOOKUP(tblFinancials[[#This Row],[AccountKey]],tblAccounts[AccountKey],tblAccounts[AccountCategory],"")</f>
        <v>Cost of Sales</v>
      </c>
      <c r="M1210" s="8" t="str">
        <f>_xlfn.XLOOKUP(tblFinancials[[#This Row],[AccountKey]],tblAccounts[AccountKey],tblAccounts[NormalBalance],"")</f>
        <v>Debit</v>
      </c>
      <c r="N1210" s="8" t="str">
        <f>_xlfn.XLOOKUP(tblFinancials[[#This Row],[DepartmentKey]],tblDepartments[DepartmentKey],tblDepartments[DepartmentName],"")</f>
        <v>Finance</v>
      </c>
      <c r="O1210" s="8" t="str">
        <f>_xlfn.XLOOKUP(tblFinancials[[#This Row],[BusinessUnitKey]],tblBusinessUnits[BusinessUnitKey],tblBusinessUnits[BusinessUnitName],"")</f>
        <v>Retail</v>
      </c>
      <c r="P1210" s="8" t="str">
        <f>_xlfn.XLOOKUP(tblFinancials[[#This Row],[RegionKey]],tblRegions[RegionKey],tblRegions[RegionName],"")</f>
        <v>Midwest</v>
      </c>
    </row>
    <row r="1211" spans="1:16">
      <c r="A1211">
        <v>20251001</v>
      </c>
      <c r="B1211">
        <v>2</v>
      </c>
      <c r="C1211">
        <v>2</v>
      </c>
      <c r="D1211">
        <v>1</v>
      </c>
      <c r="E1211">
        <v>14</v>
      </c>
      <c r="F1211" t="s">
        <v>92</v>
      </c>
      <c r="G1211">
        <v>-18445.169999999998</v>
      </c>
      <c r="H1211">
        <f>_xlfn.XLOOKUP(tblFinancials[[#This Row],[DateKey]],tblCalendar[DateKey],tblCalendar[FullDate],"")</f>
        <v>45931</v>
      </c>
      <c r="I1211">
        <f>_xlfn.XLOOKUP(tblFinancials[[#This Row],[AccountKey]],tblAccounts[AccountKey],tblAccounts[AccountNumber],"")</f>
        <v>5000</v>
      </c>
      <c r="J1211" t="str">
        <f>_xlfn.XLOOKUP(tblFinancials[[#This Row],[AccountKey]],tblAccounts[AccountKey],tblAccounts[AccountName],"")</f>
        <v>Cost of Goods Sold</v>
      </c>
      <c r="K1211" s="8" t="str">
        <f>_xlfn.XLOOKUP(tblFinancials[[#This Row],[AccountKey]],tblAccounts[AccountKey],tblAccounts[FinancialStatement],"")</f>
        <v>Income Statement</v>
      </c>
      <c r="L1211" s="8" t="str">
        <f>_xlfn.XLOOKUP(tblFinancials[[#This Row],[AccountKey]],tblAccounts[AccountKey],tblAccounts[AccountCategory],"")</f>
        <v>Cost of Sales</v>
      </c>
      <c r="M1211" s="8" t="str">
        <f>_xlfn.XLOOKUP(tblFinancials[[#This Row],[AccountKey]],tblAccounts[AccountKey],tblAccounts[NormalBalance],"")</f>
        <v>Debit</v>
      </c>
      <c r="N1211" s="8" t="str">
        <f>_xlfn.XLOOKUP(tblFinancials[[#This Row],[DepartmentKey]],tblDepartments[DepartmentKey],tblDepartments[DepartmentName],"")</f>
        <v>Finance</v>
      </c>
      <c r="O1211" s="8" t="str">
        <f>_xlfn.XLOOKUP(tblFinancials[[#This Row],[BusinessUnitKey]],tblBusinessUnits[BusinessUnitKey],tblBusinessUnits[BusinessUnitName],"")</f>
        <v>Wholesale</v>
      </c>
      <c r="P1211" s="8" t="str">
        <f>_xlfn.XLOOKUP(tblFinancials[[#This Row],[RegionKey]],tblRegions[RegionKey],tblRegions[RegionName],"")</f>
        <v>West</v>
      </c>
    </row>
    <row r="1212" spans="1:16">
      <c r="A1212">
        <v>20251001</v>
      </c>
      <c r="B1212">
        <v>8</v>
      </c>
      <c r="C1212">
        <v>1</v>
      </c>
      <c r="D1212">
        <v>1</v>
      </c>
      <c r="E1212">
        <v>14</v>
      </c>
      <c r="F1212" t="s">
        <v>92</v>
      </c>
      <c r="G1212">
        <v>-20344.54</v>
      </c>
      <c r="H1212">
        <f>_xlfn.XLOOKUP(tblFinancials[[#This Row],[DateKey]],tblCalendar[DateKey],tblCalendar[FullDate],"")</f>
        <v>45931</v>
      </c>
      <c r="I1212">
        <f>_xlfn.XLOOKUP(tblFinancials[[#This Row],[AccountKey]],tblAccounts[AccountKey],tblAccounts[AccountNumber],"")</f>
        <v>5000</v>
      </c>
      <c r="J1212" t="str">
        <f>_xlfn.XLOOKUP(tblFinancials[[#This Row],[AccountKey]],tblAccounts[AccountKey],tblAccounts[AccountName],"")</f>
        <v>Cost of Goods Sold</v>
      </c>
      <c r="K1212" s="8" t="str">
        <f>_xlfn.XLOOKUP(tblFinancials[[#This Row],[AccountKey]],tblAccounts[AccountKey],tblAccounts[FinancialStatement],"")</f>
        <v>Income Statement</v>
      </c>
      <c r="L1212" s="8" t="str">
        <f>_xlfn.XLOOKUP(tblFinancials[[#This Row],[AccountKey]],tblAccounts[AccountKey],tblAccounts[AccountCategory],"")</f>
        <v>Cost of Sales</v>
      </c>
      <c r="M1212" s="8" t="str">
        <f>_xlfn.XLOOKUP(tblFinancials[[#This Row],[AccountKey]],tblAccounts[AccountKey],tblAccounts[NormalBalance],"")</f>
        <v>Debit</v>
      </c>
      <c r="N1212" s="8" t="str">
        <f>_xlfn.XLOOKUP(tblFinancials[[#This Row],[DepartmentKey]],tblDepartments[DepartmentKey],tblDepartments[DepartmentName],"")</f>
        <v>Customer Service</v>
      </c>
      <c r="O1212" s="8" t="str">
        <f>_xlfn.XLOOKUP(tblFinancials[[#This Row],[BusinessUnitKey]],tblBusinessUnits[BusinessUnitKey],tblBusinessUnits[BusinessUnitName],"")</f>
        <v xml:space="preserve">Manufacturing </v>
      </c>
      <c r="P1212" s="8" t="str">
        <f>_xlfn.XLOOKUP(tblFinancials[[#This Row],[RegionKey]],tblRegions[RegionKey],tblRegions[RegionName],"")</f>
        <v>West</v>
      </c>
    </row>
    <row r="1213" spans="1:16">
      <c r="A1213">
        <v>20251001</v>
      </c>
      <c r="B1213">
        <v>3</v>
      </c>
      <c r="C1213">
        <v>3</v>
      </c>
      <c r="D1213">
        <v>2</v>
      </c>
      <c r="E1213">
        <v>14</v>
      </c>
      <c r="F1213" t="s">
        <v>92</v>
      </c>
      <c r="G1213">
        <v>-18599.830000000002</v>
      </c>
      <c r="H1213">
        <f>_xlfn.XLOOKUP(tblFinancials[[#This Row],[DateKey]],tblCalendar[DateKey],tblCalendar[FullDate],"")</f>
        <v>45931</v>
      </c>
      <c r="I1213">
        <f>_xlfn.XLOOKUP(tblFinancials[[#This Row],[AccountKey]],tblAccounts[AccountKey],tblAccounts[AccountNumber],"")</f>
        <v>5000</v>
      </c>
      <c r="J1213" t="str">
        <f>_xlfn.XLOOKUP(tblFinancials[[#This Row],[AccountKey]],tblAccounts[AccountKey],tblAccounts[AccountName],"")</f>
        <v>Cost of Goods Sold</v>
      </c>
      <c r="K1213" s="8" t="str">
        <f>_xlfn.XLOOKUP(tblFinancials[[#This Row],[AccountKey]],tblAccounts[AccountKey],tblAccounts[FinancialStatement],"")</f>
        <v>Income Statement</v>
      </c>
      <c r="L1213" s="8" t="str">
        <f>_xlfn.XLOOKUP(tblFinancials[[#This Row],[AccountKey]],tblAccounts[AccountKey],tblAccounts[AccountCategory],"")</f>
        <v>Cost of Sales</v>
      </c>
      <c r="M1213" s="8" t="str">
        <f>_xlfn.XLOOKUP(tblFinancials[[#This Row],[AccountKey]],tblAccounts[AccountKey],tblAccounts[NormalBalance],"")</f>
        <v>Debit</v>
      </c>
      <c r="N1213" s="8" t="str">
        <f>_xlfn.XLOOKUP(tblFinancials[[#This Row],[DepartmentKey]],tblDepartments[DepartmentKey],tblDepartments[DepartmentName],"")</f>
        <v>Human Resources</v>
      </c>
      <c r="O1213" s="8" t="str">
        <f>_xlfn.XLOOKUP(tblFinancials[[#This Row],[BusinessUnitKey]],tblBusinessUnits[BusinessUnitKey],tblBusinessUnits[BusinessUnitName],"")</f>
        <v>Retail</v>
      </c>
      <c r="P1213" s="8" t="str">
        <f>_xlfn.XLOOKUP(tblFinancials[[#This Row],[RegionKey]],tblRegions[RegionKey],tblRegions[RegionName],"")</f>
        <v>Midwest</v>
      </c>
    </row>
    <row r="1214" spans="1:16">
      <c r="A1214">
        <v>20251001</v>
      </c>
      <c r="B1214">
        <v>5</v>
      </c>
      <c r="C1214">
        <v>3</v>
      </c>
      <c r="D1214">
        <v>2</v>
      </c>
      <c r="E1214">
        <v>25</v>
      </c>
      <c r="F1214" t="s">
        <v>92</v>
      </c>
      <c r="G1214">
        <v>-8414.6299999999992</v>
      </c>
      <c r="H1214">
        <f>_xlfn.XLOOKUP(tblFinancials[[#This Row],[DateKey]],tblCalendar[DateKey],tblCalendar[FullDate],"")</f>
        <v>45931</v>
      </c>
      <c r="I1214">
        <f>_xlfn.XLOOKUP(tblFinancials[[#This Row],[AccountKey]],tblAccounts[AccountKey],tblAccounts[AccountNumber],"")</f>
        <v>8200</v>
      </c>
      <c r="J1214" t="str">
        <f>_xlfn.XLOOKUP(tblFinancials[[#This Row],[AccountKey]],tblAccounts[AccountKey],tblAccounts[AccountName],"")</f>
        <v>Income Tax Expense</v>
      </c>
      <c r="K1214" s="8" t="str">
        <f>_xlfn.XLOOKUP(tblFinancials[[#This Row],[AccountKey]],tblAccounts[AccountKey],tblAccounts[FinancialStatement],"")</f>
        <v>Income Statement</v>
      </c>
      <c r="L1214" s="8" t="str">
        <f>_xlfn.XLOOKUP(tblFinancials[[#This Row],[AccountKey]],tblAccounts[AccountKey],tblAccounts[AccountCategory],"")</f>
        <v>Tax Expense</v>
      </c>
      <c r="M1214" s="8" t="str">
        <f>_xlfn.XLOOKUP(tblFinancials[[#This Row],[AccountKey]],tblAccounts[AccountKey],tblAccounts[NormalBalance],"")</f>
        <v>Debit</v>
      </c>
      <c r="N1214" s="8" t="str">
        <f>_xlfn.XLOOKUP(tblFinancials[[#This Row],[DepartmentKey]],tblDepartments[DepartmentKey],tblDepartments[DepartmentName],"")</f>
        <v>Marketing</v>
      </c>
      <c r="O1214" s="8" t="str">
        <f>_xlfn.XLOOKUP(tblFinancials[[#This Row],[BusinessUnitKey]],tblBusinessUnits[BusinessUnitKey],tblBusinessUnits[BusinessUnitName],"")</f>
        <v>Retail</v>
      </c>
      <c r="P1214" s="8" t="str">
        <f>_xlfn.XLOOKUP(tblFinancials[[#This Row],[RegionKey]],tblRegions[RegionKey],tblRegions[RegionName],"")</f>
        <v>Midwest</v>
      </c>
    </row>
    <row r="1215" spans="1:16">
      <c r="A1215">
        <v>20251001</v>
      </c>
      <c r="B1215">
        <v>5</v>
      </c>
      <c r="C1215">
        <v>3</v>
      </c>
      <c r="D1215">
        <v>2</v>
      </c>
      <c r="E1215">
        <v>25</v>
      </c>
      <c r="F1215" t="s">
        <v>92</v>
      </c>
      <c r="G1215">
        <v>-8637.02</v>
      </c>
      <c r="H1215">
        <f>_xlfn.XLOOKUP(tblFinancials[[#This Row],[DateKey]],tblCalendar[DateKey],tblCalendar[FullDate],"")</f>
        <v>45931</v>
      </c>
      <c r="I1215">
        <f>_xlfn.XLOOKUP(tblFinancials[[#This Row],[AccountKey]],tblAccounts[AccountKey],tblAccounts[AccountNumber],"")</f>
        <v>8200</v>
      </c>
      <c r="J1215" t="str">
        <f>_xlfn.XLOOKUP(tblFinancials[[#This Row],[AccountKey]],tblAccounts[AccountKey],tblAccounts[AccountName],"")</f>
        <v>Income Tax Expense</v>
      </c>
      <c r="K1215" s="8" t="str">
        <f>_xlfn.XLOOKUP(tblFinancials[[#This Row],[AccountKey]],tblAccounts[AccountKey],tblAccounts[FinancialStatement],"")</f>
        <v>Income Statement</v>
      </c>
      <c r="L1215" s="8" t="str">
        <f>_xlfn.XLOOKUP(tblFinancials[[#This Row],[AccountKey]],tblAccounts[AccountKey],tblAccounts[AccountCategory],"")</f>
        <v>Tax Expense</v>
      </c>
      <c r="M1215" s="8" t="str">
        <f>_xlfn.XLOOKUP(tblFinancials[[#This Row],[AccountKey]],tblAccounts[AccountKey],tblAccounts[NormalBalance],"")</f>
        <v>Debit</v>
      </c>
      <c r="N1215" s="8" t="str">
        <f>_xlfn.XLOOKUP(tblFinancials[[#This Row],[DepartmentKey]],tblDepartments[DepartmentKey],tblDepartments[DepartmentName],"")</f>
        <v>Marketing</v>
      </c>
      <c r="O1215" s="8" t="str">
        <f>_xlfn.XLOOKUP(tblFinancials[[#This Row],[BusinessUnitKey]],tblBusinessUnits[BusinessUnitKey],tblBusinessUnits[BusinessUnitName],"")</f>
        <v>Retail</v>
      </c>
      <c r="P1215" s="8" t="str">
        <f>_xlfn.XLOOKUP(tblFinancials[[#This Row],[RegionKey]],tblRegions[RegionKey],tblRegions[RegionName],"")</f>
        <v>Midwest</v>
      </c>
    </row>
    <row r="1216" spans="1:16">
      <c r="A1216">
        <v>20251001</v>
      </c>
      <c r="B1216">
        <v>8</v>
      </c>
      <c r="C1216">
        <v>3</v>
      </c>
      <c r="D1216">
        <v>1</v>
      </c>
      <c r="E1216">
        <v>15</v>
      </c>
      <c r="F1216" t="s">
        <v>92</v>
      </c>
      <c r="G1216">
        <v>-8703.16</v>
      </c>
      <c r="H1216">
        <f>_xlfn.XLOOKUP(tblFinancials[[#This Row],[DateKey]],tblCalendar[DateKey],tblCalendar[FullDate],"")</f>
        <v>45931</v>
      </c>
      <c r="I1216">
        <f>_xlfn.XLOOKUP(tblFinancials[[#This Row],[AccountKey]],tblAccounts[AccountKey],tblAccounts[AccountNumber],"")</f>
        <v>6100</v>
      </c>
      <c r="J1216" t="str">
        <f>_xlfn.XLOOKUP(tblFinancials[[#This Row],[AccountKey]],tblAccounts[AccountKey],tblAccounts[AccountName],"")</f>
        <v>Salaries Expense</v>
      </c>
      <c r="K1216" s="8" t="str">
        <f>_xlfn.XLOOKUP(tblFinancials[[#This Row],[AccountKey]],tblAccounts[AccountKey],tblAccounts[FinancialStatement],"")</f>
        <v>Income Statement</v>
      </c>
      <c r="L1216" s="8" t="str">
        <f>_xlfn.XLOOKUP(tblFinancials[[#This Row],[AccountKey]],tblAccounts[AccountKey],tblAccounts[AccountCategory],"")</f>
        <v>Operating Expense</v>
      </c>
      <c r="M1216" s="8" t="str">
        <f>_xlfn.XLOOKUP(tblFinancials[[#This Row],[AccountKey]],tblAccounts[AccountKey],tblAccounts[NormalBalance],"")</f>
        <v>Debit</v>
      </c>
      <c r="N1216" s="8" t="str">
        <f>_xlfn.XLOOKUP(tblFinancials[[#This Row],[DepartmentKey]],tblDepartments[DepartmentKey],tblDepartments[DepartmentName],"")</f>
        <v>Customer Service</v>
      </c>
      <c r="O1216" s="8" t="str">
        <f>_xlfn.XLOOKUP(tblFinancials[[#This Row],[BusinessUnitKey]],tblBusinessUnits[BusinessUnitKey],tblBusinessUnits[BusinessUnitName],"")</f>
        <v>Retail</v>
      </c>
      <c r="P1216" s="8" t="str">
        <f>_xlfn.XLOOKUP(tblFinancials[[#This Row],[RegionKey]],tblRegions[RegionKey],tblRegions[RegionName],"")</f>
        <v>West</v>
      </c>
    </row>
    <row r="1217" spans="1:16">
      <c r="A1217">
        <v>20251001</v>
      </c>
      <c r="B1217">
        <v>1</v>
      </c>
      <c r="C1217">
        <v>1</v>
      </c>
      <c r="D1217">
        <v>2</v>
      </c>
      <c r="E1217">
        <v>16</v>
      </c>
      <c r="F1217" t="s">
        <v>92</v>
      </c>
      <c r="G1217">
        <v>-7336.83</v>
      </c>
      <c r="H1217">
        <f>_xlfn.XLOOKUP(tblFinancials[[#This Row],[DateKey]],tblCalendar[DateKey],tblCalendar[FullDate],"")</f>
        <v>45931</v>
      </c>
      <c r="I1217">
        <f>_xlfn.XLOOKUP(tblFinancials[[#This Row],[AccountKey]],tblAccounts[AccountKey],tblAccounts[AccountNumber],"")</f>
        <v>6110</v>
      </c>
      <c r="J1217" t="str">
        <f>_xlfn.XLOOKUP(tblFinancials[[#This Row],[AccountKey]],tblAccounts[AccountKey],tblAccounts[AccountName],"")</f>
        <v>Payroll Taxes</v>
      </c>
      <c r="K1217" s="8" t="str">
        <f>_xlfn.XLOOKUP(tblFinancials[[#This Row],[AccountKey]],tblAccounts[AccountKey],tblAccounts[FinancialStatement],"")</f>
        <v>Income Statement</v>
      </c>
      <c r="L1217" s="8" t="str">
        <f>_xlfn.XLOOKUP(tblFinancials[[#This Row],[AccountKey]],tblAccounts[AccountKey],tblAccounts[AccountCategory],"")</f>
        <v>Operating Expense</v>
      </c>
      <c r="M1217" s="8" t="str">
        <f>_xlfn.XLOOKUP(tblFinancials[[#This Row],[AccountKey]],tblAccounts[AccountKey],tblAccounts[NormalBalance],"")</f>
        <v>Debit</v>
      </c>
      <c r="N1217" s="8" t="str">
        <f>_xlfn.XLOOKUP(tblFinancials[[#This Row],[DepartmentKey]],tblDepartments[DepartmentKey],tblDepartments[DepartmentName],"")</f>
        <v>Executive</v>
      </c>
      <c r="O1217" s="8" t="str">
        <f>_xlfn.XLOOKUP(tblFinancials[[#This Row],[BusinessUnitKey]],tblBusinessUnits[BusinessUnitKey],tblBusinessUnits[BusinessUnitName],"")</f>
        <v xml:space="preserve">Manufacturing </v>
      </c>
      <c r="P1217" s="8" t="str">
        <f>_xlfn.XLOOKUP(tblFinancials[[#This Row],[RegionKey]],tblRegions[RegionKey],tblRegions[RegionName],"")</f>
        <v>Midwest</v>
      </c>
    </row>
    <row r="1218" spans="1:16">
      <c r="A1218">
        <v>20251001</v>
      </c>
      <c r="B1218">
        <v>5</v>
      </c>
      <c r="C1218">
        <v>1</v>
      </c>
      <c r="D1218">
        <v>1</v>
      </c>
      <c r="E1218">
        <v>17</v>
      </c>
      <c r="F1218" t="s">
        <v>92</v>
      </c>
      <c r="G1218">
        <v>-8026.73</v>
      </c>
      <c r="H1218">
        <f>_xlfn.XLOOKUP(tblFinancials[[#This Row],[DateKey]],tblCalendar[DateKey],tblCalendar[FullDate],"")</f>
        <v>45931</v>
      </c>
      <c r="I1218">
        <f>_xlfn.XLOOKUP(tblFinancials[[#This Row],[AccountKey]],tblAccounts[AccountKey],tblAccounts[AccountNumber],"")</f>
        <v>6120</v>
      </c>
      <c r="J1218" t="str">
        <f>_xlfn.XLOOKUP(tblFinancials[[#This Row],[AccountKey]],tblAccounts[AccountKey],tblAccounts[AccountName],"")</f>
        <v>Employee Benefits</v>
      </c>
      <c r="K1218" s="8" t="str">
        <f>_xlfn.XLOOKUP(tblFinancials[[#This Row],[AccountKey]],tblAccounts[AccountKey],tblAccounts[FinancialStatement],"")</f>
        <v>Income Statement</v>
      </c>
      <c r="L1218" s="8" t="str">
        <f>_xlfn.XLOOKUP(tblFinancials[[#This Row],[AccountKey]],tblAccounts[AccountKey],tblAccounts[AccountCategory],"")</f>
        <v>Operating Expense</v>
      </c>
      <c r="M1218" s="8" t="str">
        <f>_xlfn.XLOOKUP(tblFinancials[[#This Row],[AccountKey]],tblAccounts[AccountKey],tblAccounts[NormalBalance],"")</f>
        <v>Debit</v>
      </c>
      <c r="N1218" s="8" t="str">
        <f>_xlfn.XLOOKUP(tblFinancials[[#This Row],[DepartmentKey]],tblDepartments[DepartmentKey],tblDepartments[DepartmentName],"")</f>
        <v>Marketing</v>
      </c>
      <c r="O1218" s="8" t="str">
        <f>_xlfn.XLOOKUP(tblFinancials[[#This Row],[BusinessUnitKey]],tblBusinessUnits[BusinessUnitKey],tblBusinessUnits[BusinessUnitName],"")</f>
        <v xml:space="preserve">Manufacturing </v>
      </c>
      <c r="P1218" s="8" t="str">
        <f>_xlfn.XLOOKUP(tblFinancials[[#This Row],[RegionKey]],tblRegions[RegionKey],tblRegions[RegionName],"")</f>
        <v>West</v>
      </c>
    </row>
    <row r="1219" spans="1:16">
      <c r="A1219">
        <v>20251001</v>
      </c>
      <c r="B1219">
        <v>4</v>
      </c>
      <c r="C1219">
        <v>3</v>
      </c>
      <c r="D1219">
        <v>3</v>
      </c>
      <c r="E1219">
        <v>15</v>
      </c>
      <c r="F1219" t="s">
        <v>92</v>
      </c>
      <c r="G1219">
        <v>-8705.48</v>
      </c>
      <c r="H1219">
        <f>_xlfn.XLOOKUP(tblFinancials[[#This Row],[DateKey]],tblCalendar[DateKey],tblCalendar[FullDate],"")</f>
        <v>45931</v>
      </c>
      <c r="I1219">
        <f>_xlfn.XLOOKUP(tblFinancials[[#This Row],[AccountKey]],tblAccounts[AccountKey],tblAccounts[AccountNumber],"")</f>
        <v>6100</v>
      </c>
      <c r="J1219" t="str">
        <f>_xlfn.XLOOKUP(tblFinancials[[#This Row],[AccountKey]],tblAccounts[AccountKey],tblAccounts[AccountName],"")</f>
        <v>Salaries Expense</v>
      </c>
      <c r="K1219" s="8" t="str">
        <f>_xlfn.XLOOKUP(tblFinancials[[#This Row],[AccountKey]],tblAccounts[AccountKey],tblAccounts[FinancialStatement],"")</f>
        <v>Income Statement</v>
      </c>
      <c r="L1219" s="8" t="str">
        <f>_xlfn.XLOOKUP(tblFinancials[[#This Row],[AccountKey]],tblAccounts[AccountKey],tblAccounts[AccountCategory],"")</f>
        <v>Operating Expense</v>
      </c>
      <c r="M1219" s="8" t="str">
        <f>_xlfn.XLOOKUP(tblFinancials[[#This Row],[AccountKey]],tblAccounts[AccountKey],tblAccounts[NormalBalance],"")</f>
        <v>Debit</v>
      </c>
      <c r="N1219" s="8" t="str">
        <f>_xlfn.XLOOKUP(tblFinancials[[#This Row],[DepartmentKey]],tblDepartments[DepartmentKey],tblDepartments[DepartmentName],"")</f>
        <v>Sales</v>
      </c>
      <c r="O1219" s="8" t="str">
        <f>_xlfn.XLOOKUP(tblFinancials[[#This Row],[BusinessUnitKey]],tblBusinessUnits[BusinessUnitKey],tblBusinessUnits[BusinessUnitName],"")</f>
        <v>Retail</v>
      </c>
      <c r="P1219" s="8" t="str">
        <f>_xlfn.XLOOKUP(tblFinancials[[#This Row],[RegionKey]],tblRegions[RegionKey],tblRegions[RegionName],"")</f>
        <v>South</v>
      </c>
    </row>
    <row r="1220" spans="1:16">
      <c r="A1220">
        <v>20251001</v>
      </c>
      <c r="B1220">
        <v>2</v>
      </c>
      <c r="C1220">
        <v>4</v>
      </c>
      <c r="D1220">
        <v>1</v>
      </c>
      <c r="E1220">
        <v>21</v>
      </c>
      <c r="F1220" t="s">
        <v>92</v>
      </c>
      <c r="G1220">
        <v>-8479.5499999999993</v>
      </c>
      <c r="H1220">
        <f>_xlfn.XLOOKUP(tblFinancials[[#This Row],[DateKey]],tblCalendar[DateKey],tblCalendar[FullDate],"")</f>
        <v>45931</v>
      </c>
      <c r="I1220">
        <f>_xlfn.XLOOKUP(tblFinancials[[#This Row],[AccountKey]],tblAccounts[AccountKey],tblAccounts[AccountNumber],"")</f>
        <v>6600</v>
      </c>
      <c r="J1220" t="str">
        <f>_xlfn.XLOOKUP(tblFinancials[[#This Row],[AccountKey]],tblAccounts[AccountKey],tblAccounts[AccountName],"")</f>
        <v>Utilities Expense</v>
      </c>
      <c r="K1220" s="8" t="str">
        <f>_xlfn.XLOOKUP(tblFinancials[[#This Row],[AccountKey]],tblAccounts[AccountKey],tblAccounts[FinancialStatement],"")</f>
        <v>Income Statement</v>
      </c>
      <c r="L1220" s="8" t="str">
        <f>_xlfn.XLOOKUP(tblFinancials[[#This Row],[AccountKey]],tblAccounts[AccountKey],tblAccounts[AccountCategory],"")</f>
        <v>Operating Expense</v>
      </c>
      <c r="M1220" s="8" t="str">
        <f>_xlfn.XLOOKUP(tblFinancials[[#This Row],[AccountKey]],tblAccounts[AccountKey],tblAccounts[NormalBalance],"")</f>
        <v>Debit</v>
      </c>
      <c r="N1220" s="8" t="str">
        <f>_xlfn.XLOOKUP(tblFinancials[[#This Row],[DepartmentKey]],tblDepartments[DepartmentKey],tblDepartments[DepartmentName],"")</f>
        <v>Finance</v>
      </c>
      <c r="O1220" s="8" t="str">
        <f>_xlfn.XLOOKUP(tblFinancials[[#This Row],[BusinessUnitKey]],tblBusinessUnits[BusinessUnitKey],tblBusinessUnits[BusinessUnitName],"")</f>
        <v>E-Commerce</v>
      </c>
      <c r="P1220" s="8" t="str">
        <f>_xlfn.XLOOKUP(tblFinancials[[#This Row],[RegionKey]],tblRegions[RegionKey],tblRegions[RegionName],"")</f>
        <v>West</v>
      </c>
    </row>
    <row r="1221" spans="1:16">
      <c r="A1221">
        <v>20251001</v>
      </c>
      <c r="B1221">
        <v>1</v>
      </c>
      <c r="C1221">
        <v>4</v>
      </c>
      <c r="D1221">
        <v>3</v>
      </c>
      <c r="E1221">
        <v>18</v>
      </c>
      <c r="F1221" t="s">
        <v>92</v>
      </c>
      <c r="G1221">
        <v>-7628.55</v>
      </c>
      <c r="H1221">
        <f>_xlfn.XLOOKUP(tblFinancials[[#This Row],[DateKey]],tblCalendar[DateKey],tblCalendar[FullDate],"")</f>
        <v>45931</v>
      </c>
      <c r="I1221">
        <f>_xlfn.XLOOKUP(tblFinancials[[#This Row],[AccountKey]],tblAccounts[AccountKey],tblAccounts[AccountNumber],"")</f>
        <v>6200</v>
      </c>
      <c r="J1221" t="str">
        <f>_xlfn.XLOOKUP(tblFinancials[[#This Row],[AccountKey]],tblAccounts[AccountKey],tblAccounts[AccountName],"")</f>
        <v>Marketing Expense</v>
      </c>
      <c r="K1221" s="8" t="str">
        <f>_xlfn.XLOOKUP(tblFinancials[[#This Row],[AccountKey]],tblAccounts[AccountKey],tblAccounts[FinancialStatement],"")</f>
        <v>Income Statement</v>
      </c>
      <c r="L1221" s="8" t="str">
        <f>_xlfn.XLOOKUP(tblFinancials[[#This Row],[AccountKey]],tblAccounts[AccountKey],tblAccounts[AccountCategory],"")</f>
        <v>Operating Expense</v>
      </c>
      <c r="M1221" s="8" t="str">
        <f>_xlfn.XLOOKUP(tblFinancials[[#This Row],[AccountKey]],tblAccounts[AccountKey],tblAccounts[NormalBalance],"")</f>
        <v>Debit</v>
      </c>
      <c r="N1221" s="8" t="str">
        <f>_xlfn.XLOOKUP(tblFinancials[[#This Row],[DepartmentKey]],tblDepartments[DepartmentKey],tblDepartments[DepartmentName],"")</f>
        <v>Executive</v>
      </c>
      <c r="O1221" s="8" t="str">
        <f>_xlfn.XLOOKUP(tblFinancials[[#This Row],[BusinessUnitKey]],tblBusinessUnits[BusinessUnitKey],tblBusinessUnits[BusinessUnitName],"")</f>
        <v>E-Commerce</v>
      </c>
      <c r="P1221" s="8" t="str">
        <f>_xlfn.XLOOKUP(tblFinancials[[#This Row],[RegionKey]],tblRegions[RegionKey],tblRegions[RegionName],"")</f>
        <v>South</v>
      </c>
    </row>
    <row r="1222" spans="1:16">
      <c r="A1222">
        <v>20251001</v>
      </c>
      <c r="B1222">
        <v>5</v>
      </c>
      <c r="C1222">
        <v>1</v>
      </c>
      <c r="D1222">
        <v>3</v>
      </c>
      <c r="E1222">
        <v>25</v>
      </c>
      <c r="F1222" t="s">
        <v>92</v>
      </c>
      <c r="G1222">
        <v>-8167.3</v>
      </c>
      <c r="H1222">
        <f>_xlfn.XLOOKUP(tblFinancials[[#This Row],[DateKey]],tblCalendar[DateKey],tblCalendar[FullDate],"")</f>
        <v>45931</v>
      </c>
      <c r="I1222">
        <f>_xlfn.XLOOKUP(tblFinancials[[#This Row],[AccountKey]],tblAccounts[AccountKey],tblAccounts[AccountNumber],"")</f>
        <v>8200</v>
      </c>
      <c r="J1222" t="str">
        <f>_xlfn.XLOOKUP(tblFinancials[[#This Row],[AccountKey]],tblAccounts[AccountKey],tblAccounts[AccountName],"")</f>
        <v>Income Tax Expense</v>
      </c>
      <c r="K1222" s="8" t="str">
        <f>_xlfn.XLOOKUP(tblFinancials[[#This Row],[AccountKey]],tblAccounts[AccountKey],tblAccounts[FinancialStatement],"")</f>
        <v>Income Statement</v>
      </c>
      <c r="L1222" s="8" t="str">
        <f>_xlfn.XLOOKUP(tblFinancials[[#This Row],[AccountKey]],tblAccounts[AccountKey],tblAccounts[AccountCategory],"")</f>
        <v>Tax Expense</v>
      </c>
      <c r="M1222" s="8" t="str">
        <f>_xlfn.XLOOKUP(tblFinancials[[#This Row],[AccountKey]],tblAccounts[AccountKey],tblAccounts[NormalBalance],"")</f>
        <v>Debit</v>
      </c>
      <c r="N1222" s="8" t="str">
        <f>_xlfn.XLOOKUP(tblFinancials[[#This Row],[DepartmentKey]],tblDepartments[DepartmentKey],tblDepartments[DepartmentName],"")</f>
        <v>Marketing</v>
      </c>
      <c r="O1222" s="8" t="str">
        <f>_xlfn.XLOOKUP(tblFinancials[[#This Row],[BusinessUnitKey]],tblBusinessUnits[BusinessUnitKey],tblBusinessUnits[BusinessUnitName],"")</f>
        <v xml:space="preserve">Manufacturing </v>
      </c>
      <c r="P1222" s="8" t="str">
        <f>_xlfn.XLOOKUP(tblFinancials[[#This Row],[RegionKey]],tblRegions[RegionKey],tblRegions[RegionName],"")</f>
        <v>South</v>
      </c>
    </row>
    <row r="1223" spans="1:16">
      <c r="A1223">
        <v>20251001</v>
      </c>
      <c r="B1223">
        <v>2</v>
      </c>
      <c r="C1223">
        <v>3</v>
      </c>
      <c r="D1223">
        <v>4</v>
      </c>
      <c r="E1223">
        <v>22</v>
      </c>
      <c r="F1223" t="s">
        <v>92</v>
      </c>
      <c r="G1223">
        <v>-7342.37</v>
      </c>
      <c r="H1223">
        <f>_xlfn.XLOOKUP(tblFinancials[[#This Row],[DateKey]],tblCalendar[DateKey],tblCalendar[FullDate],"")</f>
        <v>45931</v>
      </c>
      <c r="I1223">
        <f>_xlfn.XLOOKUP(tblFinancials[[#This Row],[AccountKey]],tblAccounts[AccountKey],tblAccounts[AccountNumber],"")</f>
        <v>6700</v>
      </c>
      <c r="J1223" t="str">
        <f>_xlfn.XLOOKUP(tblFinancials[[#This Row],[AccountKey]],tblAccounts[AccountKey],tblAccounts[AccountName],"")</f>
        <v>Insurance Expense</v>
      </c>
      <c r="K1223" s="8" t="str">
        <f>_xlfn.XLOOKUP(tblFinancials[[#This Row],[AccountKey]],tblAccounts[AccountKey],tblAccounts[FinancialStatement],"")</f>
        <v>Income Statement</v>
      </c>
      <c r="L1223" s="8" t="str">
        <f>_xlfn.XLOOKUP(tblFinancials[[#This Row],[AccountKey]],tblAccounts[AccountKey],tblAccounts[AccountCategory],"")</f>
        <v>Operating Expense</v>
      </c>
      <c r="M1223" s="8" t="str">
        <f>_xlfn.XLOOKUP(tblFinancials[[#This Row],[AccountKey]],tblAccounts[AccountKey],tblAccounts[NormalBalance],"")</f>
        <v>Debit</v>
      </c>
      <c r="N1223" s="8" t="str">
        <f>_xlfn.XLOOKUP(tblFinancials[[#This Row],[DepartmentKey]],tblDepartments[DepartmentKey],tblDepartments[DepartmentName],"")</f>
        <v>Finance</v>
      </c>
      <c r="O1223" s="8" t="str">
        <f>_xlfn.XLOOKUP(tblFinancials[[#This Row],[BusinessUnitKey]],tblBusinessUnits[BusinessUnitKey],tblBusinessUnits[BusinessUnitName],"")</f>
        <v>Retail</v>
      </c>
      <c r="P1223" s="8" t="str">
        <f>_xlfn.XLOOKUP(tblFinancials[[#This Row],[RegionKey]],tblRegions[RegionKey],tblRegions[RegionName],"")</f>
        <v>East</v>
      </c>
    </row>
    <row r="1224" spans="1:16">
      <c r="A1224">
        <v>20251001</v>
      </c>
      <c r="B1224">
        <v>1</v>
      </c>
      <c r="C1224">
        <v>2</v>
      </c>
      <c r="D1224">
        <v>2</v>
      </c>
      <c r="E1224">
        <v>23</v>
      </c>
      <c r="F1224" t="s">
        <v>92</v>
      </c>
      <c r="G1224">
        <v>-6918.47</v>
      </c>
      <c r="H1224">
        <f>_xlfn.XLOOKUP(tblFinancials[[#This Row],[DateKey]],tblCalendar[DateKey],tblCalendar[FullDate],"")</f>
        <v>45931</v>
      </c>
      <c r="I1224">
        <f>_xlfn.XLOOKUP(tblFinancials[[#This Row],[AccountKey]],tblAccounts[AccountKey],tblAccounts[AccountNumber],"")</f>
        <v>6800</v>
      </c>
      <c r="J1224" t="str">
        <f>_xlfn.XLOOKUP(tblFinancials[[#This Row],[AccountKey]],tblAccounts[AccountKey],tblAccounts[AccountName],"")</f>
        <v>Travel Expense</v>
      </c>
      <c r="K1224" s="8" t="str">
        <f>_xlfn.XLOOKUP(tblFinancials[[#This Row],[AccountKey]],tblAccounts[AccountKey],tblAccounts[FinancialStatement],"")</f>
        <v>Income Statement</v>
      </c>
      <c r="L1224" s="8" t="str">
        <f>_xlfn.XLOOKUP(tblFinancials[[#This Row],[AccountKey]],tblAccounts[AccountKey],tblAccounts[AccountCategory],"")</f>
        <v>Operating Expense</v>
      </c>
      <c r="M1224" s="8" t="str">
        <f>_xlfn.XLOOKUP(tblFinancials[[#This Row],[AccountKey]],tblAccounts[AccountKey],tblAccounts[NormalBalance],"")</f>
        <v>Debit</v>
      </c>
      <c r="N1224" s="8" t="str">
        <f>_xlfn.XLOOKUP(tblFinancials[[#This Row],[DepartmentKey]],tblDepartments[DepartmentKey],tblDepartments[DepartmentName],"")</f>
        <v>Executive</v>
      </c>
      <c r="O1224" s="8" t="str">
        <f>_xlfn.XLOOKUP(tblFinancials[[#This Row],[BusinessUnitKey]],tblBusinessUnits[BusinessUnitKey],tblBusinessUnits[BusinessUnitName],"")</f>
        <v>Wholesale</v>
      </c>
      <c r="P1224" s="8" t="str">
        <f>_xlfn.XLOOKUP(tblFinancials[[#This Row],[RegionKey]],tblRegions[RegionKey],tblRegions[RegionName],"")</f>
        <v>Midwest</v>
      </c>
    </row>
    <row r="1225" spans="1:16">
      <c r="A1225">
        <v>20251001</v>
      </c>
      <c r="B1225">
        <v>6</v>
      </c>
      <c r="C1225">
        <v>2</v>
      </c>
      <c r="D1225">
        <v>2</v>
      </c>
      <c r="E1225">
        <v>16</v>
      </c>
      <c r="F1225" t="s">
        <v>92</v>
      </c>
      <c r="G1225">
        <v>-5103.49</v>
      </c>
      <c r="H1225">
        <f>_xlfn.XLOOKUP(tblFinancials[[#This Row],[DateKey]],tblCalendar[DateKey],tblCalendar[FullDate],"")</f>
        <v>45931</v>
      </c>
      <c r="I1225">
        <f>_xlfn.XLOOKUP(tblFinancials[[#This Row],[AccountKey]],tblAccounts[AccountKey],tblAccounts[AccountNumber],"")</f>
        <v>6110</v>
      </c>
      <c r="J1225" t="str">
        <f>_xlfn.XLOOKUP(tblFinancials[[#This Row],[AccountKey]],tblAccounts[AccountKey],tblAccounts[AccountName],"")</f>
        <v>Payroll Taxes</v>
      </c>
      <c r="K1225" s="8" t="str">
        <f>_xlfn.XLOOKUP(tblFinancials[[#This Row],[AccountKey]],tblAccounts[AccountKey],tblAccounts[FinancialStatement],"")</f>
        <v>Income Statement</v>
      </c>
      <c r="L1225" s="8" t="str">
        <f>_xlfn.XLOOKUP(tblFinancials[[#This Row],[AccountKey]],tblAccounts[AccountKey],tblAccounts[AccountCategory],"")</f>
        <v>Operating Expense</v>
      </c>
      <c r="M1225" s="8" t="str">
        <f>_xlfn.XLOOKUP(tblFinancials[[#This Row],[AccountKey]],tblAccounts[AccountKey],tblAccounts[NormalBalance],"")</f>
        <v>Debit</v>
      </c>
      <c r="N1225" s="8" t="str">
        <f>_xlfn.XLOOKUP(tblFinancials[[#This Row],[DepartmentKey]],tblDepartments[DepartmentKey],tblDepartments[DepartmentName],"")</f>
        <v>Operations</v>
      </c>
      <c r="O1225" s="8" t="str">
        <f>_xlfn.XLOOKUP(tblFinancials[[#This Row],[BusinessUnitKey]],tblBusinessUnits[BusinessUnitKey],tblBusinessUnits[BusinessUnitName],"")</f>
        <v>Wholesale</v>
      </c>
      <c r="P1225" s="8" t="str">
        <f>_xlfn.XLOOKUP(tblFinancials[[#This Row],[RegionKey]],tblRegions[RegionKey],tblRegions[RegionName],"")</f>
        <v>Midwest</v>
      </c>
    </row>
    <row r="1226" spans="1:16">
      <c r="A1226">
        <v>20251101</v>
      </c>
      <c r="B1226">
        <v>4</v>
      </c>
      <c r="C1226">
        <v>3</v>
      </c>
      <c r="D1226">
        <v>3</v>
      </c>
      <c r="E1226">
        <v>11</v>
      </c>
      <c r="F1226" t="s">
        <v>92</v>
      </c>
      <c r="G1226">
        <v>36912.1</v>
      </c>
      <c r="H1226">
        <f>_xlfn.XLOOKUP(tblFinancials[[#This Row],[DateKey]],tblCalendar[DateKey],tblCalendar[FullDate],"")</f>
        <v>45962</v>
      </c>
      <c r="I1226">
        <f>_xlfn.XLOOKUP(tblFinancials[[#This Row],[AccountKey]],tblAccounts[AccountKey],tblAccounts[AccountNumber],"")</f>
        <v>4000</v>
      </c>
      <c r="J1226" t="str">
        <f>_xlfn.XLOOKUP(tblFinancials[[#This Row],[AccountKey]],tblAccounts[AccountKey],tblAccounts[AccountName],"")</f>
        <v>Product Revenue</v>
      </c>
      <c r="K1226" s="8" t="str">
        <f>_xlfn.XLOOKUP(tblFinancials[[#This Row],[AccountKey]],tblAccounts[AccountKey],tblAccounts[FinancialStatement],"")</f>
        <v>Income Statement</v>
      </c>
      <c r="L1226" s="8" t="str">
        <f>_xlfn.XLOOKUP(tblFinancials[[#This Row],[AccountKey]],tblAccounts[AccountKey],tblAccounts[AccountCategory],"")</f>
        <v>Revenue</v>
      </c>
      <c r="M1226" s="8" t="str">
        <f>_xlfn.XLOOKUP(tblFinancials[[#This Row],[AccountKey]],tblAccounts[AccountKey],tblAccounts[NormalBalance],"")</f>
        <v>Credit</v>
      </c>
      <c r="N1226" s="8" t="str">
        <f>_xlfn.XLOOKUP(tblFinancials[[#This Row],[DepartmentKey]],tblDepartments[DepartmentKey],tblDepartments[DepartmentName],"")</f>
        <v>Sales</v>
      </c>
      <c r="O1226" s="8" t="str">
        <f>_xlfn.XLOOKUP(tblFinancials[[#This Row],[BusinessUnitKey]],tblBusinessUnits[BusinessUnitKey],tblBusinessUnits[BusinessUnitName],"")</f>
        <v>Retail</v>
      </c>
      <c r="P1226" s="8" t="str">
        <f>_xlfn.XLOOKUP(tblFinancials[[#This Row],[RegionKey]],tblRegions[RegionKey],tblRegions[RegionName],"")</f>
        <v>South</v>
      </c>
    </row>
    <row r="1227" spans="1:16">
      <c r="A1227">
        <v>20251101</v>
      </c>
      <c r="B1227">
        <v>2</v>
      </c>
      <c r="C1227">
        <v>3</v>
      </c>
      <c r="D1227">
        <v>1</v>
      </c>
      <c r="E1227">
        <v>11</v>
      </c>
      <c r="F1227" t="s">
        <v>92</v>
      </c>
      <c r="G1227">
        <v>35891.230000000003</v>
      </c>
      <c r="H1227">
        <f>_xlfn.XLOOKUP(tblFinancials[[#This Row],[DateKey]],tblCalendar[DateKey],tblCalendar[FullDate],"")</f>
        <v>45962</v>
      </c>
      <c r="I1227">
        <f>_xlfn.XLOOKUP(tblFinancials[[#This Row],[AccountKey]],tblAccounts[AccountKey],tblAccounts[AccountNumber],"")</f>
        <v>4000</v>
      </c>
      <c r="J1227" t="str">
        <f>_xlfn.XLOOKUP(tblFinancials[[#This Row],[AccountKey]],tblAccounts[AccountKey],tblAccounts[AccountName],"")</f>
        <v>Product Revenue</v>
      </c>
      <c r="K1227" s="8" t="str">
        <f>_xlfn.XLOOKUP(tblFinancials[[#This Row],[AccountKey]],tblAccounts[AccountKey],tblAccounts[FinancialStatement],"")</f>
        <v>Income Statement</v>
      </c>
      <c r="L1227" s="8" t="str">
        <f>_xlfn.XLOOKUP(tblFinancials[[#This Row],[AccountKey]],tblAccounts[AccountKey],tblAccounts[AccountCategory],"")</f>
        <v>Revenue</v>
      </c>
      <c r="M1227" s="8" t="str">
        <f>_xlfn.XLOOKUP(tblFinancials[[#This Row],[AccountKey]],tblAccounts[AccountKey],tblAccounts[NormalBalance],"")</f>
        <v>Credit</v>
      </c>
      <c r="N1227" s="8" t="str">
        <f>_xlfn.XLOOKUP(tblFinancials[[#This Row],[DepartmentKey]],tblDepartments[DepartmentKey],tblDepartments[DepartmentName],"")</f>
        <v>Finance</v>
      </c>
      <c r="O1227" s="8" t="str">
        <f>_xlfn.XLOOKUP(tblFinancials[[#This Row],[BusinessUnitKey]],tblBusinessUnits[BusinessUnitKey],tblBusinessUnits[BusinessUnitName],"")</f>
        <v>Retail</v>
      </c>
      <c r="P1227" s="8" t="str">
        <f>_xlfn.XLOOKUP(tblFinancials[[#This Row],[RegionKey]],tblRegions[RegionKey],tblRegions[RegionName],"")</f>
        <v>West</v>
      </c>
    </row>
    <row r="1228" spans="1:16">
      <c r="A1228">
        <v>20251101</v>
      </c>
      <c r="B1228">
        <v>6</v>
      </c>
      <c r="C1228">
        <v>3</v>
      </c>
      <c r="D1228">
        <v>3</v>
      </c>
      <c r="E1228">
        <v>13</v>
      </c>
      <c r="F1228" t="s">
        <v>92</v>
      </c>
      <c r="G1228">
        <v>35156.28</v>
      </c>
      <c r="H1228">
        <f>_xlfn.XLOOKUP(tblFinancials[[#This Row],[DateKey]],tblCalendar[DateKey],tblCalendar[FullDate],"")</f>
        <v>45962</v>
      </c>
      <c r="I1228">
        <f>_xlfn.XLOOKUP(tblFinancials[[#This Row],[AccountKey]],tblAccounts[AccountKey],tblAccounts[AccountNumber],"")</f>
        <v>4020</v>
      </c>
      <c r="J1228" t="str">
        <f>_xlfn.XLOOKUP(tblFinancials[[#This Row],[AccountKey]],tblAccounts[AccountKey],tblAccounts[AccountName],"")</f>
        <v>Online Revenue</v>
      </c>
      <c r="K1228" s="8" t="str">
        <f>_xlfn.XLOOKUP(tblFinancials[[#This Row],[AccountKey]],tblAccounts[AccountKey],tblAccounts[FinancialStatement],"")</f>
        <v>Income Statement</v>
      </c>
      <c r="L1228" s="8" t="str">
        <f>_xlfn.XLOOKUP(tblFinancials[[#This Row],[AccountKey]],tblAccounts[AccountKey],tblAccounts[AccountCategory],"")</f>
        <v>Revenue</v>
      </c>
      <c r="M1228" s="8" t="str">
        <f>_xlfn.XLOOKUP(tblFinancials[[#This Row],[AccountKey]],tblAccounts[AccountKey],tblAccounts[NormalBalance],"")</f>
        <v>Credit</v>
      </c>
      <c r="N1228" s="8" t="str">
        <f>_xlfn.XLOOKUP(tblFinancials[[#This Row],[DepartmentKey]],tblDepartments[DepartmentKey],tblDepartments[DepartmentName],"")</f>
        <v>Operations</v>
      </c>
      <c r="O1228" s="8" t="str">
        <f>_xlfn.XLOOKUP(tblFinancials[[#This Row],[BusinessUnitKey]],tblBusinessUnits[BusinessUnitKey],tblBusinessUnits[BusinessUnitName],"")</f>
        <v>Retail</v>
      </c>
      <c r="P1228" s="8" t="str">
        <f>_xlfn.XLOOKUP(tblFinancials[[#This Row],[RegionKey]],tblRegions[RegionKey],tblRegions[RegionName],"")</f>
        <v>South</v>
      </c>
    </row>
    <row r="1229" spans="1:16">
      <c r="A1229">
        <v>20251101</v>
      </c>
      <c r="B1229">
        <v>3</v>
      </c>
      <c r="C1229">
        <v>3</v>
      </c>
      <c r="D1229">
        <v>4</v>
      </c>
      <c r="E1229">
        <v>12</v>
      </c>
      <c r="F1229" t="s">
        <v>92</v>
      </c>
      <c r="G1229">
        <v>36050.910000000003</v>
      </c>
      <c r="H1229">
        <f>_xlfn.XLOOKUP(tblFinancials[[#This Row],[DateKey]],tblCalendar[DateKey],tblCalendar[FullDate],"")</f>
        <v>45962</v>
      </c>
      <c r="I1229">
        <f>_xlfn.XLOOKUP(tblFinancials[[#This Row],[AccountKey]],tblAccounts[AccountKey],tblAccounts[AccountNumber],"")</f>
        <v>4010</v>
      </c>
      <c r="J1229" t="str">
        <f>_xlfn.XLOOKUP(tblFinancials[[#This Row],[AccountKey]],tblAccounts[AccountKey],tblAccounts[AccountName],"")</f>
        <v>Service Revenue</v>
      </c>
      <c r="K1229" s="8" t="str">
        <f>_xlfn.XLOOKUP(tblFinancials[[#This Row],[AccountKey]],tblAccounts[AccountKey],tblAccounts[FinancialStatement],"")</f>
        <v>Income Statement</v>
      </c>
      <c r="L1229" s="8" t="str">
        <f>_xlfn.XLOOKUP(tblFinancials[[#This Row],[AccountKey]],tblAccounts[AccountKey],tblAccounts[AccountCategory],"")</f>
        <v>Revenue</v>
      </c>
      <c r="M1229" s="8" t="str">
        <f>_xlfn.XLOOKUP(tblFinancials[[#This Row],[AccountKey]],tblAccounts[AccountKey],tblAccounts[NormalBalance],"")</f>
        <v>Credit</v>
      </c>
      <c r="N1229" s="8" t="str">
        <f>_xlfn.XLOOKUP(tblFinancials[[#This Row],[DepartmentKey]],tblDepartments[DepartmentKey],tblDepartments[DepartmentName],"")</f>
        <v>Human Resources</v>
      </c>
      <c r="O1229" s="8" t="str">
        <f>_xlfn.XLOOKUP(tblFinancials[[#This Row],[BusinessUnitKey]],tblBusinessUnits[BusinessUnitKey],tblBusinessUnits[BusinessUnitName],"")</f>
        <v>Retail</v>
      </c>
      <c r="P1229" s="8" t="str">
        <f>_xlfn.XLOOKUP(tblFinancials[[#This Row],[RegionKey]],tblRegions[RegionKey],tblRegions[RegionName],"")</f>
        <v>East</v>
      </c>
    </row>
    <row r="1230" spans="1:16">
      <c r="A1230">
        <v>20251101</v>
      </c>
      <c r="B1230">
        <v>3</v>
      </c>
      <c r="C1230">
        <v>4</v>
      </c>
      <c r="D1230">
        <v>3</v>
      </c>
      <c r="E1230">
        <v>11</v>
      </c>
      <c r="F1230" t="s">
        <v>92</v>
      </c>
      <c r="G1230">
        <v>35986.080000000002</v>
      </c>
      <c r="H1230">
        <f>_xlfn.XLOOKUP(tblFinancials[[#This Row],[DateKey]],tblCalendar[DateKey],tblCalendar[FullDate],"")</f>
        <v>45962</v>
      </c>
      <c r="I1230">
        <f>_xlfn.XLOOKUP(tblFinancials[[#This Row],[AccountKey]],tblAccounts[AccountKey],tblAccounts[AccountNumber],"")</f>
        <v>4000</v>
      </c>
      <c r="J1230" t="str">
        <f>_xlfn.XLOOKUP(tblFinancials[[#This Row],[AccountKey]],tblAccounts[AccountKey],tblAccounts[AccountName],"")</f>
        <v>Product Revenue</v>
      </c>
      <c r="K1230" s="8" t="str">
        <f>_xlfn.XLOOKUP(tblFinancials[[#This Row],[AccountKey]],tblAccounts[AccountKey],tblAccounts[FinancialStatement],"")</f>
        <v>Income Statement</v>
      </c>
      <c r="L1230" s="8" t="str">
        <f>_xlfn.XLOOKUP(tblFinancials[[#This Row],[AccountKey]],tblAccounts[AccountKey],tblAccounts[AccountCategory],"")</f>
        <v>Revenue</v>
      </c>
      <c r="M1230" s="8" t="str">
        <f>_xlfn.XLOOKUP(tblFinancials[[#This Row],[AccountKey]],tblAccounts[AccountKey],tblAccounts[NormalBalance],"")</f>
        <v>Credit</v>
      </c>
      <c r="N1230" s="8" t="str">
        <f>_xlfn.XLOOKUP(tblFinancials[[#This Row],[DepartmentKey]],tblDepartments[DepartmentKey],tblDepartments[DepartmentName],"")</f>
        <v>Human Resources</v>
      </c>
      <c r="O1230" s="8" t="str">
        <f>_xlfn.XLOOKUP(tblFinancials[[#This Row],[BusinessUnitKey]],tblBusinessUnits[BusinessUnitKey],tblBusinessUnits[BusinessUnitName],"")</f>
        <v>E-Commerce</v>
      </c>
      <c r="P1230" s="8" t="str">
        <f>_xlfn.XLOOKUP(tblFinancials[[#This Row],[RegionKey]],tblRegions[RegionKey],tblRegions[RegionName],"")</f>
        <v>South</v>
      </c>
    </row>
    <row r="1231" spans="1:16">
      <c r="A1231">
        <v>20251101</v>
      </c>
      <c r="B1231">
        <v>3</v>
      </c>
      <c r="C1231">
        <v>1</v>
      </c>
      <c r="D1231">
        <v>4</v>
      </c>
      <c r="E1231">
        <v>12</v>
      </c>
      <c r="F1231" t="s">
        <v>92</v>
      </c>
      <c r="G1231">
        <v>35649.279999999999</v>
      </c>
      <c r="H1231">
        <f>_xlfn.XLOOKUP(tblFinancials[[#This Row],[DateKey]],tblCalendar[DateKey],tblCalendar[FullDate],"")</f>
        <v>45962</v>
      </c>
      <c r="I1231">
        <f>_xlfn.XLOOKUP(tblFinancials[[#This Row],[AccountKey]],tblAccounts[AccountKey],tblAccounts[AccountNumber],"")</f>
        <v>4010</v>
      </c>
      <c r="J1231" t="str">
        <f>_xlfn.XLOOKUP(tblFinancials[[#This Row],[AccountKey]],tblAccounts[AccountKey],tblAccounts[AccountName],"")</f>
        <v>Service Revenue</v>
      </c>
      <c r="K1231" s="8" t="str">
        <f>_xlfn.XLOOKUP(tblFinancials[[#This Row],[AccountKey]],tblAccounts[AccountKey],tblAccounts[FinancialStatement],"")</f>
        <v>Income Statement</v>
      </c>
      <c r="L1231" s="8" t="str">
        <f>_xlfn.XLOOKUP(tblFinancials[[#This Row],[AccountKey]],tblAccounts[AccountKey],tblAccounts[AccountCategory],"")</f>
        <v>Revenue</v>
      </c>
      <c r="M1231" s="8" t="str">
        <f>_xlfn.XLOOKUP(tblFinancials[[#This Row],[AccountKey]],tblAccounts[AccountKey],tblAccounts[NormalBalance],"")</f>
        <v>Credit</v>
      </c>
      <c r="N1231" s="8" t="str">
        <f>_xlfn.XLOOKUP(tblFinancials[[#This Row],[DepartmentKey]],tblDepartments[DepartmentKey],tblDepartments[DepartmentName],"")</f>
        <v>Human Resources</v>
      </c>
      <c r="O1231" s="8" t="str">
        <f>_xlfn.XLOOKUP(tblFinancials[[#This Row],[BusinessUnitKey]],tblBusinessUnits[BusinessUnitKey],tblBusinessUnits[BusinessUnitName],"")</f>
        <v xml:space="preserve">Manufacturing </v>
      </c>
      <c r="P1231" s="8" t="str">
        <f>_xlfn.XLOOKUP(tblFinancials[[#This Row],[RegionKey]],tblRegions[RegionKey],tblRegions[RegionName],"")</f>
        <v>East</v>
      </c>
    </row>
    <row r="1232" spans="1:16">
      <c r="A1232">
        <v>20251101</v>
      </c>
      <c r="B1232">
        <v>6</v>
      </c>
      <c r="C1232">
        <v>3</v>
      </c>
      <c r="D1232">
        <v>4</v>
      </c>
      <c r="E1232">
        <v>12</v>
      </c>
      <c r="F1232" t="s">
        <v>92</v>
      </c>
      <c r="G1232">
        <v>35850.559999999998</v>
      </c>
      <c r="H1232">
        <f>_xlfn.XLOOKUP(tblFinancials[[#This Row],[DateKey]],tblCalendar[DateKey],tblCalendar[FullDate],"")</f>
        <v>45962</v>
      </c>
      <c r="I1232">
        <f>_xlfn.XLOOKUP(tblFinancials[[#This Row],[AccountKey]],tblAccounts[AccountKey],tblAccounts[AccountNumber],"")</f>
        <v>4010</v>
      </c>
      <c r="J1232" t="str">
        <f>_xlfn.XLOOKUP(tblFinancials[[#This Row],[AccountKey]],tblAccounts[AccountKey],tblAccounts[AccountName],"")</f>
        <v>Service Revenue</v>
      </c>
      <c r="K1232" s="8" t="str">
        <f>_xlfn.XLOOKUP(tblFinancials[[#This Row],[AccountKey]],tblAccounts[AccountKey],tblAccounts[FinancialStatement],"")</f>
        <v>Income Statement</v>
      </c>
      <c r="L1232" s="8" t="str">
        <f>_xlfn.XLOOKUP(tblFinancials[[#This Row],[AccountKey]],tblAccounts[AccountKey],tblAccounts[AccountCategory],"")</f>
        <v>Revenue</v>
      </c>
      <c r="M1232" s="8" t="str">
        <f>_xlfn.XLOOKUP(tblFinancials[[#This Row],[AccountKey]],tblAccounts[AccountKey],tblAccounts[NormalBalance],"")</f>
        <v>Credit</v>
      </c>
      <c r="N1232" s="8" t="str">
        <f>_xlfn.XLOOKUP(tblFinancials[[#This Row],[DepartmentKey]],tblDepartments[DepartmentKey],tblDepartments[DepartmentName],"")</f>
        <v>Operations</v>
      </c>
      <c r="O1232" s="8" t="str">
        <f>_xlfn.XLOOKUP(tblFinancials[[#This Row],[BusinessUnitKey]],tblBusinessUnits[BusinessUnitKey],tblBusinessUnits[BusinessUnitName],"")</f>
        <v>Retail</v>
      </c>
      <c r="P1232" s="8" t="str">
        <f>_xlfn.XLOOKUP(tblFinancials[[#This Row],[RegionKey]],tblRegions[RegionKey],tblRegions[RegionName],"")</f>
        <v>East</v>
      </c>
    </row>
    <row r="1233" spans="1:16">
      <c r="A1233">
        <v>20251101</v>
      </c>
      <c r="B1233">
        <v>2</v>
      </c>
      <c r="C1233">
        <v>2</v>
      </c>
      <c r="D1233">
        <v>3</v>
      </c>
      <c r="E1233">
        <v>12</v>
      </c>
      <c r="F1233" t="s">
        <v>92</v>
      </c>
      <c r="G1233">
        <v>34554.400000000001</v>
      </c>
      <c r="H1233">
        <f>_xlfn.XLOOKUP(tblFinancials[[#This Row],[DateKey]],tblCalendar[DateKey],tblCalendar[FullDate],"")</f>
        <v>45962</v>
      </c>
      <c r="I1233">
        <f>_xlfn.XLOOKUP(tblFinancials[[#This Row],[AccountKey]],tblAccounts[AccountKey],tblAccounts[AccountNumber],"")</f>
        <v>4010</v>
      </c>
      <c r="J1233" t="str">
        <f>_xlfn.XLOOKUP(tblFinancials[[#This Row],[AccountKey]],tblAccounts[AccountKey],tblAccounts[AccountName],"")</f>
        <v>Service Revenue</v>
      </c>
      <c r="K1233" s="8" t="str">
        <f>_xlfn.XLOOKUP(tblFinancials[[#This Row],[AccountKey]],tblAccounts[AccountKey],tblAccounts[FinancialStatement],"")</f>
        <v>Income Statement</v>
      </c>
      <c r="L1233" s="8" t="str">
        <f>_xlfn.XLOOKUP(tblFinancials[[#This Row],[AccountKey]],tblAccounts[AccountKey],tblAccounts[AccountCategory],"")</f>
        <v>Revenue</v>
      </c>
      <c r="M1233" s="8" t="str">
        <f>_xlfn.XLOOKUP(tblFinancials[[#This Row],[AccountKey]],tblAccounts[AccountKey],tblAccounts[NormalBalance],"")</f>
        <v>Credit</v>
      </c>
      <c r="N1233" s="8" t="str">
        <f>_xlfn.XLOOKUP(tblFinancials[[#This Row],[DepartmentKey]],tblDepartments[DepartmentKey],tblDepartments[DepartmentName],"")</f>
        <v>Finance</v>
      </c>
      <c r="O1233" s="8" t="str">
        <f>_xlfn.XLOOKUP(tblFinancials[[#This Row],[BusinessUnitKey]],tblBusinessUnits[BusinessUnitKey],tblBusinessUnits[BusinessUnitName],"")</f>
        <v>Wholesale</v>
      </c>
      <c r="P1233" s="8" t="str">
        <f>_xlfn.XLOOKUP(tblFinancials[[#This Row],[RegionKey]],tblRegions[RegionKey],tblRegions[RegionName],"")</f>
        <v>South</v>
      </c>
    </row>
    <row r="1234" spans="1:16">
      <c r="A1234">
        <v>20251101</v>
      </c>
      <c r="B1234">
        <v>5</v>
      </c>
      <c r="C1234">
        <v>2</v>
      </c>
      <c r="D1234">
        <v>3</v>
      </c>
      <c r="E1234">
        <v>11</v>
      </c>
      <c r="F1234" t="s">
        <v>92</v>
      </c>
      <c r="G1234">
        <v>36034.910000000003</v>
      </c>
      <c r="H1234">
        <f>_xlfn.XLOOKUP(tblFinancials[[#This Row],[DateKey]],tblCalendar[DateKey],tblCalendar[FullDate],"")</f>
        <v>45962</v>
      </c>
      <c r="I1234">
        <f>_xlfn.XLOOKUP(tblFinancials[[#This Row],[AccountKey]],tblAccounts[AccountKey],tblAccounts[AccountNumber],"")</f>
        <v>4000</v>
      </c>
      <c r="J1234" t="str">
        <f>_xlfn.XLOOKUP(tblFinancials[[#This Row],[AccountKey]],tblAccounts[AccountKey],tblAccounts[AccountName],"")</f>
        <v>Product Revenue</v>
      </c>
      <c r="K1234" s="8" t="str">
        <f>_xlfn.XLOOKUP(tblFinancials[[#This Row],[AccountKey]],tblAccounts[AccountKey],tblAccounts[FinancialStatement],"")</f>
        <v>Income Statement</v>
      </c>
      <c r="L1234" s="8" t="str">
        <f>_xlfn.XLOOKUP(tblFinancials[[#This Row],[AccountKey]],tblAccounts[AccountKey],tblAccounts[AccountCategory],"")</f>
        <v>Revenue</v>
      </c>
      <c r="M1234" s="8" t="str">
        <f>_xlfn.XLOOKUP(tblFinancials[[#This Row],[AccountKey]],tblAccounts[AccountKey],tblAccounts[NormalBalance],"")</f>
        <v>Credit</v>
      </c>
      <c r="N1234" s="8" t="str">
        <f>_xlfn.XLOOKUP(tblFinancials[[#This Row],[DepartmentKey]],tblDepartments[DepartmentKey],tblDepartments[DepartmentName],"")</f>
        <v>Marketing</v>
      </c>
      <c r="O1234" s="8" t="str">
        <f>_xlfn.XLOOKUP(tblFinancials[[#This Row],[BusinessUnitKey]],tblBusinessUnits[BusinessUnitKey],tblBusinessUnits[BusinessUnitName],"")</f>
        <v>Wholesale</v>
      </c>
      <c r="P1234" s="8" t="str">
        <f>_xlfn.XLOOKUP(tblFinancials[[#This Row],[RegionKey]],tblRegions[RegionKey],tblRegions[RegionName],"")</f>
        <v>South</v>
      </c>
    </row>
    <row r="1235" spans="1:16">
      <c r="A1235">
        <v>20251101</v>
      </c>
      <c r="B1235">
        <v>8</v>
      </c>
      <c r="C1235">
        <v>1</v>
      </c>
      <c r="D1235">
        <v>2</v>
      </c>
      <c r="E1235">
        <v>12</v>
      </c>
      <c r="F1235" t="s">
        <v>92</v>
      </c>
      <c r="G1235">
        <v>35528.129999999997</v>
      </c>
      <c r="H1235">
        <f>_xlfn.XLOOKUP(tblFinancials[[#This Row],[DateKey]],tblCalendar[DateKey],tblCalendar[FullDate],"")</f>
        <v>45962</v>
      </c>
      <c r="I1235">
        <f>_xlfn.XLOOKUP(tblFinancials[[#This Row],[AccountKey]],tblAccounts[AccountKey],tblAccounts[AccountNumber],"")</f>
        <v>4010</v>
      </c>
      <c r="J1235" t="str">
        <f>_xlfn.XLOOKUP(tblFinancials[[#This Row],[AccountKey]],tblAccounts[AccountKey],tblAccounts[AccountName],"")</f>
        <v>Service Revenue</v>
      </c>
      <c r="K1235" s="8" t="str">
        <f>_xlfn.XLOOKUP(tblFinancials[[#This Row],[AccountKey]],tblAccounts[AccountKey],tblAccounts[FinancialStatement],"")</f>
        <v>Income Statement</v>
      </c>
      <c r="L1235" s="8" t="str">
        <f>_xlfn.XLOOKUP(tblFinancials[[#This Row],[AccountKey]],tblAccounts[AccountKey],tblAccounts[AccountCategory],"")</f>
        <v>Revenue</v>
      </c>
      <c r="M1235" s="8" t="str">
        <f>_xlfn.XLOOKUP(tblFinancials[[#This Row],[AccountKey]],tblAccounts[AccountKey],tblAccounts[NormalBalance],"")</f>
        <v>Credit</v>
      </c>
      <c r="N1235" s="8" t="str">
        <f>_xlfn.XLOOKUP(tblFinancials[[#This Row],[DepartmentKey]],tblDepartments[DepartmentKey],tblDepartments[DepartmentName],"")</f>
        <v>Customer Service</v>
      </c>
      <c r="O1235" s="8" t="str">
        <f>_xlfn.XLOOKUP(tblFinancials[[#This Row],[BusinessUnitKey]],tblBusinessUnits[BusinessUnitKey],tblBusinessUnits[BusinessUnitName],"")</f>
        <v xml:space="preserve">Manufacturing </v>
      </c>
      <c r="P1235" s="8" t="str">
        <f>_xlfn.XLOOKUP(tblFinancials[[#This Row],[RegionKey]],tblRegions[RegionKey],tblRegions[RegionName],"")</f>
        <v>Midwest</v>
      </c>
    </row>
    <row r="1236" spans="1:16">
      <c r="A1236">
        <v>20251101</v>
      </c>
      <c r="B1236">
        <v>4</v>
      </c>
      <c r="C1236">
        <v>2</v>
      </c>
      <c r="D1236">
        <v>1</v>
      </c>
      <c r="E1236">
        <v>11</v>
      </c>
      <c r="F1236" t="s">
        <v>92</v>
      </c>
      <c r="G1236">
        <v>36170.29</v>
      </c>
      <c r="H1236">
        <f>_xlfn.XLOOKUP(tblFinancials[[#This Row],[DateKey]],tblCalendar[DateKey],tblCalendar[FullDate],"")</f>
        <v>45962</v>
      </c>
      <c r="I1236">
        <f>_xlfn.XLOOKUP(tblFinancials[[#This Row],[AccountKey]],tblAccounts[AccountKey],tblAccounts[AccountNumber],"")</f>
        <v>4000</v>
      </c>
      <c r="J1236" t="str">
        <f>_xlfn.XLOOKUP(tblFinancials[[#This Row],[AccountKey]],tblAccounts[AccountKey],tblAccounts[AccountName],"")</f>
        <v>Product Revenue</v>
      </c>
      <c r="K1236" s="8" t="str">
        <f>_xlfn.XLOOKUP(tblFinancials[[#This Row],[AccountKey]],tblAccounts[AccountKey],tblAccounts[FinancialStatement],"")</f>
        <v>Income Statement</v>
      </c>
      <c r="L1236" s="8" t="str">
        <f>_xlfn.XLOOKUP(tblFinancials[[#This Row],[AccountKey]],tblAccounts[AccountKey],tblAccounts[AccountCategory],"")</f>
        <v>Revenue</v>
      </c>
      <c r="M1236" s="8" t="str">
        <f>_xlfn.XLOOKUP(tblFinancials[[#This Row],[AccountKey]],tblAccounts[AccountKey],tblAccounts[NormalBalance],"")</f>
        <v>Credit</v>
      </c>
      <c r="N1236" s="8" t="str">
        <f>_xlfn.XLOOKUP(tblFinancials[[#This Row],[DepartmentKey]],tblDepartments[DepartmentKey],tblDepartments[DepartmentName],"")</f>
        <v>Sales</v>
      </c>
      <c r="O1236" s="8" t="str">
        <f>_xlfn.XLOOKUP(tblFinancials[[#This Row],[BusinessUnitKey]],tblBusinessUnits[BusinessUnitKey],tblBusinessUnits[BusinessUnitName],"")</f>
        <v>Wholesale</v>
      </c>
      <c r="P1236" s="8" t="str">
        <f>_xlfn.XLOOKUP(tblFinancials[[#This Row],[RegionKey]],tblRegions[RegionKey],tblRegions[RegionName],"")</f>
        <v>West</v>
      </c>
    </row>
    <row r="1237" spans="1:16">
      <c r="A1237">
        <v>20251101</v>
      </c>
      <c r="B1237">
        <v>7</v>
      </c>
      <c r="C1237">
        <v>1</v>
      </c>
      <c r="D1237">
        <v>4</v>
      </c>
      <c r="E1237">
        <v>13</v>
      </c>
      <c r="F1237" t="s">
        <v>92</v>
      </c>
      <c r="G1237">
        <v>34899.83</v>
      </c>
      <c r="H1237">
        <f>_xlfn.XLOOKUP(tblFinancials[[#This Row],[DateKey]],tblCalendar[DateKey],tblCalendar[FullDate],"")</f>
        <v>45962</v>
      </c>
      <c r="I1237">
        <f>_xlfn.XLOOKUP(tblFinancials[[#This Row],[AccountKey]],tblAccounts[AccountKey],tblAccounts[AccountNumber],"")</f>
        <v>4020</v>
      </c>
      <c r="J1237" t="str">
        <f>_xlfn.XLOOKUP(tblFinancials[[#This Row],[AccountKey]],tblAccounts[AccountKey],tblAccounts[AccountName],"")</f>
        <v>Online Revenue</v>
      </c>
      <c r="K1237" s="8" t="str">
        <f>_xlfn.XLOOKUP(tblFinancials[[#This Row],[AccountKey]],tblAccounts[AccountKey],tblAccounts[FinancialStatement],"")</f>
        <v>Income Statement</v>
      </c>
      <c r="L1237" s="8" t="str">
        <f>_xlfn.XLOOKUP(tblFinancials[[#This Row],[AccountKey]],tblAccounts[AccountKey],tblAccounts[AccountCategory],"")</f>
        <v>Revenue</v>
      </c>
      <c r="M1237" s="8" t="str">
        <f>_xlfn.XLOOKUP(tblFinancials[[#This Row],[AccountKey]],tblAccounts[AccountKey],tblAccounts[NormalBalance],"")</f>
        <v>Credit</v>
      </c>
      <c r="N1237" s="8" t="str">
        <f>_xlfn.XLOOKUP(tblFinancials[[#This Row],[DepartmentKey]],tblDepartments[DepartmentKey],tblDepartments[DepartmentName],"")</f>
        <v>Information Technology</v>
      </c>
      <c r="O1237" s="8" t="str">
        <f>_xlfn.XLOOKUP(tblFinancials[[#This Row],[BusinessUnitKey]],tblBusinessUnits[BusinessUnitKey],tblBusinessUnits[BusinessUnitName],"")</f>
        <v xml:space="preserve">Manufacturing </v>
      </c>
      <c r="P1237" s="8" t="str">
        <f>_xlfn.XLOOKUP(tblFinancials[[#This Row],[RegionKey]],tblRegions[RegionKey],tblRegions[RegionName],"")</f>
        <v>East</v>
      </c>
    </row>
    <row r="1238" spans="1:16">
      <c r="A1238">
        <v>20251101</v>
      </c>
      <c r="B1238">
        <v>8</v>
      </c>
      <c r="C1238">
        <v>1</v>
      </c>
      <c r="D1238">
        <v>2</v>
      </c>
      <c r="E1238">
        <v>14</v>
      </c>
      <c r="F1238" t="s">
        <v>92</v>
      </c>
      <c r="G1238">
        <v>-20018.27</v>
      </c>
      <c r="H1238">
        <f>_xlfn.XLOOKUP(tblFinancials[[#This Row],[DateKey]],tblCalendar[DateKey],tblCalendar[FullDate],"")</f>
        <v>45962</v>
      </c>
      <c r="I1238">
        <f>_xlfn.XLOOKUP(tblFinancials[[#This Row],[AccountKey]],tblAccounts[AccountKey],tblAccounts[AccountNumber],"")</f>
        <v>5000</v>
      </c>
      <c r="J1238" t="str">
        <f>_xlfn.XLOOKUP(tblFinancials[[#This Row],[AccountKey]],tblAccounts[AccountKey],tblAccounts[AccountName],"")</f>
        <v>Cost of Goods Sold</v>
      </c>
      <c r="K1238" s="8" t="str">
        <f>_xlfn.XLOOKUP(tblFinancials[[#This Row],[AccountKey]],tblAccounts[AccountKey],tblAccounts[FinancialStatement],"")</f>
        <v>Income Statement</v>
      </c>
      <c r="L1238" s="8" t="str">
        <f>_xlfn.XLOOKUP(tblFinancials[[#This Row],[AccountKey]],tblAccounts[AccountKey],tblAccounts[AccountCategory],"")</f>
        <v>Cost of Sales</v>
      </c>
      <c r="M1238" s="8" t="str">
        <f>_xlfn.XLOOKUP(tblFinancials[[#This Row],[AccountKey]],tblAccounts[AccountKey],tblAccounts[NormalBalance],"")</f>
        <v>Debit</v>
      </c>
      <c r="N1238" s="8" t="str">
        <f>_xlfn.XLOOKUP(tblFinancials[[#This Row],[DepartmentKey]],tblDepartments[DepartmentKey],tblDepartments[DepartmentName],"")</f>
        <v>Customer Service</v>
      </c>
      <c r="O1238" s="8" t="str">
        <f>_xlfn.XLOOKUP(tblFinancials[[#This Row],[BusinessUnitKey]],tblBusinessUnits[BusinessUnitKey],tblBusinessUnits[BusinessUnitName],"")</f>
        <v xml:space="preserve">Manufacturing </v>
      </c>
      <c r="P1238" s="8" t="str">
        <f>_xlfn.XLOOKUP(tblFinancials[[#This Row],[RegionKey]],tblRegions[RegionKey],tblRegions[RegionName],"")</f>
        <v>Midwest</v>
      </c>
    </row>
    <row r="1239" spans="1:16">
      <c r="A1239">
        <v>20251101</v>
      </c>
      <c r="B1239">
        <v>2</v>
      </c>
      <c r="C1239">
        <v>3</v>
      </c>
      <c r="D1239">
        <v>2</v>
      </c>
      <c r="E1239">
        <v>14</v>
      </c>
      <c r="F1239" t="s">
        <v>92</v>
      </c>
      <c r="G1239">
        <v>-20361.740000000002</v>
      </c>
      <c r="H1239">
        <f>_xlfn.XLOOKUP(tblFinancials[[#This Row],[DateKey]],tblCalendar[DateKey],tblCalendar[FullDate],"")</f>
        <v>45962</v>
      </c>
      <c r="I1239">
        <f>_xlfn.XLOOKUP(tblFinancials[[#This Row],[AccountKey]],tblAccounts[AccountKey],tblAccounts[AccountNumber],"")</f>
        <v>5000</v>
      </c>
      <c r="J1239" t="str">
        <f>_xlfn.XLOOKUP(tblFinancials[[#This Row],[AccountKey]],tblAccounts[AccountKey],tblAccounts[AccountName],"")</f>
        <v>Cost of Goods Sold</v>
      </c>
      <c r="K1239" s="8" t="str">
        <f>_xlfn.XLOOKUP(tblFinancials[[#This Row],[AccountKey]],tblAccounts[AccountKey],tblAccounts[FinancialStatement],"")</f>
        <v>Income Statement</v>
      </c>
      <c r="L1239" s="8" t="str">
        <f>_xlfn.XLOOKUP(tblFinancials[[#This Row],[AccountKey]],tblAccounts[AccountKey],tblAccounts[AccountCategory],"")</f>
        <v>Cost of Sales</v>
      </c>
      <c r="M1239" s="8" t="str">
        <f>_xlfn.XLOOKUP(tblFinancials[[#This Row],[AccountKey]],tblAccounts[AccountKey],tblAccounts[NormalBalance],"")</f>
        <v>Debit</v>
      </c>
      <c r="N1239" s="8" t="str">
        <f>_xlfn.XLOOKUP(tblFinancials[[#This Row],[DepartmentKey]],tblDepartments[DepartmentKey],tblDepartments[DepartmentName],"")</f>
        <v>Finance</v>
      </c>
      <c r="O1239" s="8" t="str">
        <f>_xlfn.XLOOKUP(tblFinancials[[#This Row],[BusinessUnitKey]],tblBusinessUnits[BusinessUnitKey],tblBusinessUnits[BusinessUnitName],"")</f>
        <v>Retail</v>
      </c>
      <c r="P1239" s="8" t="str">
        <f>_xlfn.XLOOKUP(tblFinancials[[#This Row],[RegionKey]],tblRegions[RegionKey],tblRegions[RegionName],"")</f>
        <v>Midwest</v>
      </c>
    </row>
    <row r="1240" spans="1:16">
      <c r="A1240">
        <v>20251101</v>
      </c>
      <c r="B1240">
        <v>7</v>
      </c>
      <c r="C1240">
        <v>2</v>
      </c>
      <c r="D1240">
        <v>3</v>
      </c>
      <c r="E1240">
        <v>14</v>
      </c>
      <c r="F1240" t="s">
        <v>92</v>
      </c>
      <c r="G1240">
        <v>-21267.61</v>
      </c>
      <c r="H1240">
        <f>_xlfn.XLOOKUP(tblFinancials[[#This Row],[DateKey]],tblCalendar[DateKey],tblCalendar[FullDate],"")</f>
        <v>45962</v>
      </c>
      <c r="I1240">
        <f>_xlfn.XLOOKUP(tblFinancials[[#This Row],[AccountKey]],tblAccounts[AccountKey],tblAccounts[AccountNumber],"")</f>
        <v>5000</v>
      </c>
      <c r="J1240" t="str">
        <f>_xlfn.XLOOKUP(tblFinancials[[#This Row],[AccountKey]],tblAccounts[AccountKey],tblAccounts[AccountName],"")</f>
        <v>Cost of Goods Sold</v>
      </c>
      <c r="K1240" s="8" t="str">
        <f>_xlfn.XLOOKUP(tblFinancials[[#This Row],[AccountKey]],tblAccounts[AccountKey],tblAccounts[FinancialStatement],"")</f>
        <v>Income Statement</v>
      </c>
      <c r="L1240" s="8" t="str">
        <f>_xlfn.XLOOKUP(tblFinancials[[#This Row],[AccountKey]],tblAccounts[AccountKey],tblAccounts[AccountCategory],"")</f>
        <v>Cost of Sales</v>
      </c>
      <c r="M1240" s="8" t="str">
        <f>_xlfn.XLOOKUP(tblFinancials[[#This Row],[AccountKey]],tblAccounts[AccountKey],tblAccounts[NormalBalance],"")</f>
        <v>Debit</v>
      </c>
      <c r="N1240" s="8" t="str">
        <f>_xlfn.XLOOKUP(tblFinancials[[#This Row],[DepartmentKey]],tblDepartments[DepartmentKey],tblDepartments[DepartmentName],"")</f>
        <v>Information Technology</v>
      </c>
      <c r="O1240" s="8" t="str">
        <f>_xlfn.XLOOKUP(tblFinancials[[#This Row],[BusinessUnitKey]],tblBusinessUnits[BusinessUnitKey],tblBusinessUnits[BusinessUnitName],"")</f>
        <v>Wholesale</v>
      </c>
      <c r="P1240" s="8" t="str">
        <f>_xlfn.XLOOKUP(tblFinancials[[#This Row],[RegionKey]],tblRegions[RegionKey],tblRegions[RegionName],"")</f>
        <v>South</v>
      </c>
    </row>
    <row r="1241" spans="1:16">
      <c r="A1241">
        <v>20251101</v>
      </c>
      <c r="B1241">
        <v>6</v>
      </c>
      <c r="C1241">
        <v>1</v>
      </c>
      <c r="D1241">
        <v>3</v>
      </c>
      <c r="E1241">
        <v>14</v>
      </c>
      <c r="F1241" t="s">
        <v>92</v>
      </c>
      <c r="G1241">
        <v>-20700.82</v>
      </c>
      <c r="H1241">
        <f>_xlfn.XLOOKUP(tblFinancials[[#This Row],[DateKey]],tblCalendar[DateKey],tblCalendar[FullDate],"")</f>
        <v>45962</v>
      </c>
      <c r="I1241">
        <f>_xlfn.XLOOKUP(tblFinancials[[#This Row],[AccountKey]],tblAccounts[AccountKey],tblAccounts[AccountNumber],"")</f>
        <v>5000</v>
      </c>
      <c r="J1241" t="str">
        <f>_xlfn.XLOOKUP(tblFinancials[[#This Row],[AccountKey]],tblAccounts[AccountKey],tblAccounts[AccountName],"")</f>
        <v>Cost of Goods Sold</v>
      </c>
      <c r="K1241" s="8" t="str">
        <f>_xlfn.XLOOKUP(tblFinancials[[#This Row],[AccountKey]],tblAccounts[AccountKey],tblAccounts[FinancialStatement],"")</f>
        <v>Income Statement</v>
      </c>
      <c r="L1241" s="8" t="str">
        <f>_xlfn.XLOOKUP(tblFinancials[[#This Row],[AccountKey]],tblAccounts[AccountKey],tblAccounts[AccountCategory],"")</f>
        <v>Cost of Sales</v>
      </c>
      <c r="M1241" s="8" t="str">
        <f>_xlfn.XLOOKUP(tblFinancials[[#This Row],[AccountKey]],tblAccounts[AccountKey],tblAccounts[NormalBalance],"")</f>
        <v>Debit</v>
      </c>
      <c r="N1241" s="8" t="str">
        <f>_xlfn.XLOOKUP(tblFinancials[[#This Row],[DepartmentKey]],tblDepartments[DepartmentKey],tblDepartments[DepartmentName],"")</f>
        <v>Operations</v>
      </c>
      <c r="O1241" s="8" t="str">
        <f>_xlfn.XLOOKUP(tblFinancials[[#This Row],[BusinessUnitKey]],tblBusinessUnits[BusinessUnitKey],tblBusinessUnits[BusinessUnitName],"")</f>
        <v xml:space="preserve">Manufacturing </v>
      </c>
      <c r="P1241" s="8" t="str">
        <f>_xlfn.XLOOKUP(tblFinancials[[#This Row],[RegionKey]],tblRegions[RegionKey],tblRegions[RegionName],"")</f>
        <v>South</v>
      </c>
    </row>
    <row r="1242" spans="1:16">
      <c r="A1242">
        <v>20251101</v>
      </c>
      <c r="B1242">
        <v>7</v>
      </c>
      <c r="C1242">
        <v>1</v>
      </c>
      <c r="D1242">
        <v>2</v>
      </c>
      <c r="E1242">
        <v>14</v>
      </c>
      <c r="F1242" t="s">
        <v>92</v>
      </c>
      <c r="G1242">
        <v>-20353.12</v>
      </c>
      <c r="H1242">
        <f>_xlfn.XLOOKUP(tblFinancials[[#This Row],[DateKey]],tblCalendar[DateKey],tblCalendar[FullDate],"")</f>
        <v>45962</v>
      </c>
      <c r="I1242">
        <f>_xlfn.XLOOKUP(tblFinancials[[#This Row],[AccountKey]],tblAccounts[AccountKey],tblAccounts[AccountNumber],"")</f>
        <v>5000</v>
      </c>
      <c r="J1242" t="str">
        <f>_xlfn.XLOOKUP(tblFinancials[[#This Row],[AccountKey]],tblAccounts[AccountKey],tblAccounts[AccountName],"")</f>
        <v>Cost of Goods Sold</v>
      </c>
      <c r="K1242" s="8" t="str">
        <f>_xlfn.XLOOKUP(tblFinancials[[#This Row],[AccountKey]],tblAccounts[AccountKey],tblAccounts[FinancialStatement],"")</f>
        <v>Income Statement</v>
      </c>
      <c r="L1242" s="8" t="str">
        <f>_xlfn.XLOOKUP(tblFinancials[[#This Row],[AccountKey]],tblAccounts[AccountKey],tblAccounts[AccountCategory],"")</f>
        <v>Cost of Sales</v>
      </c>
      <c r="M1242" s="8" t="str">
        <f>_xlfn.XLOOKUP(tblFinancials[[#This Row],[AccountKey]],tblAccounts[AccountKey],tblAccounts[NormalBalance],"")</f>
        <v>Debit</v>
      </c>
      <c r="N1242" s="8" t="str">
        <f>_xlfn.XLOOKUP(tblFinancials[[#This Row],[DepartmentKey]],tblDepartments[DepartmentKey],tblDepartments[DepartmentName],"")</f>
        <v>Information Technology</v>
      </c>
      <c r="O1242" s="8" t="str">
        <f>_xlfn.XLOOKUP(tblFinancials[[#This Row],[BusinessUnitKey]],tblBusinessUnits[BusinessUnitKey],tblBusinessUnits[BusinessUnitName],"")</f>
        <v xml:space="preserve">Manufacturing </v>
      </c>
      <c r="P1242" s="8" t="str">
        <f>_xlfn.XLOOKUP(tblFinancials[[#This Row],[RegionKey]],tblRegions[RegionKey],tblRegions[RegionName],"")</f>
        <v>Midwest</v>
      </c>
    </row>
    <row r="1243" spans="1:16">
      <c r="A1243">
        <v>20251101</v>
      </c>
      <c r="B1243">
        <v>3</v>
      </c>
      <c r="C1243">
        <v>2</v>
      </c>
      <c r="D1243">
        <v>3</v>
      </c>
      <c r="E1243">
        <v>14</v>
      </c>
      <c r="F1243" t="s">
        <v>92</v>
      </c>
      <c r="G1243">
        <v>-20674.099999999999</v>
      </c>
      <c r="H1243">
        <f>_xlfn.XLOOKUP(tblFinancials[[#This Row],[DateKey]],tblCalendar[DateKey],tblCalendar[FullDate],"")</f>
        <v>45962</v>
      </c>
      <c r="I1243">
        <f>_xlfn.XLOOKUP(tblFinancials[[#This Row],[AccountKey]],tblAccounts[AccountKey],tblAccounts[AccountNumber],"")</f>
        <v>5000</v>
      </c>
      <c r="J1243" t="str">
        <f>_xlfn.XLOOKUP(tblFinancials[[#This Row],[AccountKey]],tblAccounts[AccountKey],tblAccounts[AccountName],"")</f>
        <v>Cost of Goods Sold</v>
      </c>
      <c r="K1243" s="8" t="str">
        <f>_xlfn.XLOOKUP(tblFinancials[[#This Row],[AccountKey]],tblAccounts[AccountKey],tblAccounts[FinancialStatement],"")</f>
        <v>Income Statement</v>
      </c>
      <c r="L1243" s="8" t="str">
        <f>_xlfn.XLOOKUP(tblFinancials[[#This Row],[AccountKey]],tblAccounts[AccountKey],tblAccounts[AccountCategory],"")</f>
        <v>Cost of Sales</v>
      </c>
      <c r="M1243" s="8" t="str">
        <f>_xlfn.XLOOKUP(tblFinancials[[#This Row],[AccountKey]],tblAccounts[AccountKey],tblAccounts[NormalBalance],"")</f>
        <v>Debit</v>
      </c>
      <c r="N1243" s="8" t="str">
        <f>_xlfn.XLOOKUP(tblFinancials[[#This Row],[DepartmentKey]],tblDepartments[DepartmentKey],tblDepartments[DepartmentName],"")</f>
        <v>Human Resources</v>
      </c>
      <c r="O1243" s="8" t="str">
        <f>_xlfn.XLOOKUP(tblFinancials[[#This Row],[BusinessUnitKey]],tblBusinessUnits[BusinessUnitKey],tblBusinessUnits[BusinessUnitName],"")</f>
        <v>Wholesale</v>
      </c>
      <c r="P1243" s="8" t="str">
        <f>_xlfn.XLOOKUP(tblFinancials[[#This Row],[RegionKey]],tblRegions[RegionKey],tblRegions[RegionName],"")</f>
        <v>South</v>
      </c>
    </row>
    <row r="1244" spans="1:16">
      <c r="A1244">
        <v>20251101</v>
      </c>
      <c r="B1244">
        <v>5</v>
      </c>
      <c r="C1244">
        <v>2</v>
      </c>
      <c r="D1244">
        <v>2</v>
      </c>
      <c r="E1244">
        <v>14</v>
      </c>
      <c r="F1244" t="s">
        <v>92</v>
      </c>
      <c r="G1244">
        <v>-19737.919999999998</v>
      </c>
      <c r="H1244">
        <f>_xlfn.XLOOKUP(tblFinancials[[#This Row],[DateKey]],tblCalendar[DateKey],tblCalendar[FullDate],"")</f>
        <v>45962</v>
      </c>
      <c r="I1244">
        <f>_xlfn.XLOOKUP(tblFinancials[[#This Row],[AccountKey]],tblAccounts[AccountKey],tblAccounts[AccountNumber],"")</f>
        <v>5000</v>
      </c>
      <c r="J1244" t="str">
        <f>_xlfn.XLOOKUP(tblFinancials[[#This Row],[AccountKey]],tblAccounts[AccountKey],tblAccounts[AccountName],"")</f>
        <v>Cost of Goods Sold</v>
      </c>
      <c r="K1244" s="8" t="str">
        <f>_xlfn.XLOOKUP(tblFinancials[[#This Row],[AccountKey]],tblAccounts[AccountKey],tblAccounts[FinancialStatement],"")</f>
        <v>Income Statement</v>
      </c>
      <c r="L1244" s="8" t="str">
        <f>_xlfn.XLOOKUP(tblFinancials[[#This Row],[AccountKey]],tblAccounts[AccountKey],tblAccounts[AccountCategory],"")</f>
        <v>Cost of Sales</v>
      </c>
      <c r="M1244" s="8" t="str">
        <f>_xlfn.XLOOKUP(tblFinancials[[#This Row],[AccountKey]],tblAccounts[AccountKey],tblAccounts[NormalBalance],"")</f>
        <v>Debit</v>
      </c>
      <c r="N1244" s="8" t="str">
        <f>_xlfn.XLOOKUP(tblFinancials[[#This Row],[DepartmentKey]],tblDepartments[DepartmentKey],tblDepartments[DepartmentName],"")</f>
        <v>Marketing</v>
      </c>
      <c r="O1244" s="8" t="str">
        <f>_xlfn.XLOOKUP(tblFinancials[[#This Row],[BusinessUnitKey]],tblBusinessUnits[BusinessUnitKey],tblBusinessUnits[BusinessUnitName],"")</f>
        <v>Wholesale</v>
      </c>
      <c r="P1244" s="8" t="str">
        <f>_xlfn.XLOOKUP(tblFinancials[[#This Row],[RegionKey]],tblRegions[RegionKey],tblRegions[RegionName],"")</f>
        <v>Midwest</v>
      </c>
    </row>
    <row r="1245" spans="1:16">
      <c r="A1245">
        <v>20251101</v>
      </c>
      <c r="B1245">
        <v>6</v>
      </c>
      <c r="C1245">
        <v>1</v>
      </c>
      <c r="D1245">
        <v>3</v>
      </c>
      <c r="E1245">
        <v>14</v>
      </c>
      <c r="F1245" t="s">
        <v>92</v>
      </c>
      <c r="G1245">
        <v>-21384.71</v>
      </c>
      <c r="H1245">
        <f>_xlfn.XLOOKUP(tblFinancials[[#This Row],[DateKey]],tblCalendar[DateKey],tblCalendar[FullDate],"")</f>
        <v>45962</v>
      </c>
      <c r="I1245">
        <f>_xlfn.XLOOKUP(tblFinancials[[#This Row],[AccountKey]],tblAccounts[AccountKey],tblAccounts[AccountNumber],"")</f>
        <v>5000</v>
      </c>
      <c r="J1245" t="str">
        <f>_xlfn.XLOOKUP(tblFinancials[[#This Row],[AccountKey]],tblAccounts[AccountKey],tblAccounts[AccountName],"")</f>
        <v>Cost of Goods Sold</v>
      </c>
      <c r="K1245" s="8" t="str">
        <f>_xlfn.XLOOKUP(tblFinancials[[#This Row],[AccountKey]],tblAccounts[AccountKey],tblAccounts[FinancialStatement],"")</f>
        <v>Income Statement</v>
      </c>
      <c r="L1245" s="8" t="str">
        <f>_xlfn.XLOOKUP(tblFinancials[[#This Row],[AccountKey]],tblAccounts[AccountKey],tblAccounts[AccountCategory],"")</f>
        <v>Cost of Sales</v>
      </c>
      <c r="M1245" s="8" t="str">
        <f>_xlfn.XLOOKUP(tblFinancials[[#This Row],[AccountKey]],tblAccounts[AccountKey],tblAccounts[NormalBalance],"")</f>
        <v>Debit</v>
      </c>
      <c r="N1245" s="8" t="str">
        <f>_xlfn.XLOOKUP(tblFinancials[[#This Row],[DepartmentKey]],tblDepartments[DepartmentKey],tblDepartments[DepartmentName],"")</f>
        <v>Operations</v>
      </c>
      <c r="O1245" s="8" t="str">
        <f>_xlfn.XLOOKUP(tblFinancials[[#This Row],[BusinessUnitKey]],tblBusinessUnits[BusinessUnitKey],tblBusinessUnits[BusinessUnitName],"")</f>
        <v xml:space="preserve">Manufacturing </v>
      </c>
      <c r="P1245" s="8" t="str">
        <f>_xlfn.XLOOKUP(tblFinancials[[#This Row],[RegionKey]],tblRegions[RegionKey],tblRegions[RegionName],"")</f>
        <v>South</v>
      </c>
    </row>
    <row r="1246" spans="1:16">
      <c r="A1246">
        <v>20251101</v>
      </c>
      <c r="B1246">
        <v>7</v>
      </c>
      <c r="C1246">
        <v>4</v>
      </c>
      <c r="D1246">
        <v>4</v>
      </c>
      <c r="E1246">
        <v>14</v>
      </c>
      <c r="F1246" t="s">
        <v>92</v>
      </c>
      <c r="G1246">
        <v>-20905.47</v>
      </c>
      <c r="H1246">
        <f>_xlfn.XLOOKUP(tblFinancials[[#This Row],[DateKey]],tblCalendar[DateKey],tblCalendar[FullDate],"")</f>
        <v>45962</v>
      </c>
      <c r="I1246">
        <f>_xlfn.XLOOKUP(tblFinancials[[#This Row],[AccountKey]],tblAccounts[AccountKey],tblAccounts[AccountNumber],"")</f>
        <v>5000</v>
      </c>
      <c r="J1246" t="str">
        <f>_xlfn.XLOOKUP(tblFinancials[[#This Row],[AccountKey]],tblAccounts[AccountKey],tblAccounts[AccountName],"")</f>
        <v>Cost of Goods Sold</v>
      </c>
      <c r="K1246" s="8" t="str">
        <f>_xlfn.XLOOKUP(tblFinancials[[#This Row],[AccountKey]],tblAccounts[AccountKey],tblAccounts[FinancialStatement],"")</f>
        <v>Income Statement</v>
      </c>
      <c r="L1246" s="8" t="str">
        <f>_xlfn.XLOOKUP(tblFinancials[[#This Row],[AccountKey]],tblAccounts[AccountKey],tblAccounts[AccountCategory],"")</f>
        <v>Cost of Sales</v>
      </c>
      <c r="M1246" s="8" t="str">
        <f>_xlfn.XLOOKUP(tblFinancials[[#This Row],[AccountKey]],tblAccounts[AccountKey],tblAccounts[NormalBalance],"")</f>
        <v>Debit</v>
      </c>
      <c r="N1246" s="8" t="str">
        <f>_xlfn.XLOOKUP(tblFinancials[[#This Row],[DepartmentKey]],tblDepartments[DepartmentKey],tblDepartments[DepartmentName],"")</f>
        <v>Information Technology</v>
      </c>
      <c r="O1246" s="8" t="str">
        <f>_xlfn.XLOOKUP(tblFinancials[[#This Row],[BusinessUnitKey]],tblBusinessUnits[BusinessUnitKey],tblBusinessUnits[BusinessUnitName],"")</f>
        <v>E-Commerce</v>
      </c>
      <c r="P1246" s="8" t="str">
        <f>_xlfn.XLOOKUP(tblFinancials[[#This Row],[RegionKey]],tblRegions[RegionKey],tblRegions[RegionName],"")</f>
        <v>East</v>
      </c>
    </row>
    <row r="1247" spans="1:16">
      <c r="A1247">
        <v>20251101</v>
      </c>
      <c r="B1247">
        <v>6</v>
      </c>
      <c r="C1247">
        <v>1</v>
      </c>
      <c r="D1247">
        <v>1</v>
      </c>
      <c r="E1247">
        <v>14</v>
      </c>
      <c r="F1247" t="s">
        <v>92</v>
      </c>
      <c r="G1247">
        <v>-21768.080000000002</v>
      </c>
      <c r="H1247">
        <f>_xlfn.XLOOKUP(tblFinancials[[#This Row],[DateKey]],tblCalendar[DateKey],tblCalendar[FullDate],"")</f>
        <v>45962</v>
      </c>
      <c r="I1247">
        <f>_xlfn.XLOOKUP(tblFinancials[[#This Row],[AccountKey]],tblAccounts[AccountKey],tblAccounts[AccountNumber],"")</f>
        <v>5000</v>
      </c>
      <c r="J1247" t="str">
        <f>_xlfn.XLOOKUP(tblFinancials[[#This Row],[AccountKey]],tblAccounts[AccountKey],tblAccounts[AccountName],"")</f>
        <v>Cost of Goods Sold</v>
      </c>
      <c r="K1247" s="8" t="str">
        <f>_xlfn.XLOOKUP(tblFinancials[[#This Row],[AccountKey]],tblAccounts[AccountKey],tblAccounts[FinancialStatement],"")</f>
        <v>Income Statement</v>
      </c>
      <c r="L1247" s="8" t="str">
        <f>_xlfn.XLOOKUP(tblFinancials[[#This Row],[AccountKey]],tblAccounts[AccountKey],tblAccounts[AccountCategory],"")</f>
        <v>Cost of Sales</v>
      </c>
      <c r="M1247" s="8" t="str">
        <f>_xlfn.XLOOKUP(tblFinancials[[#This Row],[AccountKey]],tblAccounts[AccountKey],tblAccounts[NormalBalance],"")</f>
        <v>Debit</v>
      </c>
      <c r="N1247" s="8" t="str">
        <f>_xlfn.XLOOKUP(tblFinancials[[#This Row],[DepartmentKey]],tblDepartments[DepartmentKey],tblDepartments[DepartmentName],"")</f>
        <v>Operations</v>
      </c>
      <c r="O1247" s="8" t="str">
        <f>_xlfn.XLOOKUP(tblFinancials[[#This Row],[BusinessUnitKey]],tblBusinessUnits[BusinessUnitKey],tblBusinessUnits[BusinessUnitName],"")</f>
        <v xml:space="preserve">Manufacturing </v>
      </c>
      <c r="P1247" s="8" t="str">
        <f>_xlfn.XLOOKUP(tblFinancials[[#This Row],[RegionKey]],tblRegions[RegionKey],tblRegions[RegionName],"")</f>
        <v>West</v>
      </c>
    </row>
    <row r="1248" spans="1:16">
      <c r="A1248">
        <v>20251101</v>
      </c>
      <c r="B1248">
        <v>1</v>
      </c>
      <c r="C1248">
        <v>1</v>
      </c>
      <c r="D1248">
        <v>4</v>
      </c>
      <c r="E1248">
        <v>14</v>
      </c>
      <c r="F1248" t="s">
        <v>92</v>
      </c>
      <c r="G1248">
        <v>-20750.13</v>
      </c>
      <c r="H1248">
        <f>_xlfn.XLOOKUP(tblFinancials[[#This Row],[DateKey]],tblCalendar[DateKey],tblCalendar[FullDate],"")</f>
        <v>45962</v>
      </c>
      <c r="I1248">
        <f>_xlfn.XLOOKUP(tblFinancials[[#This Row],[AccountKey]],tblAccounts[AccountKey],tblAccounts[AccountNumber],"")</f>
        <v>5000</v>
      </c>
      <c r="J1248" t="str">
        <f>_xlfn.XLOOKUP(tblFinancials[[#This Row],[AccountKey]],tblAccounts[AccountKey],tblAccounts[AccountName],"")</f>
        <v>Cost of Goods Sold</v>
      </c>
      <c r="K1248" s="8" t="str">
        <f>_xlfn.XLOOKUP(tblFinancials[[#This Row],[AccountKey]],tblAccounts[AccountKey],tblAccounts[FinancialStatement],"")</f>
        <v>Income Statement</v>
      </c>
      <c r="L1248" s="8" t="str">
        <f>_xlfn.XLOOKUP(tblFinancials[[#This Row],[AccountKey]],tblAccounts[AccountKey],tblAccounts[AccountCategory],"")</f>
        <v>Cost of Sales</v>
      </c>
      <c r="M1248" s="8" t="str">
        <f>_xlfn.XLOOKUP(tblFinancials[[#This Row],[AccountKey]],tblAccounts[AccountKey],tblAccounts[NormalBalance],"")</f>
        <v>Debit</v>
      </c>
      <c r="N1248" s="8" t="str">
        <f>_xlfn.XLOOKUP(tblFinancials[[#This Row],[DepartmentKey]],tblDepartments[DepartmentKey],tblDepartments[DepartmentName],"")</f>
        <v>Executive</v>
      </c>
      <c r="O1248" s="8" t="str">
        <f>_xlfn.XLOOKUP(tblFinancials[[#This Row],[BusinessUnitKey]],tblBusinessUnits[BusinessUnitKey],tblBusinessUnits[BusinessUnitName],"")</f>
        <v xml:space="preserve">Manufacturing </v>
      </c>
      <c r="P1248" s="8" t="str">
        <f>_xlfn.XLOOKUP(tblFinancials[[#This Row],[RegionKey]],tblRegions[RegionKey],tblRegions[RegionName],"")</f>
        <v>East</v>
      </c>
    </row>
    <row r="1249" spans="1:16">
      <c r="A1249">
        <v>20251101</v>
      </c>
      <c r="B1249">
        <v>6</v>
      </c>
      <c r="C1249">
        <v>4</v>
      </c>
      <c r="D1249">
        <v>1</v>
      </c>
      <c r="E1249">
        <v>14</v>
      </c>
      <c r="F1249" t="s">
        <v>92</v>
      </c>
      <c r="G1249">
        <v>-22858.17</v>
      </c>
      <c r="H1249">
        <f>_xlfn.XLOOKUP(tblFinancials[[#This Row],[DateKey]],tblCalendar[DateKey],tblCalendar[FullDate],"")</f>
        <v>45962</v>
      </c>
      <c r="I1249">
        <f>_xlfn.XLOOKUP(tblFinancials[[#This Row],[AccountKey]],tblAccounts[AccountKey],tblAccounts[AccountNumber],"")</f>
        <v>5000</v>
      </c>
      <c r="J1249" t="str">
        <f>_xlfn.XLOOKUP(tblFinancials[[#This Row],[AccountKey]],tblAccounts[AccountKey],tblAccounts[AccountName],"")</f>
        <v>Cost of Goods Sold</v>
      </c>
      <c r="K1249" s="8" t="str">
        <f>_xlfn.XLOOKUP(tblFinancials[[#This Row],[AccountKey]],tblAccounts[AccountKey],tblAccounts[FinancialStatement],"")</f>
        <v>Income Statement</v>
      </c>
      <c r="L1249" s="8" t="str">
        <f>_xlfn.XLOOKUP(tblFinancials[[#This Row],[AccountKey]],tblAccounts[AccountKey],tblAccounts[AccountCategory],"")</f>
        <v>Cost of Sales</v>
      </c>
      <c r="M1249" s="8" t="str">
        <f>_xlfn.XLOOKUP(tblFinancials[[#This Row],[AccountKey]],tblAccounts[AccountKey],tblAccounts[NormalBalance],"")</f>
        <v>Debit</v>
      </c>
      <c r="N1249" s="8" t="str">
        <f>_xlfn.XLOOKUP(tblFinancials[[#This Row],[DepartmentKey]],tblDepartments[DepartmentKey],tblDepartments[DepartmentName],"")</f>
        <v>Operations</v>
      </c>
      <c r="O1249" s="8" t="str">
        <f>_xlfn.XLOOKUP(tblFinancials[[#This Row],[BusinessUnitKey]],tblBusinessUnits[BusinessUnitKey],tblBusinessUnits[BusinessUnitName],"")</f>
        <v>E-Commerce</v>
      </c>
      <c r="P1249" s="8" t="str">
        <f>_xlfn.XLOOKUP(tblFinancials[[#This Row],[RegionKey]],tblRegions[RegionKey],tblRegions[RegionName],"")</f>
        <v>West</v>
      </c>
    </row>
    <row r="1250" spans="1:16">
      <c r="A1250">
        <v>20251101</v>
      </c>
      <c r="B1250">
        <v>6</v>
      </c>
      <c r="C1250">
        <v>4</v>
      </c>
      <c r="D1250">
        <v>4</v>
      </c>
      <c r="E1250">
        <v>24</v>
      </c>
      <c r="F1250" t="s">
        <v>92</v>
      </c>
      <c r="G1250">
        <v>-8065.78</v>
      </c>
      <c r="H1250">
        <f>_xlfn.XLOOKUP(tblFinancials[[#This Row],[DateKey]],tblCalendar[DateKey],tblCalendar[FullDate],"")</f>
        <v>45962</v>
      </c>
      <c r="I1250">
        <f>_xlfn.XLOOKUP(tblFinancials[[#This Row],[AccountKey]],tblAccounts[AccountKey],tblAccounts[AccountNumber],"")</f>
        <v>6900</v>
      </c>
      <c r="J1250" t="str">
        <f>_xlfn.XLOOKUP(tblFinancials[[#This Row],[AccountKey]],tblAccounts[AccountKey],tblAccounts[AccountName],"")</f>
        <v>Professional Services</v>
      </c>
      <c r="K1250" s="8" t="str">
        <f>_xlfn.XLOOKUP(tblFinancials[[#This Row],[AccountKey]],tblAccounts[AccountKey],tblAccounts[FinancialStatement],"")</f>
        <v>Income Statement</v>
      </c>
      <c r="L1250" s="8" t="str">
        <f>_xlfn.XLOOKUP(tblFinancials[[#This Row],[AccountKey]],tblAccounts[AccountKey],tblAccounts[AccountCategory],"")</f>
        <v>Operating Expense</v>
      </c>
      <c r="M1250" s="8" t="str">
        <f>_xlfn.XLOOKUP(tblFinancials[[#This Row],[AccountKey]],tblAccounts[AccountKey],tblAccounts[NormalBalance],"")</f>
        <v>Debit</v>
      </c>
      <c r="N1250" s="8" t="str">
        <f>_xlfn.XLOOKUP(tblFinancials[[#This Row],[DepartmentKey]],tblDepartments[DepartmentKey],tblDepartments[DepartmentName],"")</f>
        <v>Operations</v>
      </c>
      <c r="O1250" s="8" t="str">
        <f>_xlfn.XLOOKUP(tblFinancials[[#This Row],[BusinessUnitKey]],tblBusinessUnits[BusinessUnitKey],tblBusinessUnits[BusinessUnitName],"")</f>
        <v>E-Commerce</v>
      </c>
      <c r="P1250" s="8" t="str">
        <f>_xlfn.XLOOKUP(tblFinancials[[#This Row],[RegionKey]],tblRegions[RegionKey],tblRegions[RegionName],"")</f>
        <v>East</v>
      </c>
    </row>
    <row r="1251" spans="1:16">
      <c r="A1251">
        <v>20251101</v>
      </c>
      <c r="B1251">
        <v>3</v>
      </c>
      <c r="C1251">
        <v>4</v>
      </c>
      <c r="D1251">
        <v>4</v>
      </c>
      <c r="E1251">
        <v>19</v>
      </c>
      <c r="F1251" t="s">
        <v>92</v>
      </c>
      <c r="G1251">
        <v>-7404.36</v>
      </c>
      <c r="H1251">
        <f>_xlfn.XLOOKUP(tblFinancials[[#This Row],[DateKey]],tblCalendar[DateKey],tblCalendar[FullDate],"")</f>
        <v>45962</v>
      </c>
      <c r="I1251">
        <f>_xlfn.XLOOKUP(tblFinancials[[#This Row],[AccountKey]],tblAccounts[AccountKey],tblAccounts[AccountNumber],"")</f>
        <v>6300</v>
      </c>
      <c r="J1251" t="str">
        <f>_xlfn.XLOOKUP(tblFinancials[[#This Row],[AccountKey]],tblAccounts[AccountKey],tblAccounts[AccountName],"")</f>
        <v>Software Expense</v>
      </c>
      <c r="K1251" s="8" t="str">
        <f>_xlfn.XLOOKUP(tblFinancials[[#This Row],[AccountKey]],tblAccounts[AccountKey],tblAccounts[FinancialStatement],"")</f>
        <v>Income Statement</v>
      </c>
      <c r="L1251" s="8" t="str">
        <f>_xlfn.XLOOKUP(tblFinancials[[#This Row],[AccountKey]],tblAccounts[AccountKey],tblAccounts[AccountCategory],"")</f>
        <v>Operating Expense</v>
      </c>
      <c r="M1251" s="8" t="str">
        <f>_xlfn.XLOOKUP(tblFinancials[[#This Row],[AccountKey]],tblAccounts[AccountKey],tblAccounts[NormalBalance],"")</f>
        <v>Debit</v>
      </c>
      <c r="N1251" s="8" t="str">
        <f>_xlfn.XLOOKUP(tblFinancials[[#This Row],[DepartmentKey]],tblDepartments[DepartmentKey],tblDepartments[DepartmentName],"")</f>
        <v>Human Resources</v>
      </c>
      <c r="O1251" s="8" t="str">
        <f>_xlfn.XLOOKUP(tblFinancials[[#This Row],[BusinessUnitKey]],tblBusinessUnits[BusinessUnitKey],tblBusinessUnits[BusinessUnitName],"")</f>
        <v>E-Commerce</v>
      </c>
      <c r="P1251" s="8" t="str">
        <f>_xlfn.XLOOKUP(tblFinancials[[#This Row],[RegionKey]],tblRegions[RegionKey],tblRegions[RegionName],"")</f>
        <v>East</v>
      </c>
    </row>
    <row r="1252" spans="1:16">
      <c r="A1252">
        <v>20251101</v>
      </c>
      <c r="B1252">
        <v>6</v>
      </c>
      <c r="C1252">
        <v>4</v>
      </c>
      <c r="D1252">
        <v>1</v>
      </c>
      <c r="E1252">
        <v>24</v>
      </c>
      <c r="F1252" t="s">
        <v>92</v>
      </c>
      <c r="G1252">
        <v>-7297.54</v>
      </c>
      <c r="H1252">
        <f>_xlfn.XLOOKUP(tblFinancials[[#This Row],[DateKey]],tblCalendar[DateKey],tblCalendar[FullDate],"")</f>
        <v>45962</v>
      </c>
      <c r="I1252">
        <f>_xlfn.XLOOKUP(tblFinancials[[#This Row],[AccountKey]],tblAccounts[AccountKey],tblAccounts[AccountNumber],"")</f>
        <v>6900</v>
      </c>
      <c r="J1252" t="str">
        <f>_xlfn.XLOOKUP(tblFinancials[[#This Row],[AccountKey]],tblAccounts[AccountKey],tblAccounts[AccountName],"")</f>
        <v>Professional Services</v>
      </c>
      <c r="K1252" s="8" t="str">
        <f>_xlfn.XLOOKUP(tblFinancials[[#This Row],[AccountKey]],tblAccounts[AccountKey],tblAccounts[FinancialStatement],"")</f>
        <v>Income Statement</v>
      </c>
      <c r="L1252" s="8" t="str">
        <f>_xlfn.XLOOKUP(tblFinancials[[#This Row],[AccountKey]],tblAccounts[AccountKey],tblAccounts[AccountCategory],"")</f>
        <v>Operating Expense</v>
      </c>
      <c r="M1252" s="8" t="str">
        <f>_xlfn.XLOOKUP(tblFinancials[[#This Row],[AccountKey]],tblAccounts[AccountKey],tblAccounts[NormalBalance],"")</f>
        <v>Debit</v>
      </c>
      <c r="N1252" s="8" t="str">
        <f>_xlfn.XLOOKUP(tblFinancials[[#This Row],[DepartmentKey]],tblDepartments[DepartmentKey],tblDepartments[DepartmentName],"")</f>
        <v>Operations</v>
      </c>
      <c r="O1252" s="8" t="str">
        <f>_xlfn.XLOOKUP(tblFinancials[[#This Row],[BusinessUnitKey]],tblBusinessUnits[BusinessUnitKey],tblBusinessUnits[BusinessUnitName],"")</f>
        <v>E-Commerce</v>
      </c>
      <c r="P1252" s="8" t="str">
        <f>_xlfn.XLOOKUP(tblFinancials[[#This Row],[RegionKey]],tblRegions[RegionKey],tblRegions[RegionName],"")</f>
        <v>West</v>
      </c>
    </row>
    <row r="1253" spans="1:16">
      <c r="A1253">
        <v>20251101</v>
      </c>
      <c r="B1253">
        <v>5</v>
      </c>
      <c r="C1253">
        <v>4</v>
      </c>
      <c r="D1253">
        <v>2</v>
      </c>
      <c r="E1253">
        <v>23</v>
      </c>
      <c r="F1253" t="s">
        <v>92</v>
      </c>
      <c r="G1253">
        <v>-8247.0499999999993</v>
      </c>
      <c r="H1253">
        <f>_xlfn.XLOOKUP(tblFinancials[[#This Row],[DateKey]],tblCalendar[DateKey],tblCalendar[FullDate],"")</f>
        <v>45962</v>
      </c>
      <c r="I1253">
        <f>_xlfn.XLOOKUP(tblFinancials[[#This Row],[AccountKey]],tblAccounts[AccountKey],tblAccounts[AccountNumber],"")</f>
        <v>6800</v>
      </c>
      <c r="J1253" t="str">
        <f>_xlfn.XLOOKUP(tblFinancials[[#This Row],[AccountKey]],tblAccounts[AccountKey],tblAccounts[AccountName],"")</f>
        <v>Travel Expense</v>
      </c>
      <c r="K1253" s="8" t="str">
        <f>_xlfn.XLOOKUP(tblFinancials[[#This Row],[AccountKey]],tblAccounts[AccountKey],tblAccounts[FinancialStatement],"")</f>
        <v>Income Statement</v>
      </c>
      <c r="L1253" s="8" t="str">
        <f>_xlfn.XLOOKUP(tblFinancials[[#This Row],[AccountKey]],tblAccounts[AccountKey],tblAccounts[AccountCategory],"")</f>
        <v>Operating Expense</v>
      </c>
      <c r="M1253" s="8" t="str">
        <f>_xlfn.XLOOKUP(tblFinancials[[#This Row],[AccountKey]],tblAccounts[AccountKey],tblAccounts[NormalBalance],"")</f>
        <v>Debit</v>
      </c>
      <c r="N1253" s="8" t="str">
        <f>_xlfn.XLOOKUP(tblFinancials[[#This Row],[DepartmentKey]],tblDepartments[DepartmentKey],tblDepartments[DepartmentName],"")</f>
        <v>Marketing</v>
      </c>
      <c r="O1253" s="8" t="str">
        <f>_xlfn.XLOOKUP(tblFinancials[[#This Row],[BusinessUnitKey]],tblBusinessUnits[BusinessUnitKey],tblBusinessUnits[BusinessUnitName],"")</f>
        <v>E-Commerce</v>
      </c>
      <c r="P1253" s="8" t="str">
        <f>_xlfn.XLOOKUP(tblFinancials[[#This Row],[RegionKey]],tblRegions[RegionKey],tblRegions[RegionName],"")</f>
        <v>Midwest</v>
      </c>
    </row>
    <row r="1254" spans="1:16">
      <c r="A1254">
        <v>20251101</v>
      </c>
      <c r="B1254">
        <v>4</v>
      </c>
      <c r="C1254">
        <v>1</v>
      </c>
      <c r="D1254">
        <v>1</v>
      </c>
      <c r="E1254">
        <v>22</v>
      </c>
      <c r="F1254" t="s">
        <v>92</v>
      </c>
      <c r="G1254">
        <v>-8714</v>
      </c>
      <c r="H1254">
        <f>_xlfn.XLOOKUP(tblFinancials[[#This Row],[DateKey]],tblCalendar[DateKey],tblCalendar[FullDate],"")</f>
        <v>45962</v>
      </c>
      <c r="I1254">
        <f>_xlfn.XLOOKUP(tblFinancials[[#This Row],[AccountKey]],tblAccounts[AccountKey],tblAccounts[AccountNumber],"")</f>
        <v>6700</v>
      </c>
      <c r="J1254" t="str">
        <f>_xlfn.XLOOKUP(tblFinancials[[#This Row],[AccountKey]],tblAccounts[AccountKey],tblAccounts[AccountName],"")</f>
        <v>Insurance Expense</v>
      </c>
      <c r="K1254" s="8" t="str">
        <f>_xlfn.XLOOKUP(tblFinancials[[#This Row],[AccountKey]],tblAccounts[AccountKey],tblAccounts[FinancialStatement],"")</f>
        <v>Income Statement</v>
      </c>
      <c r="L1254" s="8" t="str">
        <f>_xlfn.XLOOKUP(tblFinancials[[#This Row],[AccountKey]],tblAccounts[AccountKey],tblAccounts[AccountCategory],"")</f>
        <v>Operating Expense</v>
      </c>
      <c r="M1254" s="8" t="str">
        <f>_xlfn.XLOOKUP(tblFinancials[[#This Row],[AccountKey]],tblAccounts[AccountKey],tblAccounts[NormalBalance],"")</f>
        <v>Debit</v>
      </c>
      <c r="N1254" s="8" t="str">
        <f>_xlfn.XLOOKUP(tblFinancials[[#This Row],[DepartmentKey]],tblDepartments[DepartmentKey],tblDepartments[DepartmentName],"")</f>
        <v>Sales</v>
      </c>
      <c r="O1254" s="8" t="str">
        <f>_xlfn.XLOOKUP(tblFinancials[[#This Row],[BusinessUnitKey]],tblBusinessUnits[BusinessUnitKey],tblBusinessUnits[BusinessUnitName],"")</f>
        <v xml:space="preserve">Manufacturing </v>
      </c>
      <c r="P1254" s="8" t="str">
        <f>_xlfn.XLOOKUP(tblFinancials[[#This Row],[RegionKey]],tblRegions[RegionKey],tblRegions[RegionName],"")</f>
        <v>West</v>
      </c>
    </row>
    <row r="1255" spans="1:16">
      <c r="A1255">
        <v>20251101</v>
      </c>
      <c r="B1255">
        <v>7</v>
      </c>
      <c r="C1255">
        <v>3</v>
      </c>
      <c r="D1255">
        <v>2</v>
      </c>
      <c r="E1255">
        <v>19</v>
      </c>
      <c r="F1255" t="s">
        <v>92</v>
      </c>
      <c r="G1255">
        <v>-7668.43</v>
      </c>
      <c r="H1255">
        <f>_xlfn.XLOOKUP(tblFinancials[[#This Row],[DateKey]],tblCalendar[DateKey],tblCalendar[FullDate],"")</f>
        <v>45962</v>
      </c>
      <c r="I1255">
        <f>_xlfn.XLOOKUP(tblFinancials[[#This Row],[AccountKey]],tblAccounts[AccountKey],tblAccounts[AccountNumber],"")</f>
        <v>6300</v>
      </c>
      <c r="J1255" t="str">
        <f>_xlfn.XLOOKUP(tblFinancials[[#This Row],[AccountKey]],tblAccounts[AccountKey],tblAccounts[AccountName],"")</f>
        <v>Software Expense</v>
      </c>
      <c r="K1255" s="8" t="str">
        <f>_xlfn.XLOOKUP(tblFinancials[[#This Row],[AccountKey]],tblAccounts[AccountKey],tblAccounts[FinancialStatement],"")</f>
        <v>Income Statement</v>
      </c>
      <c r="L1255" s="8" t="str">
        <f>_xlfn.XLOOKUP(tblFinancials[[#This Row],[AccountKey]],tblAccounts[AccountKey],tblAccounts[AccountCategory],"")</f>
        <v>Operating Expense</v>
      </c>
      <c r="M1255" s="8" t="str">
        <f>_xlfn.XLOOKUP(tblFinancials[[#This Row],[AccountKey]],tblAccounts[AccountKey],tblAccounts[NormalBalance],"")</f>
        <v>Debit</v>
      </c>
      <c r="N1255" s="8" t="str">
        <f>_xlfn.XLOOKUP(tblFinancials[[#This Row],[DepartmentKey]],tblDepartments[DepartmentKey],tblDepartments[DepartmentName],"")</f>
        <v>Information Technology</v>
      </c>
      <c r="O1255" s="8" t="str">
        <f>_xlfn.XLOOKUP(tblFinancials[[#This Row],[BusinessUnitKey]],tblBusinessUnits[BusinessUnitKey],tblBusinessUnits[BusinessUnitName],"")</f>
        <v>Retail</v>
      </c>
      <c r="P1255" s="8" t="str">
        <f>_xlfn.XLOOKUP(tblFinancials[[#This Row],[RegionKey]],tblRegions[RegionKey],tblRegions[RegionName],"")</f>
        <v>Midwest</v>
      </c>
    </row>
    <row r="1256" spans="1:16">
      <c r="A1256">
        <v>20251101</v>
      </c>
      <c r="B1256">
        <v>3</v>
      </c>
      <c r="C1256">
        <v>4</v>
      </c>
      <c r="D1256">
        <v>3</v>
      </c>
      <c r="E1256">
        <v>16</v>
      </c>
      <c r="F1256" t="s">
        <v>92</v>
      </c>
      <c r="G1256">
        <v>-7774.51</v>
      </c>
      <c r="H1256">
        <f>_xlfn.XLOOKUP(tblFinancials[[#This Row],[DateKey]],tblCalendar[DateKey],tblCalendar[FullDate],"")</f>
        <v>45962</v>
      </c>
      <c r="I1256">
        <f>_xlfn.XLOOKUP(tblFinancials[[#This Row],[AccountKey]],tblAccounts[AccountKey],tblAccounts[AccountNumber],"")</f>
        <v>6110</v>
      </c>
      <c r="J1256" t="str">
        <f>_xlfn.XLOOKUP(tblFinancials[[#This Row],[AccountKey]],tblAccounts[AccountKey],tblAccounts[AccountName],"")</f>
        <v>Payroll Taxes</v>
      </c>
      <c r="K1256" s="8" t="str">
        <f>_xlfn.XLOOKUP(tblFinancials[[#This Row],[AccountKey]],tblAccounts[AccountKey],tblAccounts[FinancialStatement],"")</f>
        <v>Income Statement</v>
      </c>
      <c r="L1256" s="8" t="str">
        <f>_xlfn.XLOOKUP(tblFinancials[[#This Row],[AccountKey]],tblAccounts[AccountKey],tblAccounts[AccountCategory],"")</f>
        <v>Operating Expense</v>
      </c>
      <c r="M1256" s="8" t="str">
        <f>_xlfn.XLOOKUP(tblFinancials[[#This Row],[AccountKey]],tblAccounts[AccountKey],tblAccounts[NormalBalance],"")</f>
        <v>Debit</v>
      </c>
      <c r="N1256" s="8" t="str">
        <f>_xlfn.XLOOKUP(tblFinancials[[#This Row],[DepartmentKey]],tblDepartments[DepartmentKey],tblDepartments[DepartmentName],"")</f>
        <v>Human Resources</v>
      </c>
      <c r="O1256" s="8" t="str">
        <f>_xlfn.XLOOKUP(tblFinancials[[#This Row],[BusinessUnitKey]],tblBusinessUnits[BusinessUnitKey],tblBusinessUnits[BusinessUnitName],"")</f>
        <v>E-Commerce</v>
      </c>
      <c r="P1256" s="8" t="str">
        <f>_xlfn.XLOOKUP(tblFinancials[[#This Row],[RegionKey]],tblRegions[RegionKey],tblRegions[RegionName],"")</f>
        <v>South</v>
      </c>
    </row>
    <row r="1257" spans="1:16">
      <c r="A1257">
        <v>20251101</v>
      </c>
      <c r="B1257">
        <v>8</v>
      </c>
      <c r="C1257">
        <v>1</v>
      </c>
      <c r="D1257">
        <v>4</v>
      </c>
      <c r="E1257">
        <v>17</v>
      </c>
      <c r="F1257" t="s">
        <v>92</v>
      </c>
      <c r="G1257">
        <v>-7989.98</v>
      </c>
      <c r="H1257">
        <f>_xlfn.XLOOKUP(tblFinancials[[#This Row],[DateKey]],tblCalendar[DateKey],tblCalendar[FullDate],"")</f>
        <v>45962</v>
      </c>
      <c r="I1257">
        <f>_xlfn.XLOOKUP(tblFinancials[[#This Row],[AccountKey]],tblAccounts[AccountKey],tblAccounts[AccountNumber],"")</f>
        <v>6120</v>
      </c>
      <c r="J1257" t="str">
        <f>_xlfn.XLOOKUP(tblFinancials[[#This Row],[AccountKey]],tblAccounts[AccountKey],tblAccounts[AccountName],"")</f>
        <v>Employee Benefits</v>
      </c>
      <c r="K1257" s="8" t="str">
        <f>_xlfn.XLOOKUP(tblFinancials[[#This Row],[AccountKey]],tblAccounts[AccountKey],tblAccounts[FinancialStatement],"")</f>
        <v>Income Statement</v>
      </c>
      <c r="L1257" s="8" t="str">
        <f>_xlfn.XLOOKUP(tblFinancials[[#This Row],[AccountKey]],tblAccounts[AccountKey],tblAccounts[AccountCategory],"")</f>
        <v>Operating Expense</v>
      </c>
      <c r="M1257" s="8" t="str">
        <f>_xlfn.XLOOKUP(tblFinancials[[#This Row],[AccountKey]],tblAccounts[AccountKey],tblAccounts[NormalBalance],"")</f>
        <v>Debit</v>
      </c>
      <c r="N1257" s="8" t="str">
        <f>_xlfn.XLOOKUP(tblFinancials[[#This Row],[DepartmentKey]],tblDepartments[DepartmentKey],tblDepartments[DepartmentName],"")</f>
        <v>Customer Service</v>
      </c>
      <c r="O1257" s="8" t="str">
        <f>_xlfn.XLOOKUP(tblFinancials[[#This Row],[BusinessUnitKey]],tblBusinessUnits[BusinessUnitKey],tblBusinessUnits[BusinessUnitName],"")</f>
        <v xml:space="preserve">Manufacturing </v>
      </c>
      <c r="P1257" s="8" t="str">
        <f>_xlfn.XLOOKUP(tblFinancials[[#This Row],[RegionKey]],tblRegions[RegionKey],tblRegions[RegionName],"")</f>
        <v>East</v>
      </c>
    </row>
    <row r="1258" spans="1:16">
      <c r="A1258">
        <v>20251101</v>
      </c>
      <c r="B1258">
        <v>8</v>
      </c>
      <c r="C1258">
        <v>4</v>
      </c>
      <c r="D1258">
        <v>4</v>
      </c>
      <c r="E1258">
        <v>21</v>
      </c>
      <c r="F1258" t="s">
        <v>92</v>
      </c>
      <c r="G1258">
        <v>-8656.0300000000007</v>
      </c>
      <c r="H1258">
        <f>_xlfn.XLOOKUP(tblFinancials[[#This Row],[DateKey]],tblCalendar[DateKey],tblCalendar[FullDate],"")</f>
        <v>45962</v>
      </c>
      <c r="I1258">
        <f>_xlfn.XLOOKUP(tblFinancials[[#This Row],[AccountKey]],tblAccounts[AccountKey],tblAccounts[AccountNumber],"")</f>
        <v>6600</v>
      </c>
      <c r="J1258" t="str">
        <f>_xlfn.XLOOKUP(tblFinancials[[#This Row],[AccountKey]],tblAccounts[AccountKey],tblAccounts[AccountName],"")</f>
        <v>Utilities Expense</v>
      </c>
      <c r="K1258" s="8" t="str">
        <f>_xlfn.XLOOKUP(tblFinancials[[#This Row],[AccountKey]],tblAccounts[AccountKey],tblAccounts[FinancialStatement],"")</f>
        <v>Income Statement</v>
      </c>
      <c r="L1258" s="8" t="str">
        <f>_xlfn.XLOOKUP(tblFinancials[[#This Row],[AccountKey]],tblAccounts[AccountKey],tblAccounts[AccountCategory],"")</f>
        <v>Operating Expense</v>
      </c>
      <c r="M1258" s="8" t="str">
        <f>_xlfn.XLOOKUP(tblFinancials[[#This Row],[AccountKey]],tblAccounts[AccountKey],tblAccounts[NormalBalance],"")</f>
        <v>Debit</v>
      </c>
      <c r="N1258" s="8" t="str">
        <f>_xlfn.XLOOKUP(tblFinancials[[#This Row],[DepartmentKey]],tblDepartments[DepartmentKey],tblDepartments[DepartmentName],"")</f>
        <v>Customer Service</v>
      </c>
      <c r="O1258" s="8" t="str">
        <f>_xlfn.XLOOKUP(tblFinancials[[#This Row],[BusinessUnitKey]],tblBusinessUnits[BusinessUnitKey],tblBusinessUnits[BusinessUnitName],"")</f>
        <v>E-Commerce</v>
      </c>
      <c r="P1258" s="8" t="str">
        <f>_xlfn.XLOOKUP(tblFinancials[[#This Row],[RegionKey]],tblRegions[RegionKey],tblRegions[RegionName],"")</f>
        <v>East</v>
      </c>
    </row>
    <row r="1259" spans="1:16">
      <c r="A1259">
        <v>20251101</v>
      </c>
      <c r="B1259">
        <v>4</v>
      </c>
      <c r="C1259">
        <v>3</v>
      </c>
      <c r="D1259">
        <v>1</v>
      </c>
      <c r="E1259">
        <v>23</v>
      </c>
      <c r="F1259" t="s">
        <v>92</v>
      </c>
      <c r="G1259">
        <v>-9145.3700000000008</v>
      </c>
      <c r="H1259">
        <f>_xlfn.XLOOKUP(tblFinancials[[#This Row],[DateKey]],tblCalendar[DateKey],tblCalendar[FullDate],"")</f>
        <v>45962</v>
      </c>
      <c r="I1259">
        <f>_xlfn.XLOOKUP(tblFinancials[[#This Row],[AccountKey]],tblAccounts[AccountKey],tblAccounts[AccountNumber],"")</f>
        <v>6800</v>
      </c>
      <c r="J1259" t="str">
        <f>_xlfn.XLOOKUP(tblFinancials[[#This Row],[AccountKey]],tblAccounts[AccountKey],tblAccounts[AccountName],"")</f>
        <v>Travel Expense</v>
      </c>
      <c r="K1259" s="8" t="str">
        <f>_xlfn.XLOOKUP(tblFinancials[[#This Row],[AccountKey]],tblAccounts[AccountKey],tblAccounts[FinancialStatement],"")</f>
        <v>Income Statement</v>
      </c>
      <c r="L1259" s="8" t="str">
        <f>_xlfn.XLOOKUP(tblFinancials[[#This Row],[AccountKey]],tblAccounts[AccountKey],tblAccounts[AccountCategory],"")</f>
        <v>Operating Expense</v>
      </c>
      <c r="M1259" s="8" t="str">
        <f>_xlfn.XLOOKUP(tblFinancials[[#This Row],[AccountKey]],tblAccounts[AccountKey],tblAccounts[NormalBalance],"")</f>
        <v>Debit</v>
      </c>
      <c r="N1259" s="8" t="str">
        <f>_xlfn.XLOOKUP(tblFinancials[[#This Row],[DepartmentKey]],tblDepartments[DepartmentKey],tblDepartments[DepartmentName],"")</f>
        <v>Sales</v>
      </c>
      <c r="O1259" s="8" t="str">
        <f>_xlfn.XLOOKUP(tblFinancials[[#This Row],[BusinessUnitKey]],tblBusinessUnits[BusinessUnitKey],tblBusinessUnits[BusinessUnitName],"")</f>
        <v>Retail</v>
      </c>
      <c r="P1259" s="8" t="str">
        <f>_xlfn.XLOOKUP(tblFinancials[[#This Row],[RegionKey]],tblRegions[RegionKey],tblRegions[RegionName],"")</f>
        <v>West</v>
      </c>
    </row>
    <row r="1260" spans="1:16">
      <c r="A1260">
        <v>20251101</v>
      </c>
      <c r="B1260">
        <v>4</v>
      </c>
      <c r="C1260">
        <v>4</v>
      </c>
      <c r="D1260">
        <v>4</v>
      </c>
      <c r="E1260">
        <v>20</v>
      </c>
      <c r="F1260" t="s">
        <v>92</v>
      </c>
      <c r="G1260">
        <v>-7891.85</v>
      </c>
      <c r="H1260">
        <f>_xlfn.XLOOKUP(tblFinancials[[#This Row],[DateKey]],tblCalendar[DateKey],tblCalendar[FullDate],"")</f>
        <v>45962</v>
      </c>
      <c r="I1260">
        <f>_xlfn.XLOOKUP(tblFinancials[[#This Row],[AccountKey]],tblAccounts[AccountKey],tblAccounts[AccountNumber],"")</f>
        <v>6500</v>
      </c>
      <c r="J1260" t="str">
        <f>_xlfn.XLOOKUP(tblFinancials[[#This Row],[AccountKey]],tblAccounts[AccountKey],tblAccounts[AccountName],"")</f>
        <v>Rent Expense</v>
      </c>
      <c r="K1260" s="8" t="str">
        <f>_xlfn.XLOOKUP(tblFinancials[[#This Row],[AccountKey]],tblAccounts[AccountKey],tblAccounts[FinancialStatement],"")</f>
        <v>Income Statement</v>
      </c>
      <c r="L1260" s="8" t="str">
        <f>_xlfn.XLOOKUP(tblFinancials[[#This Row],[AccountKey]],tblAccounts[AccountKey],tblAccounts[AccountCategory],"")</f>
        <v>Operating Expense</v>
      </c>
      <c r="M1260" s="8" t="str">
        <f>_xlfn.XLOOKUP(tblFinancials[[#This Row],[AccountKey]],tblAccounts[AccountKey],tblAccounts[NormalBalance],"")</f>
        <v>Debit</v>
      </c>
      <c r="N1260" s="8" t="str">
        <f>_xlfn.XLOOKUP(tblFinancials[[#This Row],[DepartmentKey]],tblDepartments[DepartmentKey],tblDepartments[DepartmentName],"")</f>
        <v>Sales</v>
      </c>
      <c r="O1260" s="8" t="str">
        <f>_xlfn.XLOOKUP(tblFinancials[[#This Row],[BusinessUnitKey]],tblBusinessUnits[BusinessUnitKey],tblBusinessUnits[BusinessUnitName],"")</f>
        <v>E-Commerce</v>
      </c>
      <c r="P1260" s="8" t="str">
        <f>_xlfn.XLOOKUP(tblFinancials[[#This Row],[RegionKey]],tblRegions[RegionKey],tblRegions[RegionName],"")</f>
        <v>East</v>
      </c>
    </row>
    <row r="1261" spans="1:16">
      <c r="A1261">
        <v>20251101</v>
      </c>
      <c r="B1261">
        <v>8</v>
      </c>
      <c r="C1261">
        <v>2</v>
      </c>
      <c r="D1261">
        <v>2</v>
      </c>
      <c r="E1261">
        <v>24</v>
      </c>
      <c r="F1261" t="s">
        <v>92</v>
      </c>
      <c r="G1261">
        <v>-11885.84</v>
      </c>
      <c r="H1261">
        <f>_xlfn.XLOOKUP(tblFinancials[[#This Row],[DateKey]],tblCalendar[DateKey],tblCalendar[FullDate],"")</f>
        <v>45962</v>
      </c>
      <c r="I1261">
        <f>_xlfn.XLOOKUP(tblFinancials[[#This Row],[AccountKey]],tblAccounts[AccountKey],tblAccounts[AccountNumber],"")</f>
        <v>6900</v>
      </c>
      <c r="J1261" t="str">
        <f>_xlfn.XLOOKUP(tblFinancials[[#This Row],[AccountKey]],tblAccounts[AccountKey],tblAccounts[AccountName],"")</f>
        <v>Professional Services</v>
      </c>
      <c r="K1261" s="8" t="str">
        <f>_xlfn.XLOOKUP(tblFinancials[[#This Row],[AccountKey]],tblAccounts[AccountKey],tblAccounts[FinancialStatement],"")</f>
        <v>Income Statement</v>
      </c>
      <c r="L1261" s="8" t="str">
        <f>_xlfn.XLOOKUP(tblFinancials[[#This Row],[AccountKey]],tblAccounts[AccountKey],tblAccounts[AccountCategory],"")</f>
        <v>Operating Expense</v>
      </c>
      <c r="M1261" s="8" t="str">
        <f>_xlfn.XLOOKUP(tblFinancials[[#This Row],[AccountKey]],tblAccounts[AccountKey],tblAccounts[NormalBalance],"")</f>
        <v>Debit</v>
      </c>
      <c r="N1261" s="8" t="str">
        <f>_xlfn.XLOOKUP(tblFinancials[[#This Row],[DepartmentKey]],tblDepartments[DepartmentKey],tblDepartments[DepartmentName],"")</f>
        <v>Customer Service</v>
      </c>
      <c r="O1261" s="8" t="str">
        <f>_xlfn.XLOOKUP(tblFinancials[[#This Row],[BusinessUnitKey]],tblBusinessUnits[BusinessUnitKey],tblBusinessUnits[BusinessUnitName],"")</f>
        <v>Wholesale</v>
      </c>
      <c r="P1261" s="8" t="str">
        <f>_xlfn.XLOOKUP(tblFinancials[[#This Row],[RegionKey]],tblRegions[RegionKey],tblRegions[RegionName],"")</f>
        <v>Midwest</v>
      </c>
    </row>
    <row r="1262" spans="1:16">
      <c r="A1262">
        <v>20251201</v>
      </c>
      <c r="B1262">
        <v>4</v>
      </c>
      <c r="C1262">
        <v>2</v>
      </c>
      <c r="D1262">
        <v>1</v>
      </c>
      <c r="E1262">
        <v>11</v>
      </c>
      <c r="F1262" t="s">
        <v>92</v>
      </c>
      <c r="G1262">
        <v>38727.11</v>
      </c>
      <c r="H1262">
        <f>_xlfn.XLOOKUP(tblFinancials[[#This Row],[DateKey]],tblCalendar[DateKey],tblCalendar[FullDate],"")</f>
        <v>45992</v>
      </c>
      <c r="I1262">
        <f>_xlfn.XLOOKUP(tblFinancials[[#This Row],[AccountKey]],tblAccounts[AccountKey],tblAccounts[AccountNumber],"")</f>
        <v>4000</v>
      </c>
      <c r="J1262" t="str">
        <f>_xlfn.XLOOKUP(tblFinancials[[#This Row],[AccountKey]],tblAccounts[AccountKey],tblAccounts[AccountName],"")</f>
        <v>Product Revenue</v>
      </c>
      <c r="K1262" s="8" t="str">
        <f>_xlfn.XLOOKUP(tblFinancials[[#This Row],[AccountKey]],tblAccounts[AccountKey],tblAccounts[FinancialStatement],"")</f>
        <v>Income Statement</v>
      </c>
      <c r="L1262" s="8" t="str">
        <f>_xlfn.XLOOKUP(tblFinancials[[#This Row],[AccountKey]],tblAccounts[AccountKey],tblAccounts[AccountCategory],"")</f>
        <v>Revenue</v>
      </c>
      <c r="M1262" s="8" t="str">
        <f>_xlfn.XLOOKUP(tblFinancials[[#This Row],[AccountKey]],tblAccounts[AccountKey],tblAccounts[NormalBalance],"")</f>
        <v>Credit</v>
      </c>
      <c r="N1262" s="8" t="str">
        <f>_xlfn.XLOOKUP(tblFinancials[[#This Row],[DepartmentKey]],tblDepartments[DepartmentKey],tblDepartments[DepartmentName],"")</f>
        <v>Sales</v>
      </c>
      <c r="O1262" s="8" t="str">
        <f>_xlfn.XLOOKUP(tblFinancials[[#This Row],[BusinessUnitKey]],tblBusinessUnits[BusinessUnitKey],tblBusinessUnits[BusinessUnitName],"")</f>
        <v>Wholesale</v>
      </c>
      <c r="P1262" s="8" t="str">
        <f>_xlfn.XLOOKUP(tblFinancials[[#This Row],[RegionKey]],tblRegions[RegionKey],tblRegions[RegionName],"")</f>
        <v>West</v>
      </c>
    </row>
    <row r="1263" spans="1:16">
      <c r="A1263">
        <v>20251201</v>
      </c>
      <c r="B1263">
        <v>2</v>
      </c>
      <c r="C1263">
        <v>2</v>
      </c>
      <c r="D1263">
        <v>1</v>
      </c>
      <c r="E1263">
        <v>13</v>
      </c>
      <c r="F1263" t="s">
        <v>92</v>
      </c>
      <c r="G1263">
        <v>38575.74</v>
      </c>
      <c r="H1263">
        <f>_xlfn.XLOOKUP(tblFinancials[[#This Row],[DateKey]],tblCalendar[DateKey],tblCalendar[FullDate],"")</f>
        <v>45992</v>
      </c>
      <c r="I1263">
        <f>_xlfn.XLOOKUP(tblFinancials[[#This Row],[AccountKey]],tblAccounts[AccountKey],tblAccounts[AccountNumber],"")</f>
        <v>4020</v>
      </c>
      <c r="J1263" t="str">
        <f>_xlfn.XLOOKUP(tblFinancials[[#This Row],[AccountKey]],tblAccounts[AccountKey],tblAccounts[AccountName],"")</f>
        <v>Online Revenue</v>
      </c>
      <c r="K1263" s="8" t="str">
        <f>_xlfn.XLOOKUP(tblFinancials[[#This Row],[AccountKey]],tblAccounts[AccountKey],tblAccounts[FinancialStatement],"")</f>
        <v>Income Statement</v>
      </c>
      <c r="L1263" s="8" t="str">
        <f>_xlfn.XLOOKUP(tblFinancials[[#This Row],[AccountKey]],tblAccounts[AccountKey],tblAccounts[AccountCategory],"")</f>
        <v>Revenue</v>
      </c>
      <c r="M1263" s="8" t="str">
        <f>_xlfn.XLOOKUP(tblFinancials[[#This Row],[AccountKey]],tblAccounts[AccountKey],tblAccounts[NormalBalance],"")</f>
        <v>Credit</v>
      </c>
      <c r="N1263" s="8" t="str">
        <f>_xlfn.XLOOKUP(tblFinancials[[#This Row],[DepartmentKey]],tblDepartments[DepartmentKey],tblDepartments[DepartmentName],"")</f>
        <v>Finance</v>
      </c>
      <c r="O1263" s="8" t="str">
        <f>_xlfn.XLOOKUP(tblFinancials[[#This Row],[BusinessUnitKey]],tblBusinessUnits[BusinessUnitKey],tblBusinessUnits[BusinessUnitName],"")</f>
        <v>Wholesale</v>
      </c>
      <c r="P1263" s="8" t="str">
        <f>_xlfn.XLOOKUP(tblFinancials[[#This Row],[RegionKey]],tblRegions[RegionKey],tblRegions[RegionName],"")</f>
        <v>West</v>
      </c>
    </row>
    <row r="1264" spans="1:16">
      <c r="A1264">
        <v>20251201</v>
      </c>
      <c r="B1264">
        <v>8</v>
      </c>
      <c r="C1264">
        <v>2</v>
      </c>
      <c r="D1264">
        <v>4</v>
      </c>
      <c r="E1264">
        <v>11</v>
      </c>
      <c r="F1264" t="s">
        <v>92</v>
      </c>
      <c r="G1264">
        <v>39236.910000000003</v>
      </c>
      <c r="H1264">
        <f>_xlfn.XLOOKUP(tblFinancials[[#This Row],[DateKey]],tblCalendar[DateKey],tblCalendar[FullDate],"")</f>
        <v>45992</v>
      </c>
      <c r="I1264">
        <f>_xlfn.XLOOKUP(tblFinancials[[#This Row],[AccountKey]],tblAccounts[AccountKey],tblAccounts[AccountNumber],"")</f>
        <v>4000</v>
      </c>
      <c r="J1264" t="str">
        <f>_xlfn.XLOOKUP(tblFinancials[[#This Row],[AccountKey]],tblAccounts[AccountKey],tblAccounts[AccountName],"")</f>
        <v>Product Revenue</v>
      </c>
      <c r="K1264" s="8" t="str">
        <f>_xlfn.XLOOKUP(tblFinancials[[#This Row],[AccountKey]],tblAccounts[AccountKey],tblAccounts[FinancialStatement],"")</f>
        <v>Income Statement</v>
      </c>
      <c r="L1264" s="8" t="str">
        <f>_xlfn.XLOOKUP(tblFinancials[[#This Row],[AccountKey]],tblAccounts[AccountKey],tblAccounts[AccountCategory],"")</f>
        <v>Revenue</v>
      </c>
      <c r="M1264" s="8" t="str">
        <f>_xlfn.XLOOKUP(tblFinancials[[#This Row],[AccountKey]],tblAccounts[AccountKey],tblAccounts[NormalBalance],"")</f>
        <v>Credit</v>
      </c>
      <c r="N1264" s="8" t="str">
        <f>_xlfn.XLOOKUP(tblFinancials[[#This Row],[DepartmentKey]],tblDepartments[DepartmentKey],tblDepartments[DepartmentName],"")</f>
        <v>Customer Service</v>
      </c>
      <c r="O1264" s="8" t="str">
        <f>_xlfn.XLOOKUP(tblFinancials[[#This Row],[BusinessUnitKey]],tblBusinessUnits[BusinessUnitKey],tblBusinessUnits[BusinessUnitName],"")</f>
        <v>Wholesale</v>
      </c>
      <c r="P1264" s="8" t="str">
        <f>_xlfn.XLOOKUP(tblFinancials[[#This Row],[RegionKey]],tblRegions[RegionKey],tblRegions[RegionName],"")</f>
        <v>East</v>
      </c>
    </row>
    <row r="1265" spans="1:16">
      <c r="A1265">
        <v>20251201</v>
      </c>
      <c r="B1265">
        <v>4</v>
      </c>
      <c r="C1265">
        <v>1</v>
      </c>
      <c r="D1265">
        <v>1</v>
      </c>
      <c r="E1265">
        <v>12</v>
      </c>
      <c r="F1265" t="s">
        <v>92</v>
      </c>
      <c r="G1265">
        <v>38436.35</v>
      </c>
      <c r="H1265">
        <f>_xlfn.XLOOKUP(tblFinancials[[#This Row],[DateKey]],tblCalendar[DateKey],tblCalendar[FullDate],"")</f>
        <v>45992</v>
      </c>
      <c r="I1265">
        <f>_xlfn.XLOOKUP(tblFinancials[[#This Row],[AccountKey]],tblAccounts[AccountKey],tblAccounts[AccountNumber],"")</f>
        <v>4010</v>
      </c>
      <c r="J1265" t="str">
        <f>_xlfn.XLOOKUP(tblFinancials[[#This Row],[AccountKey]],tblAccounts[AccountKey],tblAccounts[AccountName],"")</f>
        <v>Service Revenue</v>
      </c>
      <c r="K1265" s="8" t="str">
        <f>_xlfn.XLOOKUP(tblFinancials[[#This Row],[AccountKey]],tblAccounts[AccountKey],tblAccounts[FinancialStatement],"")</f>
        <v>Income Statement</v>
      </c>
      <c r="L1265" s="8" t="str">
        <f>_xlfn.XLOOKUP(tblFinancials[[#This Row],[AccountKey]],tblAccounts[AccountKey],tblAccounts[AccountCategory],"")</f>
        <v>Revenue</v>
      </c>
      <c r="M1265" s="8" t="str">
        <f>_xlfn.XLOOKUP(tblFinancials[[#This Row],[AccountKey]],tblAccounts[AccountKey],tblAccounts[NormalBalance],"")</f>
        <v>Credit</v>
      </c>
      <c r="N1265" s="8" t="str">
        <f>_xlfn.XLOOKUP(tblFinancials[[#This Row],[DepartmentKey]],tblDepartments[DepartmentKey],tblDepartments[DepartmentName],"")</f>
        <v>Sales</v>
      </c>
      <c r="O1265" s="8" t="str">
        <f>_xlfn.XLOOKUP(tblFinancials[[#This Row],[BusinessUnitKey]],tblBusinessUnits[BusinessUnitKey],tblBusinessUnits[BusinessUnitName],"")</f>
        <v xml:space="preserve">Manufacturing </v>
      </c>
      <c r="P1265" s="8" t="str">
        <f>_xlfn.XLOOKUP(tblFinancials[[#This Row],[RegionKey]],tblRegions[RegionKey],tblRegions[RegionName],"")</f>
        <v>West</v>
      </c>
    </row>
    <row r="1266" spans="1:16">
      <c r="A1266">
        <v>20251201</v>
      </c>
      <c r="B1266">
        <v>7</v>
      </c>
      <c r="C1266">
        <v>1</v>
      </c>
      <c r="D1266">
        <v>4</v>
      </c>
      <c r="E1266">
        <v>12</v>
      </c>
      <c r="F1266" t="s">
        <v>92</v>
      </c>
      <c r="G1266">
        <v>38750.19</v>
      </c>
      <c r="H1266">
        <f>_xlfn.XLOOKUP(tblFinancials[[#This Row],[DateKey]],tblCalendar[DateKey],tblCalendar[FullDate],"")</f>
        <v>45992</v>
      </c>
      <c r="I1266">
        <f>_xlfn.XLOOKUP(tblFinancials[[#This Row],[AccountKey]],tblAccounts[AccountKey],tblAccounts[AccountNumber],"")</f>
        <v>4010</v>
      </c>
      <c r="J1266" t="str">
        <f>_xlfn.XLOOKUP(tblFinancials[[#This Row],[AccountKey]],tblAccounts[AccountKey],tblAccounts[AccountName],"")</f>
        <v>Service Revenue</v>
      </c>
      <c r="K1266" s="8" t="str">
        <f>_xlfn.XLOOKUP(tblFinancials[[#This Row],[AccountKey]],tblAccounts[AccountKey],tblAccounts[FinancialStatement],"")</f>
        <v>Income Statement</v>
      </c>
      <c r="L1266" s="8" t="str">
        <f>_xlfn.XLOOKUP(tblFinancials[[#This Row],[AccountKey]],tblAccounts[AccountKey],tblAccounts[AccountCategory],"")</f>
        <v>Revenue</v>
      </c>
      <c r="M1266" s="8" t="str">
        <f>_xlfn.XLOOKUP(tblFinancials[[#This Row],[AccountKey]],tblAccounts[AccountKey],tblAccounts[NormalBalance],"")</f>
        <v>Credit</v>
      </c>
      <c r="N1266" s="8" t="str">
        <f>_xlfn.XLOOKUP(tblFinancials[[#This Row],[DepartmentKey]],tblDepartments[DepartmentKey],tblDepartments[DepartmentName],"")</f>
        <v>Information Technology</v>
      </c>
      <c r="O1266" s="8" t="str">
        <f>_xlfn.XLOOKUP(tblFinancials[[#This Row],[BusinessUnitKey]],tblBusinessUnits[BusinessUnitKey],tblBusinessUnits[BusinessUnitName],"")</f>
        <v xml:space="preserve">Manufacturing </v>
      </c>
      <c r="P1266" s="8" t="str">
        <f>_xlfn.XLOOKUP(tblFinancials[[#This Row],[RegionKey]],tblRegions[RegionKey],tblRegions[RegionName],"")</f>
        <v>East</v>
      </c>
    </row>
    <row r="1267" spans="1:16">
      <c r="A1267">
        <v>20251201</v>
      </c>
      <c r="B1267">
        <v>4</v>
      </c>
      <c r="C1267">
        <v>1</v>
      </c>
      <c r="D1267">
        <v>1</v>
      </c>
      <c r="E1267">
        <v>11</v>
      </c>
      <c r="F1267" t="s">
        <v>92</v>
      </c>
      <c r="G1267">
        <v>38667.800000000003</v>
      </c>
      <c r="H1267">
        <f>_xlfn.XLOOKUP(tblFinancials[[#This Row],[DateKey]],tblCalendar[DateKey],tblCalendar[FullDate],"")</f>
        <v>45992</v>
      </c>
      <c r="I1267">
        <f>_xlfn.XLOOKUP(tblFinancials[[#This Row],[AccountKey]],tblAccounts[AccountKey],tblAccounts[AccountNumber],"")</f>
        <v>4000</v>
      </c>
      <c r="J1267" t="str">
        <f>_xlfn.XLOOKUP(tblFinancials[[#This Row],[AccountKey]],tblAccounts[AccountKey],tblAccounts[AccountName],"")</f>
        <v>Product Revenue</v>
      </c>
      <c r="K1267" s="8" t="str">
        <f>_xlfn.XLOOKUP(tblFinancials[[#This Row],[AccountKey]],tblAccounts[AccountKey],tblAccounts[FinancialStatement],"")</f>
        <v>Income Statement</v>
      </c>
      <c r="L1267" s="8" t="str">
        <f>_xlfn.XLOOKUP(tblFinancials[[#This Row],[AccountKey]],tblAccounts[AccountKey],tblAccounts[AccountCategory],"")</f>
        <v>Revenue</v>
      </c>
      <c r="M1267" s="8" t="str">
        <f>_xlfn.XLOOKUP(tblFinancials[[#This Row],[AccountKey]],tblAccounts[AccountKey],tblAccounts[NormalBalance],"")</f>
        <v>Credit</v>
      </c>
      <c r="N1267" s="8" t="str">
        <f>_xlfn.XLOOKUP(tblFinancials[[#This Row],[DepartmentKey]],tblDepartments[DepartmentKey],tblDepartments[DepartmentName],"")</f>
        <v>Sales</v>
      </c>
      <c r="O1267" s="8" t="str">
        <f>_xlfn.XLOOKUP(tblFinancials[[#This Row],[BusinessUnitKey]],tblBusinessUnits[BusinessUnitKey],tblBusinessUnits[BusinessUnitName],"")</f>
        <v xml:space="preserve">Manufacturing </v>
      </c>
      <c r="P1267" s="8" t="str">
        <f>_xlfn.XLOOKUP(tblFinancials[[#This Row],[RegionKey]],tblRegions[RegionKey],tblRegions[RegionName],"")</f>
        <v>West</v>
      </c>
    </row>
    <row r="1268" spans="1:16">
      <c r="A1268">
        <v>20251201</v>
      </c>
      <c r="B1268">
        <v>3</v>
      </c>
      <c r="C1268">
        <v>4</v>
      </c>
      <c r="D1268">
        <v>4</v>
      </c>
      <c r="E1268">
        <v>11</v>
      </c>
      <c r="F1268" t="s">
        <v>92</v>
      </c>
      <c r="G1268">
        <v>40014.410000000003</v>
      </c>
      <c r="H1268">
        <f>_xlfn.XLOOKUP(tblFinancials[[#This Row],[DateKey]],tblCalendar[DateKey],tblCalendar[FullDate],"")</f>
        <v>45992</v>
      </c>
      <c r="I1268">
        <f>_xlfn.XLOOKUP(tblFinancials[[#This Row],[AccountKey]],tblAccounts[AccountKey],tblAccounts[AccountNumber],"")</f>
        <v>4000</v>
      </c>
      <c r="J1268" t="str">
        <f>_xlfn.XLOOKUP(tblFinancials[[#This Row],[AccountKey]],tblAccounts[AccountKey],tblAccounts[AccountName],"")</f>
        <v>Product Revenue</v>
      </c>
      <c r="K1268" s="8" t="str">
        <f>_xlfn.XLOOKUP(tblFinancials[[#This Row],[AccountKey]],tblAccounts[AccountKey],tblAccounts[FinancialStatement],"")</f>
        <v>Income Statement</v>
      </c>
      <c r="L1268" s="8" t="str">
        <f>_xlfn.XLOOKUP(tblFinancials[[#This Row],[AccountKey]],tblAccounts[AccountKey],tblAccounts[AccountCategory],"")</f>
        <v>Revenue</v>
      </c>
      <c r="M1268" s="8" t="str">
        <f>_xlfn.XLOOKUP(tblFinancials[[#This Row],[AccountKey]],tblAccounts[AccountKey],tblAccounts[NormalBalance],"")</f>
        <v>Credit</v>
      </c>
      <c r="N1268" s="8" t="str">
        <f>_xlfn.XLOOKUP(tblFinancials[[#This Row],[DepartmentKey]],tblDepartments[DepartmentKey],tblDepartments[DepartmentName],"")</f>
        <v>Human Resources</v>
      </c>
      <c r="O1268" s="8" t="str">
        <f>_xlfn.XLOOKUP(tblFinancials[[#This Row],[BusinessUnitKey]],tblBusinessUnits[BusinessUnitKey],tblBusinessUnits[BusinessUnitName],"")</f>
        <v>E-Commerce</v>
      </c>
      <c r="P1268" s="8" t="str">
        <f>_xlfn.XLOOKUP(tblFinancials[[#This Row],[RegionKey]],tblRegions[RegionKey],tblRegions[RegionName],"")</f>
        <v>East</v>
      </c>
    </row>
    <row r="1269" spans="1:16">
      <c r="A1269">
        <v>20251201</v>
      </c>
      <c r="B1269">
        <v>7</v>
      </c>
      <c r="C1269">
        <v>3</v>
      </c>
      <c r="D1269">
        <v>4</v>
      </c>
      <c r="E1269">
        <v>12</v>
      </c>
      <c r="F1269" t="s">
        <v>92</v>
      </c>
      <c r="G1269">
        <v>38684.879999999997</v>
      </c>
      <c r="H1269">
        <f>_xlfn.XLOOKUP(tblFinancials[[#This Row],[DateKey]],tblCalendar[DateKey],tblCalendar[FullDate],"")</f>
        <v>45992</v>
      </c>
      <c r="I1269">
        <f>_xlfn.XLOOKUP(tblFinancials[[#This Row],[AccountKey]],tblAccounts[AccountKey],tblAccounts[AccountNumber],"")</f>
        <v>4010</v>
      </c>
      <c r="J1269" t="str">
        <f>_xlfn.XLOOKUP(tblFinancials[[#This Row],[AccountKey]],tblAccounts[AccountKey],tblAccounts[AccountName],"")</f>
        <v>Service Revenue</v>
      </c>
      <c r="K1269" s="8" t="str">
        <f>_xlfn.XLOOKUP(tblFinancials[[#This Row],[AccountKey]],tblAccounts[AccountKey],tblAccounts[FinancialStatement],"")</f>
        <v>Income Statement</v>
      </c>
      <c r="L1269" s="8" t="str">
        <f>_xlfn.XLOOKUP(tblFinancials[[#This Row],[AccountKey]],tblAccounts[AccountKey],tblAccounts[AccountCategory],"")</f>
        <v>Revenue</v>
      </c>
      <c r="M1269" s="8" t="str">
        <f>_xlfn.XLOOKUP(tblFinancials[[#This Row],[AccountKey]],tblAccounts[AccountKey],tblAccounts[NormalBalance],"")</f>
        <v>Credit</v>
      </c>
      <c r="N1269" s="8" t="str">
        <f>_xlfn.XLOOKUP(tblFinancials[[#This Row],[DepartmentKey]],tblDepartments[DepartmentKey],tblDepartments[DepartmentName],"")</f>
        <v>Information Technology</v>
      </c>
      <c r="O1269" s="8" t="str">
        <f>_xlfn.XLOOKUP(tblFinancials[[#This Row],[BusinessUnitKey]],tblBusinessUnits[BusinessUnitKey],tblBusinessUnits[BusinessUnitName],"")</f>
        <v>Retail</v>
      </c>
      <c r="P1269" s="8" t="str">
        <f>_xlfn.XLOOKUP(tblFinancials[[#This Row],[RegionKey]],tblRegions[RegionKey],tblRegions[RegionName],"")</f>
        <v>East</v>
      </c>
    </row>
    <row r="1270" spans="1:16">
      <c r="A1270">
        <v>20251201</v>
      </c>
      <c r="B1270">
        <v>5</v>
      </c>
      <c r="C1270">
        <v>2</v>
      </c>
      <c r="D1270">
        <v>3</v>
      </c>
      <c r="E1270">
        <v>12</v>
      </c>
      <c r="F1270" t="s">
        <v>92</v>
      </c>
      <c r="G1270">
        <v>38687.69</v>
      </c>
      <c r="H1270">
        <f>_xlfn.XLOOKUP(tblFinancials[[#This Row],[DateKey]],tblCalendar[DateKey],tblCalendar[FullDate],"")</f>
        <v>45992</v>
      </c>
      <c r="I1270">
        <f>_xlfn.XLOOKUP(tblFinancials[[#This Row],[AccountKey]],tblAccounts[AccountKey],tblAccounts[AccountNumber],"")</f>
        <v>4010</v>
      </c>
      <c r="J1270" t="str">
        <f>_xlfn.XLOOKUP(tblFinancials[[#This Row],[AccountKey]],tblAccounts[AccountKey],tblAccounts[AccountName],"")</f>
        <v>Service Revenue</v>
      </c>
      <c r="K1270" s="8" t="str">
        <f>_xlfn.XLOOKUP(tblFinancials[[#This Row],[AccountKey]],tblAccounts[AccountKey],tblAccounts[FinancialStatement],"")</f>
        <v>Income Statement</v>
      </c>
      <c r="L1270" s="8" t="str">
        <f>_xlfn.XLOOKUP(tblFinancials[[#This Row],[AccountKey]],tblAccounts[AccountKey],tblAccounts[AccountCategory],"")</f>
        <v>Revenue</v>
      </c>
      <c r="M1270" s="8" t="str">
        <f>_xlfn.XLOOKUP(tblFinancials[[#This Row],[AccountKey]],tblAccounts[AccountKey],tblAccounts[NormalBalance],"")</f>
        <v>Credit</v>
      </c>
      <c r="N1270" s="8" t="str">
        <f>_xlfn.XLOOKUP(tblFinancials[[#This Row],[DepartmentKey]],tblDepartments[DepartmentKey],tblDepartments[DepartmentName],"")</f>
        <v>Marketing</v>
      </c>
      <c r="O1270" s="8" t="str">
        <f>_xlfn.XLOOKUP(tblFinancials[[#This Row],[BusinessUnitKey]],tblBusinessUnits[BusinessUnitKey],tblBusinessUnits[BusinessUnitName],"")</f>
        <v>Wholesale</v>
      </c>
      <c r="P1270" s="8" t="str">
        <f>_xlfn.XLOOKUP(tblFinancials[[#This Row],[RegionKey]],tblRegions[RegionKey],tblRegions[RegionName],"")</f>
        <v>South</v>
      </c>
    </row>
    <row r="1271" spans="1:16">
      <c r="A1271">
        <v>20251201</v>
      </c>
      <c r="B1271">
        <v>4</v>
      </c>
      <c r="C1271">
        <v>3</v>
      </c>
      <c r="D1271">
        <v>4</v>
      </c>
      <c r="E1271">
        <v>12</v>
      </c>
      <c r="F1271" t="s">
        <v>92</v>
      </c>
      <c r="G1271">
        <v>39437.620000000003</v>
      </c>
      <c r="H1271">
        <f>_xlfn.XLOOKUP(tblFinancials[[#This Row],[DateKey]],tblCalendar[DateKey],tblCalendar[FullDate],"")</f>
        <v>45992</v>
      </c>
      <c r="I1271">
        <f>_xlfn.XLOOKUP(tblFinancials[[#This Row],[AccountKey]],tblAccounts[AccountKey],tblAccounts[AccountNumber],"")</f>
        <v>4010</v>
      </c>
      <c r="J1271" t="str">
        <f>_xlfn.XLOOKUP(tblFinancials[[#This Row],[AccountKey]],tblAccounts[AccountKey],tblAccounts[AccountName],"")</f>
        <v>Service Revenue</v>
      </c>
      <c r="K1271" s="8" t="str">
        <f>_xlfn.XLOOKUP(tblFinancials[[#This Row],[AccountKey]],tblAccounts[AccountKey],tblAccounts[FinancialStatement],"")</f>
        <v>Income Statement</v>
      </c>
      <c r="L1271" s="8" t="str">
        <f>_xlfn.XLOOKUP(tblFinancials[[#This Row],[AccountKey]],tblAccounts[AccountKey],tblAccounts[AccountCategory],"")</f>
        <v>Revenue</v>
      </c>
      <c r="M1271" s="8" t="str">
        <f>_xlfn.XLOOKUP(tblFinancials[[#This Row],[AccountKey]],tblAccounts[AccountKey],tblAccounts[NormalBalance],"")</f>
        <v>Credit</v>
      </c>
      <c r="N1271" s="8" t="str">
        <f>_xlfn.XLOOKUP(tblFinancials[[#This Row],[DepartmentKey]],tblDepartments[DepartmentKey],tblDepartments[DepartmentName],"")</f>
        <v>Sales</v>
      </c>
      <c r="O1271" s="8" t="str">
        <f>_xlfn.XLOOKUP(tblFinancials[[#This Row],[BusinessUnitKey]],tblBusinessUnits[BusinessUnitKey],tblBusinessUnits[BusinessUnitName],"")</f>
        <v>Retail</v>
      </c>
      <c r="P1271" s="8" t="str">
        <f>_xlfn.XLOOKUP(tblFinancials[[#This Row],[RegionKey]],tblRegions[RegionKey],tblRegions[RegionName],"")</f>
        <v>East</v>
      </c>
    </row>
    <row r="1272" spans="1:16">
      <c r="A1272">
        <v>20251201</v>
      </c>
      <c r="B1272">
        <v>8</v>
      </c>
      <c r="C1272">
        <v>4</v>
      </c>
      <c r="D1272">
        <v>2</v>
      </c>
      <c r="E1272">
        <v>11</v>
      </c>
      <c r="F1272" t="s">
        <v>92</v>
      </c>
      <c r="G1272">
        <v>39319.97</v>
      </c>
      <c r="H1272">
        <f>_xlfn.XLOOKUP(tblFinancials[[#This Row],[DateKey]],tblCalendar[DateKey],tblCalendar[FullDate],"")</f>
        <v>45992</v>
      </c>
      <c r="I1272">
        <f>_xlfn.XLOOKUP(tblFinancials[[#This Row],[AccountKey]],tblAccounts[AccountKey],tblAccounts[AccountNumber],"")</f>
        <v>4000</v>
      </c>
      <c r="J1272" t="str">
        <f>_xlfn.XLOOKUP(tblFinancials[[#This Row],[AccountKey]],tblAccounts[AccountKey],tblAccounts[AccountName],"")</f>
        <v>Product Revenue</v>
      </c>
      <c r="K1272" s="8" t="str">
        <f>_xlfn.XLOOKUP(tblFinancials[[#This Row],[AccountKey]],tblAccounts[AccountKey],tblAccounts[FinancialStatement],"")</f>
        <v>Income Statement</v>
      </c>
      <c r="L1272" s="8" t="str">
        <f>_xlfn.XLOOKUP(tblFinancials[[#This Row],[AccountKey]],tblAccounts[AccountKey],tblAccounts[AccountCategory],"")</f>
        <v>Revenue</v>
      </c>
      <c r="M1272" s="8" t="str">
        <f>_xlfn.XLOOKUP(tblFinancials[[#This Row],[AccountKey]],tblAccounts[AccountKey],tblAccounts[NormalBalance],"")</f>
        <v>Credit</v>
      </c>
      <c r="N1272" s="8" t="str">
        <f>_xlfn.XLOOKUP(tblFinancials[[#This Row],[DepartmentKey]],tblDepartments[DepartmentKey],tblDepartments[DepartmentName],"")</f>
        <v>Customer Service</v>
      </c>
      <c r="O1272" s="8" t="str">
        <f>_xlfn.XLOOKUP(tblFinancials[[#This Row],[BusinessUnitKey]],tblBusinessUnits[BusinessUnitKey],tblBusinessUnits[BusinessUnitName],"")</f>
        <v>E-Commerce</v>
      </c>
      <c r="P1272" s="8" t="str">
        <f>_xlfn.XLOOKUP(tblFinancials[[#This Row],[RegionKey]],tblRegions[RegionKey],tblRegions[RegionName],"")</f>
        <v>Midwest</v>
      </c>
    </row>
    <row r="1273" spans="1:16">
      <c r="A1273">
        <v>20251201</v>
      </c>
      <c r="B1273">
        <v>8</v>
      </c>
      <c r="C1273">
        <v>3</v>
      </c>
      <c r="D1273">
        <v>3</v>
      </c>
      <c r="E1273">
        <v>12</v>
      </c>
      <c r="F1273" t="s">
        <v>92</v>
      </c>
      <c r="G1273">
        <v>39893.25</v>
      </c>
      <c r="H1273">
        <f>_xlfn.XLOOKUP(tblFinancials[[#This Row],[DateKey]],tblCalendar[DateKey],tblCalendar[FullDate],"")</f>
        <v>45992</v>
      </c>
      <c r="I1273">
        <f>_xlfn.XLOOKUP(tblFinancials[[#This Row],[AccountKey]],tblAccounts[AccountKey],tblAccounts[AccountNumber],"")</f>
        <v>4010</v>
      </c>
      <c r="J1273" t="str">
        <f>_xlfn.XLOOKUP(tblFinancials[[#This Row],[AccountKey]],tblAccounts[AccountKey],tblAccounts[AccountName],"")</f>
        <v>Service Revenue</v>
      </c>
      <c r="K1273" s="8" t="str">
        <f>_xlfn.XLOOKUP(tblFinancials[[#This Row],[AccountKey]],tblAccounts[AccountKey],tblAccounts[FinancialStatement],"")</f>
        <v>Income Statement</v>
      </c>
      <c r="L1273" s="8" t="str">
        <f>_xlfn.XLOOKUP(tblFinancials[[#This Row],[AccountKey]],tblAccounts[AccountKey],tblAccounts[AccountCategory],"")</f>
        <v>Revenue</v>
      </c>
      <c r="M1273" s="8" t="str">
        <f>_xlfn.XLOOKUP(tblFinancials[[#This Row],[AccountKey]],tblAccounts[AccountKey],tblAccounts[NormalBalance],"")</f>
        <v>Credit</v>
      </c>
      <c r="N1273" s="8" t="str">
        <f>_xlfn.XLOOKUP(tblFinancials[[#This Row],[DepartmentKey]],tblDepartments[DepartmentKey],tblDepartments[DepartmentName],"")</f>
        <v>Customer Service</v>
      </c>
      <c r="O1273" s="8" t="str">
        <f>_xlfn.XLOOKUP(tblFinancials[[#This Row],[BusinessUnitKey]],tblBusinessUnits[BusinessUnitKey],tblBusinessUnits[BusinessUnitName],"")</f>
        <v>Retail</v>
      </c>
      <c r="P1273" s="8" t="str">
        <f>_xlfn.XLOOKUP(tblFinancials[[#This Row],[RegionKey]],tblRegions[RegionKey],tblRegions[RegionName],"")</f>
        <v>South</v>
      </c>
    </row>
    <row r="1274" spans="1:16">
      <c r="A1274">
        <v>20251201</v>
      </c>
      <c r="B1274">
        <v>6</v>
      </c>
      <c r="C1274">
        <v>3</v>
      </c>
      <c r="D1274">
        <v>3</v>
      </c>
      <c r="E1274">
        <v>14</v>
      </c>
      <c r="F1274" t="s">
        <v>92</v>
      </c>
      <c r="G1274">
        <v>-22207.96</v>
      </c>
      <c r="H1274">
        <f>_xlfn.XLOOKUP(tblFinancials[[#This Row],[DateKey]],tblCalendar[DateKey],tblCalendar[FullDate],"")</f>
        <v>45992</v>
      </c>
      <c r="I1274">
        <f>_xlfn.XLOOKUP(tblFinancials[[#This Row],[AccountKey]],tblAccounts[AccountKey],tblAccounts[AccountNumber],"")</f>
        <v>5000</v>
      </c>
      <c r="J1274" t="str">
        <f>_xlfn.XLOOKUP(tblFinancials[[#This Row],[AccountKey]],tblAccounts[AccountKey],tblAccounts[AccountName],"")</f>
        <v>Cost of Goods Sold</v>
      </c>
      <c r="K1274" s="8" t="str">
        <f>_xlfn.XLOOKUP(tblFinancials[[#This Row],[AccountKey]],tblAccounts[AccountKey],tblAccounts[FinancialStatement],"")</f>
        <v>Income Statement</v>
      </c>
      <c r="L1274" s="8" t="str">
        <f>_xlfn.XLOOKUP(tblFinancials[[#This Row],[AccountKey]],tblAccounts[AccountKey],tblAccounts[AccountCategory],"")</f>
        <v>Cost of Sales</v>
      </c>
      <c r="M1274" s="8" t="str">
        <f>_xlfn.XLOOKUP(tblFinancials[[#This Row],[AccountKey]],tblAccounts[AccountKey],tblAccounts[NormalBalance],"")</f>
        <v>Debit</v>
      </c>
      <c r="N1274" s="8" t="str">
        <f>_xlfn.XLOOKUP(tblFinancials[[#This Row],[DepartmentKey]],tblDepartments[DepartmentKey],tblDepartments[DepartmentName],"")</f>
        <v>Operations</v>
      </c>
      <c r="O1274" s="8" t="str">
        <f>_xlfn.XLOOKUP(tblFinancials[[#This Row],[BusinessUnitKey]],tblBusinessUnits[BusinessUnitKey],tblBusinessUnits[BusinessUnitName],"")</f>
        <v>Retail</v>
      </c>
      <c r="P1274" s="8" t="str">
        <f>_xlfn.XLOOKUP(tblFinancials[[#This Row],[RegionKey]],tblRegions[RegionKey],tblRegions[RegionName],"")</f>
        <v>South</v>
      </c>
    </row>
    <row r="1275" spans="1:16">
      <c r="A1275">
        <v>20251201</v>
      </c>
      <c r="B1275">
        <v>6</v>
      </c>
      <c r="C1275">
        <v>1</v>
      </c>
      <c r="D1275">
        <v>2</v>
      </c>
      <c r="E1275">
        <v>14</v>
      </c>
      <c r="F1275" t="s">
        <v>92</v>
      </c>
      <c r="G1275">
        <v>-23706.95</v>
      </c>
      <c r="H1275">
        <f>_xlfn.XLOOKUP(tblFinancials[[#This Row],[DateKey]],tblCalendar[DateKey],tblCalendar[FullDate],"")</f>
        <v>45992</v>
      </c>
      <c r="I1275">
        <f>_xlfn.XLOOKUP(tblFinancials[[#This Row],[AccountKey]],tblAccounts[AccountKey],tblAccounts[AccountNumber],"")</f>
        <v>5000</v>
      </c>
      <c r="J1275" t="str">
        <f>_xlfn.XLOOKUP(tblFinancials[[#This Row],[AccountKey]],tblAccounts[AccountKey],tblAccounts[AccountName],"")</f>
        <v>Cost of Goods Sold</v>
      </c>
      <c r="K1275" s="8" t="str">
        <f>_xlfn.XLOOKUP(tblFinancials[[#This Row],[AccountKey]],tblAccounts[AccountKey],tblAccounts[FinancialStatement],"")</f>
        <v>Income Statement</v>
      </c>
      <c r="L1275" s="8" t="str">
        <f>_xlfn.XLOOKUP(tblFinancials[[#This Row],[AccountKey]],tblAccounts[AccountKey],tblAccounts[AccountCategory],"")</f>
        <v>Cost of Sales</v>
      </c>
      <c r="M1275" s="8" t="str">
        <f>_xlfn.XLOOKUP(tblFinancials[[#This Row],[AccountKey]],tblAccounts[AccountKey],tblAccounts[NormalBalance],"")</f>
        <v>Debit</v>
      </c>
      <c r="N1275" s="8" t="str">
        <f>_xlfn.XLOOKUP(tblFinancials[[#This Row],[DepartmentKey]],tblDepartments[DepartmentKey],tblDepartments[DepartmentName],"")</f>
        <v>Operations</v>
      </c>
      <c r="O1275" s="8" t="str">
        <f>_xlfn.XLOOKUP(tblFinancials[[#This Row],[BusinessUnitKey]],tblBusinessUnits[BusinessUnitKey],tblBusinessUnits[BusinessUnitName],"")</f>
        <v xml:space="preserve">Manufacturing </v>
      </c>
      <c r="P1275" s="8" t="str">
        <f>_xlfn.XLOOKUP(tblFinancials[[#This Row],[RegionKey]],tblRegions[RegionKey],tblRegions[RegionName],"")</f>
        <v>Midwest</v>
      </c>
    </row>
    <row r="1276" spans="1:16">
      <c r="A1276">
        <v>20251201</v>
      </c>
      <c r="B1276">
        <v>6</v>
      </c>
      <c r="C1276">
        <v>4</v>
      </c>
      <c r="D1276">
        <v>1</v>
      </c>
      <c r="E1276">
        <v>14</v>
      </c>
      <c r="F1276" t="s">
        <v>92</v>
      </c>
      <c r="G1276">
        <v>-22833.79</v>
      </c>
      <c r="H1276">
        <f>_xlfn.XLOOKUP(tblFinancials[[#This Row],[DateKey]],tblCalendar[DateKey],tblCalendar[FullDate],"")</f>
        <v>45992</v>
      </c>
      <c r="I1276">
        <f>_xlfn.XLOOKUP(tblFinancials[[#This Row],[AccountKey]],tblAccounts[AccountKey],tblAccounts[AccountNumber],"")</f>
        <v>5000</v>
      </c>
      <c r="J1276" t="str">
        <f>_xlfn.XLOOKUP(tblFinancials[[#This Row],[AccountKey]],tblAccounts[AccountKey],tblAccounts[AccountName],"")</f>
        <v>Cost of Goods Sold</v>
      </c>
      <c r="K1276" s="8" t="str">
        <f>_xlfn.XLOOKUP(tblFinancials[[#This Row],[AccountKey]],tblAccounts[AccountKey],tblAccounts[FinancialStatement],"")</f>
        <v>Income Statement</v>
      </c>
      <c r="L1276" s="8" t="str">
        <f>_xlfn.XLOOKUP(tblFinancials[[#This Row],[AccountKey]],tblAccounts[AccountKey],tblAccounts[AccountCategory],"")</f>
        <v>Cost of Sales</v>
      </c>
      <c r="M1276" s="8" t="str">
        <f>_xlfn.XLOOKUP(tblFinancials[[#This Row],[AccountKey]],tblAccounts[AccountKey],tblAccounts[NormalBalance],"")</f>
        <v>Debit</v>
      </c>
      <c r="N1276" s="8" t="str">
        <f>_xlfn.XLOOKUP(tblFinancials[[#This Row],[DepartmentKey]],tblDepartments[DepartmentKey],tblDepartments[DepartmentName],"")</f>
        <v>Operations</v>
      </c>
      <c r="O1276" s="8" t="str">
        <f>_xlfn.XLOOKUP(tblFinancials[[#This Row],[BusinessUnitKey]],tblBusinessUnits[BusinessUnitKey],tblBusinessUnits[BusinessUnitName],"")</f>
        <v>E-Commerce</v>
      </c>
      <c r="P1276" s="8" t="str">
        <f>_xlfn.XLOOKUP(tblFinancials[[#This Row],[RegionKey]],tblRegions[RegionKey],tblRegions[RegionName],"")</f>
        <v>West</v>
      </c>
    </row>
    <row r="1277" spans="1:16">
      <c r="A1277">
        <v>20251201</v>
      </c>
      <c r="B1277">
        <v>2</v>
      </c>
      <c r="C1277">
        <v>2</v>
      </c>
      <c r="D1277">
        <v>1</v>
      </c>
      <c r="E1277">
        <v>14</v>
      </c>
      <c r="F1277" t="s">
        <v>92</v>
      </c>
      <c r="G1277">
        <v>-23535.97</v>
      </c>
      <c r="H1277">
        <f>_xlfn.XLOOKUP(tblFinancials[[#This Row],[DateKey]],tblCalendar[DateKey],tblCalendar[FullDate],"")</f>
        <v>45992</v>
      </c>
      <c r="I1277">
        <f>_xlfn.XLOOKUP(tblFinancials[[#This Row],[AccountKey]],tblAccounts[AccountKey],tblAccounts[AccountNumber],"")</f>
        <v>5000</v>
      </c>
      <c r="J1277" t="str">
        <f>_xlfn.XLOOKUP(tblFinancials[[#This Row],[AccountKey]],tblAccounts[AccountKey],tblAccounts[AccountName],"")</f>
        <v>Cost of Goods Sold</v>
      </c>
      <c r="K1277" s="8" t="str">
        <f>_xlfn.XLOOKUP(tblFinancials[[#This Row],[AccountKey]],tblAccounts[AccountKey],tblAccounts[FinancialStatement],"")</f>
        <v>Income Statement</v>
      </c>
      <c r="L1277" s="8" t="str">
        <f>_xlfn.XLOOKUP(tblFinancials[[#This Row],[AccountKey]],tblAccounts[AccountKey],tblAccounts[AccountCategory],"")</f>
        <v>Cost of Sales</v>
      </c>
      <c r="M1277" s="8" t="str">
        <f>_xlfn.XLOOKUP(tblFinancials[[#This Row],[AccountKey]],tblAccounts[AccountKey],tblAccounts[NormalBalance],"")</f>
        <v>Debit</v>
      </c>
      <c r="N1277" s="8" t="str">
        <f>_xlfn.XLOOKUP(tblFinancials[[#This Row],[DepartmentKey]],tblDepartments[DepartmentKey],tblDepartments[DepartmentName],"")</f>
        <v>Finance</v>
      </c>
      <c r="O1277" s="8" t="str">
        <f>_xlfn.XLOOKUP(tblFinancials[[#This Row],[BusinessUnitKey]],tblBusinessUnits[BusinessUnitKey],tblBusinessUnits[BusinessUnitName],"")</f>
        <v>Wholesale</v>
      </c>
      <c r="P1277" s="8" t="str">
        <f>_xlfn.XLOOKUP(tblFinancials[[#This Row],[RegionKey]],tblRegions[RegionKey],tblRegions[RegionName],"")</f>
        <v>West</v>
      </c>
    </row>
    <row r="1278" spans="1:16">
      <c r="A1278">
        <v>20251201</v>
      </c>
      <c r="B1278">
        <v>5</v>
      </c>
      <c r="C1278">
        <v>1</v>
      </c>
      <c r="D1278">
        <v>1</v>
      </c>
      <c r="E1278">
        <v>14</v>
      </c>
      <c r="F1278" t="s">
        <v>92</v>
      </c>
      <c r="G1278">
        <v>-22522.26</v>
      </c>
      <c r="H1278">
        <f>_xlfn.XLOOKUP(tblFinancials[[#This Row],[DateKey]],tblCalendar[DateKey],tblCalendar[FullDate],"")</f>
        <v>45992</v>
      </c>
      <c r="I1278">
        <f>_xlfn.XLOOKUP(tblFinancials[[#This Row],[AccountKey]],tblAccounts[AccountKey],tblAccounts[AccountNumber],"")</f>
        <v>5000</v>
      </c>
      <c r="J1278" t="str">
        <f>_xlfn.XLOOKUP(tblFinancials[[#This Row],[AccountKey]],tblAccounts[AccountKey],tblAccounts[AccountName],"")</f>
        <v>Cost of Goods Sold</v>
      </c>
      <c r="K1278" s="8" t="str">
        <f>_xlfn.XLOOKUP(tblFinancials[[#This Row],[AccountKey]],tblAccounts[AccountKey],tblAccounts[FinancialStatement],"")</f>
        <v>Income Statement</v>
      </c>
      <c r="L1278" s="8" t="str">
        <f>_xlfn.XLOOKUP(tblFinancials[[#This Row],[AccountKey]],tblAccounts[AccountKey],tblAccounts[AccountCategory],"")</f>
        <v>Cost of Sales</v>
      </c>
      <c r="M1278" s="8" t="str">
        <f>_xlfn.XLOOKUP(tblFinancials[[#This Row],[AccountKey]],tblAccounts[AccountKey],tblAccounts[NormalBalance],"")</f>
        <v>Debit</v>
      </c>
      <c r="N1278" s="8" t="str">
        <f>_xlfn.XLOOKUP(tblFinancials[[#This Row],[DepartmentKey]],tblDepartments[DepartmentKey],tblDepartments[DepartmentName],"")</f>
        <v>Marketing</v>
      </c>
      <c r="O1278" s="8" t="str">
        <f>_xlfn.XLOOKUP(tblFinancials[[#This Row],[BusinessUnitKey]],tblBusinessUnits[BusinessUnitKey],tblBusinessUnits[BusinessUnitName],"")</f>
        <v xml:space="preserve">Manufacturing </v>
      </c>
      <c r="P1278" s="8" t="str">
        <f>_xlfn.XLOOKUP(tblFinancials[[#This Row],[RegionKey]],tblRegions[RegionKey],tblRegions[RegionName],"")</f>
        <v>West</v>
      </c>
    </row>
    <row r="1279" spans="1:16">
      <c r="A1279">
        <v>20251201</v>
      </c>
      <c r="B1279">
        <v>8</v>
      </c>
      <c r="C1279">
        <v>4</v>
      </c>
      <c r="D1279">
        <v>3</v>
      </c>
      <c r="E1279">
        <v>14</v>
      </c>
      <c r="F1279" t="s">
        <v>92</v>
      </c>
      <c r="G1279">
        <v>-23897.4</v>
      </c>
      <c r="H1279">
        <f>_xlfn.XLOOKUP(tblFinancials[[#This Row],[DateKey]],tblCalendar[DateKey],tblCalendar[FullDate],"")</f>
        <v>45992</v>
      </c>
      <c r="I1279">
        <f>_xlfn.XLOOKUP(tblFinancials[[#This Row],[AccountKey]],tblAccounts[AccountKey],tblAccounts[AccountNumber],"")</f>
        <v>5000</v>
      </c>
      <c r="J1279" t="str">
        <f>_xlfn.XLOOKUP(tblFinancials[[#This Row],[AccountKey]],tblAccounts[AccountKey],tblAccounts[AccountName],"")</f>
        <v>Cost of Goods Sold</v>
      </c>
      <c r="K1279" s="8" t="str">
        <f>_xlfn.XLOOKUP(tblFinancials[[#This Row],[AccountKey]],tblAccounts[AccountKey],tblAccounts[FinancialStatement],"")</f>
        <v>Income Statement</v>
      </c>
      <c r="L1279" s="8" t="str">
        <f>_xlfn.XLOOKUP(tblFinancials[[#This Row],[AccountKey]],tblAccounts[AccountKey],tblAccounts[AccountCategory],"")</f>
        <v>Cost of Sales</v>
      </c>
      <c r="M1279" s="8" t="str">
        <f>_xlfn.XLOOKUP(tblFinancials[[#This Row],[AccountKey]],tblAccounts[AccountKey],tblAccounts[NormalBalance],"")</f>
        <v>Debit</v>
      </c>
      <c r="N1279" s="8" t="str">
        <f>_xlfn.XLOOKUP(tblFinancials[[#This Row],[DepartmentKey]],tblDepartments[DepartmentKey],tblDepartments[DepartmentName],"")</f>
        <v>Customer Service</v>
      </c>
      <c r="O1279" s="8" t="str">
        <f>_xlfn.XLOOKUP(tblFinancials[[#This Row],[BusinessUnitKey]],tblBusinessUnits[BusinessUnitKey],tblBusinessUnits[BusinessUnitName],"")</f>
        <v>E-Commerce</v>
      </c>
      <c r="P1279" s="8" t="str">
        <f>_xlfn.XLOOKUP(tblFinancials[[#This Row],[RegionKey]],tblRegions[RegionKey],tblRegions[RegionName],"")</f>
        <v>South</v>
      </c>
    </row>
    <row r="1280" spans="1:16">
      <c r="A1280">
        <v>20251201</v>
      </c>
      <c r="B1280">
        <v>1</v>
      </c>
      <c r="C1280">
        <v>1</v>
      </c>
      <c r="D1280">
        <v>2</v>
      </c>
      <c r="E1280">
        <v>14</v>
      </c>
      <c r="F1280" t="s">
        <v>92</v>
      </c>
      <c r="G1280">
        <v>-23172.240000000002</v>
      </c>
      <c r="H1280">
        <f>_xlfn.XLOOKUP(tblFinancials[[#This Row],[DateKey]],tblCalendar[DateKey],tblCalendar[FullDate],"")</f>
        <v>45992</v>
      </c>
      <c r="I1280">
        <f>_xlfn.XLOOKUP(tblFinancials[[#This Row],[AccountKey]],tblAccounts[AccountKey],tblAccounts[AccountNumber],"")</f>
        <v>5000</v>
      </c>
      <c r="J1280" t="str">
        <f>_xlfn.XLOOKUP(tblFinancials[[#This Row],[AccountKey]],tblAccounts[AccountKey],tblAccounts[AccountName],"")</f>
        <v>Cost of Goods Sold</v>
      </c>
      <c r="K1280" s="8" t="str">
        <f>_xlfn.XLOOKUP(tblFinancials[[#This Row],[AccountKey]],tblAccounts[AccountKey],tblAccounts[FinancialStatement],"")</f>
        <v>Income Statement</v>
      </c>
      <c r="L1280" s="8" t="str">
        <f>_xlfn.XLOOKUP(tblFinancials[[#This Row],[AccountKey]],tblAccounts[AccountKey],tblAccounts[AccountCategory],"")</f>
        <v>Cost of Sales</v>
      </c>
      <c r="M1280" s="8" t="str">
        <f>_xlfn.XLOOKUP(tblFinancials[[#This Row],[AccountKey]],tblAccounts[AccountKey],tblAccounts[NormalBalance],"")</f>
        <v>Debit</v>
      </c>
      <c r="N1280" s="8" t="str">
        <f>_xlfn.XLOOKUP(tblFinancials[[#This Row],[DepartmentKey]],tblDepartments[DepartmentKey],tblDepartments[DepartmentName],"")</f>
        <v>Executive</v>
      </c>
      <c r="O1280" s="8" t="str">
        <f>_xlfn.XLOOKUP(tblFinancials[[#This Row],[BusinessUnitKey]],tblBusinessUnits[BusinessUnitKey],tblBusinessUnits[BusinessUnitName],"")</f>
        <v xml:space="preserve">Manufacturing </v>
      </c>
      <c r="P1280" s="8" t="str">
        <f>_xlfn.XLOOKUP(tblFinancials[[#This Row],[RegionKey]],tblRegions[RegionKey],tblRegions[RegionName],"")</f>
        <v>Midwest</v>
      </c>
    </row>
    <row r="1281" spans="1:16">
      <c r="A1281">
        <v>20251201</v>
      </c>
      <c r="B1281">
        <v>7</v>
      </c>
      <c r="C1281">
        <v>4</v>
      </c>
      <c r="D1281">
        <v>2</v>
      </c>
      <c r="E1281">
        <v>14</v>
      </c>
      <c r="F1281" t="s">
        <v>92</v>
      </c>
      <c r="G1281">
        <v>-22162.81</v>
      </c>
      <c r="H1281">
        <f>_xlfn.XLOOKUP(tblFinancials[[#This Row],[DateKey]],tblCalendar[DateKey],tblCalendar[FullDate],"")</f>
        <v>45992</v>
      </c>
      <c r="I1281">
        <f>_xlfn.XLOOKUP(tblFinancials[[#This Row],[AccountKey]],tblAccounts[AccountKey],tblAccounts[AccountNumber],"")</f>
        <v>5000</v>
      </c>
      <c r="J1281" t="str">
        <f>_xlfn.XLOOKUP(tblFinancials[[#This Row],[AccountKey]],tblAccounts[AccountKey],tblAccounts[AccountName],"")</f>
        <v>Cost of Goods Sold</v>
      </c>
      <c r="K1281" s="8" t="str">
        <f>_xlfn.XLOOKUP(tblFinancials[[#This Row],[AccountKey]],tblAccounts[AccountKey],tblAccounts[FinancialStatement],"")</f>
        <v>Income Statement</v>
      </c>
      <c r="L1281" s="8" t="str">
        <f>_xlfn.XLOOKUP(tblFinancials[[#This Row],[AccountKey]],tblAccounts[AccountKey],tblAccounts[AccountCategory],"")</f>
        <v>Cost of Sales</v>
      </c>
      <c r="M1281" s="8" t="str">
        <f>_xlfn.XLOOKUP(tblFinancials[[#This Row],[AccountKey]],tblAccounts[AccountKey],tblAccounts[NormalBalance],"")</f>
        <v>Debit</v>
      </c>
      <c r="N1281" s="8" t="str">
        <f>_xlfn.XLOOKUP(tblFinancials[[#This Row],[DepartmentKey]],tblDepartments[DepartmentKey],tblDepartments[DepartmentName],"")</f>
        <v>Information Technology</v>
      </c>
      <c r="O1281" s="8" t="str">
        <f>_xlfn.XLOOKUP(tblFinancials[[#This Row],[BusinessUnitKey]],tblBusinessUnits[BusinessUnitKey],tblBusinessUnits[BusinessUnitName],"")</f>
        <v>E-Commerce</v>
      </c>
      <c r="P1281" s="8" t="str">
        <f>_xlfn.XLOOKUP(tblFinancials[[#This Row],[RegionKey]],tblRegions[RegionKey],tblRegions[RegionName],"")</f>
        <v>Midwest</v>
      </c>
    </row>
    <row r="1282" spans="1:16">
      <c r="A1282">
        <v>20251201</v>
      </c>
      <c r="B1282">
        <v>1</v>
      </c>
      <c r="C1282">
        <v>3</v>
      </c>
      <c r="D1282">
        <v>3</v>
      </c>
      <c r="E1282">
        <v>14</v>
      </c>
      <c r="F1282" t="s">
        <v>92</v>
      </c>
      <c r="G1282">
        <v>-23255.17</v>
      </c>
      <c r="H1282">
        <f>_xlfn.XLOOKUP(tblFinancials[[#This Row],[DateKey]],tblCalendar[DateKey],tblCalendar[FullDate],"")</f>
        <v>45992</v>
      </c>
      <c r="I1282">
        <f>_xlfn.XLOOKUP(tblFinancials[[#This Row],[AccountKey]],tblAccounts[AccountKey],tblAccounts[AccountNumber],"")</f>
        <v>5000</v>
      </c>
      <c r="J1282" t="str">
        <f>_xlfn.XLOOKUP(tblFinancials[[#This Row],[AccountKey]],tblAccounts[AccountKey],tblAccounts[AccountName],"")</f>
        <v>Cost of Goods Sold</v>
      </c>
      <c r="K1282" s="8" t="str">
        <f>_xlfn.XLOOKUP(tblFinancials[[#This Row],[AccountKey]],tblAccounts[AccountKey],tblAccounts[FinancialStatement],"")</f>
        <v>Income Statement</v>
      </c>
      <c r="L1282" s="8" t="str">
        <f>_xlfn.XLOOKUP(tblFinancials[[#This Row],[AccountKey]],tblAccounts[AccountKey],tblAccounts[AccountCategory],"")</f>
        <v>Cost of Sales</v>
      </c>
      <c r="M1282" s="8" t="str">
        <f>_xlfn.XLOOKUP(tblFinancials[[#This Row],[AccountKey]],tblAccounts[AccountKey],tblAccounts[NormalBalance],"")</f>
        <v>Debit</v>
      </c>
      <c r="N1282" s="8" t="str">
        <f>_xlfn.XLOOKUP(tblFinancials[[#This Row],[DepartmentKey]],tblDepartments[DepartmentKey],tblDepartments[DepartmentName],"")</f>
        <v>Executive</v>
      </c>
      <c r="O1282" s="8" t="str">
        <f>_xlfn.XLOOKUP(tblFinancials[[#This Row],[BusinessUnitKey]],tblBusinessUnits[BusinessUnitKey],tblBusinessUnits[BusinessUnitName],"")</f>
        <v>Retail</v>
      </c>
      <c r="P1282" s="8" t="str">
        <f>_xlfn.XLOOKUP(tblFinancials[[#This Row],[RegionKey]],tblRegions[RegionKey],tblRegions[RegionName],"")</f>
        <v>South</v>
      </c>
    </row>
    <row r="1283" spans="1:16">
      <c r="A1283">
        <v>20251201</v>
      </c>
      <c r="B1283">
        <v>2</v>
      </c>
      <c r="C1283">
        <v>2</v>
      </c>
      <c r="D1283">
        <v>3</v>
      </c>
      <c r="E1283">
        <v>14</v>
      </c>
      <c r="F1283" t="s">
        <v>92</v>
      </c>
      <c r="G1283">
        <v>-22652.48</v>
      </c>
      <c r="H1283">
        <f>_xlfn.XLOOKUP(tblFinancials[[#This Row],[DateKey]],tblCalendar[DateKey],tblCalendar[FullDate],"")</f>
        <v>45992</v>
      </c>
      <c r="I1283">
        <f>_xlfn.XLOOKUP(tblFinancials[[#This Row],[AccountKey]],tblAccounts[AccountKey],tblAccounts[AccountNumber],"")</f>
        <v>5000</v>
      </c>
      <c r="J1283" t="str">
        <f>_xlfn.XLOOKUP(tblFinancials[[#This Row],[AccountKey]],tblAccounts[AccountKey],tblAccounts[AccountName],"")</f>
        <v>Cost of Goods Sold</v>
      </c>
      <c r="K1283" s="8" t="str">
        <f>_xlfn.XLOOKUP(tblFinancials[[#This Row],[AccountKey]],tblAccounts[AccountKey],tblAccounts[FinancialStatement],"")</f>
        <v>Income Statement</v>
      </c>
      <c r="L1283" s="8" t="str">
        <f>_xlfn.XLOOKUP(tblFinancials[[#This Row],[AccountKey]],tblAccounts[AccountKey],tblAccounts[AccountCategory],"")</f>
        <v>Cost of Sales</v>
      </c>
      <c r="M1283" s="8" t="str">
        <f>_xlfn.XLOOKUP(tblFinancials[[#This Row],[AccountKey]],tblAccounts[AccountKey],tblAccounts[NormalBalance],"")</f>
        <v>Debit</v>
      </c>
      <c r="N1283" s="8" t="str">
        <f>_xlfn.XLOOKUP(tblFinancials[[#This Row],[DepartmentKey]],tblDepartments[DepartmentKey],tblDepartments[DepartmentName],"")</f>
        <v>Finance</v>
      </c>
      <c r="O1283" s="8" t="str">
        <f>_xlfn.XLOOKUP(tblFinancials[[#This Row],[BusinessUnitKey]],tblBusinessUnits[BusinessUnitKey],tblBusinessUnits[BusinessUnitName],"")</f>
        <v>Wholesale</v>
      </c>
      <c r="P1283" s="8" t="str">
        <f>_xlfn.XLOOKUP(tblFinancials[[#This Row],[RegionKey]],tblRegions[RegionKey],tblRegions[RegionName],"")</f>
        <v>South</v>
      </c>
    </row>
    <row r="1284" spans="1:16">
      <c r="A1284">
        <v>20251201</v>
      </c>
      <c r="B1284">
        <v>7</v>
      </c>
      <c r="C1284">
        <v>2</v>
      </c>
      <c r="D1284">
        <v>4</v>
      </c>
      <c r="E1284">
        <v>14</v>
      </c>
      <c r="F1284" t="s">
        <v>92</v>
      </c>
      <c r="G1284">
        <v>-23388.65</v>
      </c>
      <c r="H1284">
        <f>_xlfn.XLOOKUP(tblFinancials[[#This Row],[DateKey]],tblCalendar[DateKey],tblCalendar[FullDate],"")</f>
        <v>45992</v>
      </c>
      <c r="I1284">
        <f>_xlfn.XLOOKUP(tblFinancials[[#This Row],[AccountKey]],tblAccounts[AccountKey],tblAccounts[AccountNumber],"")</f>
        <v>5000</v>
      </c>
      <c r="J1284" t="str">
        <f>_xlfn.XLOOKUP(tblFinancials[[#This Row],[AccountKey]],tblAccounts[AccountKey],tblAccounts[AccountName],"")</f>
        <v>Cost of Goods Sold</v>
      </c>
      <c r="K1284" s="8" t="str">
        <f>_xlfn.XLOOKUP(tblFinancials[[#This Row],[AccountKey]],tblAccounts[AccountKey],tblAccounts[FinancialStatement],"")</f>
        <v>Income Statement</v>
      </c>
      <c r="L1284" s="8" t="str">
        <f>_xlfn.XLOOKUP(tblFinancials[[#This Row],[AccountKey]],tblAccounts[AccountKey],tblAccounts[AccountCategory],"")</f>
        <v>Cost of Sales</v>
      </c>
      <c r="M1284" s="8" t="str">
        <f>_xlfn.XLOOKUP(tblFinancials[[#This Row],[AccountKey]],tblAccounts[AccountKey],tblAccounts[NormalBalance],"")</f>
        <v>Debit</v>
      </c>
      <c r="N1284" s="8" t="str">
        <f>_xlfn.XLOOKUP(tblFinancials[[#This Row],[DepartmentKey]],tblDepartments[DepartmentKey],tblDepartments[DepartmentName],"")</f>
        <v>Information Technology</v>
      </c>
      <c r="O1284" s="8" t="str">
        <f>_xlfn.XLOOKUP(tblFinancials[[#This Row],[BusinessUnitKey]],tblBusinessUnits[BusinessUnitKey],tblBusinessUnits[BusinessUnitName],"")</f>
        <v>Wholesale</v>
      </c>
      <c r="P1284" s="8" t="str">
        <f>_xlfn.XLOOKUP(tblFinancials[[#This Row],[RegionKey]],tblRegions[RegionKey],tblRegions[RegionName],"")</f>
        <v>East</v>
      </c>
    </row>
    <row r="1285" spans="1:16">
      <c r="A1285">
        <v>20251201</v>
      </c>
      <c r="B1285">
        <v>6</v>
      </c>
      <c r="C1285">
        <v>2</v>
      </c>
      <c r="D1285">
        <v>3</v>
      </c>
      <c r="E1285">
        <v>14</v>
      </c>
      <c r="F1285" t="s">
        <v>92</v>
      </c>
      <c r="G1285">
        <v>-20697</v>
      </c>
      <c r="H1285">
        <f>_xlfn.XLOOKUP(tblFinancials[[#This Row],[DateKey]],tblCalendar[DateKey],tblCalendar[FullDate],"")</f>
        <v>45992</v>
      </c>
      <c r="I1285">
        <f>_xlfn.XLOOKUP(tblFinancials[[#This Row],[AccountKey]],tblAccounts[AccountKey],tblAccounts[AccountNumber],"")</f>
        <v>5000</v>
      </c>
      <c r="J1285" t="str">
        <f>_xlfn.XLOOKUP(tblFinancials[[#This Row],[AccountKey]],tblAccounts[AccountKey],tblAccounts[AccountName],"")</f>
        <v>Cost of Goods Sold</v>
      </c>
      <c r="K1285" s="8" t="str">
        <f>_xlfn.XLOOKUP(tblFinancials[[#This Row],[AccountKey]],tblAccounts[AccountKey],tblAccounts[FinancialStatement],"")</f>
        <v>Income Statement</v>
      </c>
      <c r="L1285" s="8" t="str">
        <f>_xlfn.XLOOKUP(tblFinancials[[#This Row],[AccountKey]],tblAccounts[AccountKey],tblAccounts[AccountCategory],"")</f>
        <v>Cost of Sales</v>
      </c>
      <c r="M1285" s="8" t="str">
        <f>_xlfn.XLOOKUP(tblFinancials[[#This Row],[AccountKey]],tblAccounts[AccountKey],tblAccounts[NormalBalance],"")</f>
        <v>Debit</v>
      </c>
      <c r="N1285" s="8" t="str">
        <f>_xlfn.XLOOKUP(tblFinancials[[#This Row],[DepartmentKey]],tblDepartments[DepartmentKey],tblDepartments[DepartmentName],"")</f>
        <v>Operations</v>
      </c>
      <c r="O1285" s="8" t="str">
        <f>_xlfn.XLOOKUP(tblFinancials[[#This Row],[BusinessUnitKey]],tblBusinessUnits[BusinessUnitKey],tblBusinessUnits[BusinessUnitName],"")</f>
        <v>Wholesale</v>
      </c>
      <c r="P1285" s="8" t="str">
        <f>_xlfn.XLOOKUP(tblFinancials[[#This Row],[RegionKey]],tblRegions[RegionKey],tblRegions[RegionName],"")</f>
        <v>South</v>
      </c>
    </row>
    <row r="1286" spans="1:16">
      <c r="A1286">
        <v>20251201</v>
      </c>
      <c r="B1286">
        <v>1</v>
      </c>
      <c r="C1286">
        <v>2</v>
      </c>
      <c r="D1286">
        <v>2</v>
      </c>
      <c r="E1286">
        <v>18</v>
      </c>
      <c r="F1286" t="s">
        <v>92</v>
      </c>
      <c r="G1286">
        <v>-10286.58</v>
      </c>
      <c r="H1286">
        <f>_xlfn.XLOOKUP(tblFinancials[[#This Row],[DateKey]],tblCalendar[DateKey],tblCalendar[FullDate],"")</f>
        <v>45992</v>
      </c>
      <c r="I1286">
        <f>_xlfn.XLOOKUP(tblFinancials[[#This Row],[AccountKey]],tblAccounts[AccountKey],tblAccounts[AccountNumber],"")</f>
        <v>6200</v>
      </c>
      <c r="J1286" t="str">
        <f>_xlfn.XLOOKUP(tblFinancials[[#This Row],[AccountKey]],tblAccounts[AccountKey],tblAccounts[AccountName],"")</f>
        <v>Marketing Expense</v>
      </c>
      <c r="K1286" s="8" t="str">
        <f>_xlfn.XLOOKUP(tblFinancials[[#This Row],[AccountKey]],tblAccounts[AccountKey],tblAccounts[FinancialStatement],"")</f>
        <v>Income Statement</v>
      </c>
      <c r="L1286" s="8" t="str">
        <f>_xlfn.XLOOKUP(tblFinancials[[#This Row],[AccountKey]],tblAccounts[AccountKey],tblAccounts[AccountCategory],"")</f>
        <v>Operating Expense</v>
      </c>
      <c r="M1286" s="8" t="str">
        <f>_xlfn.XLOOKUP(tblFinancials[[#This Row],[AccountKey]],tblAccounts[AccountKey],tblAccounts[NormalBalance],"")</f>
        <v>Debit</v>
      </c>
      <c r="N1286" s="8" t="str">
        <f>_xlfn.XLOOKUP(tblFinancials[[#This Row],[DepartmentKey]],tblDepartments[DepartmentKey],tblDepartments[DepartmentName],"")</f>
        <v>Executive</v>
      </c>
      <c r="O1286" s="8" t="str">
        <f>_xlfn.XLOOKUP(tblFinancials[[#This Row],[BusinessUnitKey]],tblBusinessUnits[BusinessUnitKey],tblBusinessUnits[BusinessUnitName],"")</f>
        <v>Wholesale</v>
      </c>
      <c r="P1286" s="8" t="str">
        <f>_xlfn.XLOOKUP(tblFinancials[[#This Row],[RegionKey]],tblRegions[RegionKey],tblRegions[RegionName],"")</f>
        <v>Midwest</v>
      </c>
    </row>
    <row r="1287" spans="1:16">
      <c r="A1287">
        <v>20251201</v>
      </c>
      <c r="B1287">
        <v>3</v>
      </c>
      <c r="C1287">
        <v>4</v>
      </c>
      <c r="D1287">
        <v>3</v>
      </c>
      <c r="E1287">
        <v>15</v>
      </c>
      <c r="F1287" t="s">
        <v>92</v>
      </c>
      <c r="G1287">
        <v>-9874.08</v>
      </c>
      <c r="H1287">
        <f>_xlfn.XLOOKUP(tblFinancials[[#This Row],[DateKey]],tblCalendar[DateKey],tblCalendar[FullDate],"")</f>
        <v>45992</v>
      </c>
      <c r="I1287">
        <f>_xlfn.XLOOKUP(tblFinancials[[#This Row],[AccountKey]],tblAccounts[AccountKey],tblAccounts[AccountNumber],"")</f>
        <v>6100</v>
      </c>
      <c r="J1287" t="str">
        <f>_xlfn.XLOOKUP(tblFinancials[[#This Row],[AccountKey]],tblAccounts[AccountKey],tblAccounts[AccountName],"")</f>
        <v>Salaries Expense</v>
      </c>
      <c r="K1287" s="8" t="str">
        <f>_xlfn.XLOOKUP(tblFinancials[[#This Row],[AccountKey]],tblAccounts[AccountKey],tblAccounts[FinancialStatement],"")</f>
        <v>Income Statement</v>
      </c>
      <c r="L1287" s="8" t="str">
        <f>_xlfn.XLOOKUP(tblFinancials[[#This Row],[AccountKey]],tblAccounts[AccountKey],tblAccounts[AccountCategory],"")</f>
        <v>Operating Expense</v>
      </c>
      <c r="M1287" s="8" t="str">
        <f>_xlfn.XLOOKUP(tblFinancials[[#This Row],[AccountKey]],tblAccounts[AccountKey],tblAccounts[NormalBalance],"")</f>
        <v>Debit</v>
      </c>
      <c r="N1287" s="8" t="str">
        <f>_xlfn.XLOOKUP(tblFinancials[[#This Row],[DepartmentKey]],tblDepartments[DepartmentKey],tblDepartments[DepartmentName],"")</f>
        <v>Human Resources</v>
      </c>
      <c r="O1287" s="8" t="str">
        <f>_xlfn.XLOOKUP(tblFinancials[[#This Row],[BusinessUnitKey]],tblBusinessUnits[BusinessUnitKey],tblBusinessUnits[BusinessUnitName],"")</f>
        <v>E-Commerce</v>
      </c>
      <c r="P1287" s="8" t="str">
        <f>_xlfn.XLOOKUP(tblFinancials[[#This Row],[RegionKey]],tblRegions[RegionKey],tblRegions[RegionName],"")</f>
        <v>South</v>
      </c>
    </row>
    <row r="1288" spans="1:16">
      <c r="A1288">
        <v>20251201</v>
      </c>
      <c r="B1288">
        <v>4</v>
      </c>
      <c r="C1288">
        <v>4</v>
      </c>
      <c r="D1288">
        <v>4</v>
      </c>
      <c r="E1288">
        <v>21</v>
      </c>
      <c r="F1288" t="s">
        <v>92</v>
      </c>
      <c r="G1288">
        <v>-8422.17</v>
      </c>
      <c r="H1288">
        <f>_xlfn.XLOOKUP(tblFinancials[[#This Row],[DateKey]],tblCalendar[DateKey],tblCalendar[FullDate],"")</f>
        <v>45992</v>
      </c>
      <c r="I1288">
        <f>_xlfn.XLOOKUP(tblFinancials[[#This Row],[AccountKey]],tblAccounts[AccountKey],tblAccounts[AccountNumber],"")</f>
        <v>6600</v>
      </c>
      <c r="J1288" t="str">
        <f>_xlfn.XLOOKUP(tblFinancials[[#This Row],[AccountKey]],tblAccounts[AccountKey],tblAccounts[AccountName],"")</f>
        <v>Utilities Expense</v>
      </c>
      <c r="K1288" s="8" t="str">
        <f>_xlfn.XLOOKUP(tblFinancials[[#This Row],[AccountKey]],tblAccounts[AccountKey],tblAccounts[FinancialStatement],"")</f>
        <v>Income Statement</v>
      </c>
      <c r="L1288" s="8" t="str">
        <f>_xlfn.XLOOKUP(tblFinancials[[#This Row],[AccountKey]],tblAccounts[AccountKey],tblAccounts[AccountCategory],"")</f>
        <v>Operating Expense</v>
      </c>
      <c r="M1288" s="8" t="str">
        <f>_xlfn.XLOOKUP(tblFinancials[[#This Row],[AccountKey]],tblAccounts[AccountKey],tblAccounts[NormalBalance],"")</f>
        <v>Debit</v>
      </c>
      <c r="N1288" s="8" t="str">
        <f>_xlfn.XLOOKUP(tblFinancials[[#This Row],[DepartmentKey]],tblDepartments[DepartmentKey],tblDepartments[DepartmentName],"")</f>
        <v>Sales</v>
      </c>
      <c r="O1288" s="8" t="str">
        <f>_xlfn.XLOOKUP(tblFinancials[[#This Row],[BusinessUnitKey]],tblBusinessUnits[BusinessUnitKey],tblBusinessUnits[BusinessUnitName],"")</f>
        <v>E-Commerce</v>
      </c>
      <c r="P1288" s="8" t="str">
        <f>_xlfn.XLOOKUP(tblFinancials[[#This Row],[RegionKey]],tblRegions[RegionKey],tblRegions[RegionName],"")</f>
        <v>East</v>
      </c>
    </row>
    <row r="1289" spans="1:16">
      <c r="A1289">
        <v>20251201</v>
      </c>
      <c r="B1289">
        <v>8</v>
      </c>
      <c r="C1289">
        <v>4</v>
      </c>
      <c r="D1289">
        <v>3</v>
      </c>
      <c r="E1289">
        <v>17</v>
      </c>
      <c r="F1289" t="s">
        <v>92</v>
      </c>
      <c r="G1289">
        <v>-9390.51</v>
      </c>
      <c r="H1289">
        <f>_xlfn.XLOOKUP(tblFinancials[[#This Row],[DateKey]],tblCalendar[DateKey],tblCalendar[FullDate],"")</f>
        <v>45992</v>
      </c>
      <c r="I1289">
        <f>_xlfn.XLOOKUP(tblFinancials[[#This Row],[AccountKey]],tblAccounts[AccountKey],tblAccounts[AccountNumber],"")</f>
        <v>6120</v>
      </c>
      <c r="J1289" t="str">
        <f>_xlfn.XLOOKUP(tblFinancials[[#This Row],[AccountKey]],tblAccounts[AccountKey],tblAccounts[AccountName],"")</f>
        <v>Employee Benefits</v>
      </c>
      <c r="K1289" s="8" t="str">
        <f>_xlfn.XLOOKUP(tblFinancials[[#This Row],[AccountKey]],tblAccounts[AccountKey],tblAccounts[FinancialStatement],"")</f>
        <v>Income Statement</v>
      </c>
      <c r="L1289" s="8" t="str">
        <f>_xlfn.XLOOKUP(tblFinancials[[#This Row],[AccountKey]],tblAccounts[AccountKey],tblAccounts[AccountCategory],"")</f>
        <v>Operating Expense</v>
      </c>
      <c r="M1289" s="8" t="str">
        <f>_xlfn.XLOOKUP(tblFinancials[[#This Row],[AccountKey]],tblAccounts[AccountKey],tblAccounts[NormalBalance],"")</f>
        <v>Debit</v>
      </c>
      <c r="N1289" s="8" t="str">
        <f>_xlfn.XLOOKUP(tblFinancials[[#This Row],[DepartmentKey]],tblDepartments[DepartmentKey],tblDepartments[DepartmentName],"")</f>
        <v>Customer Service</v>
      </c>
      <c r="O1289" s="8" t="str">
        <f>_xlfn.XLOOKUP(tblFinancials[[#This Row],[BusinessUnitKey]],tblBusinessUnits[BusinessUnitKey],tblBusinessUnits[BusinessUnitName],"")</f>
        <v>E-Commerce</v>
      </c>
      <c r="P1289" s="8" t="str">
        <f>_xlfn.XLOOKUP(tblFinancials[[#This Row],[RegionKey]],tblRegions[RegionKey],tblRegions[RegionName],"")</f>
        <v>South</v>
      </c>
    </row>
    <row r="1290" spans="1:16">
      <c r="A1290">
        <v>20251201</v>
      </c>
      <c r="B1290">
        <v>3</v>
      </c>
      <c r="C1290">
        <v>2</v>
      </c>
      <c r="D1290">
        <v>3</v>
      </c>
      <c r="E1290">
        <v>16</v>
      </c>
      <c r="F1290" t="s">
        <v>92</v>
      </c>
      <c r="G1290">
        <v>-8286.3700000000008</v>
      </c>
      <c r="H1290">
        <f>_xlfn.XLOOKUP(tblFinancials[[#This Row],[DateKey]],tblCalendar[DateKey],tblCalendar[FullDate],"")</f>
        <v>45992</v>
      </c>
      <c r="I1290">
        <f>_xlfn.XLOOKUP(tblFinancials[[#This Row],[AccountKey]],tblAccounts[AccountKey],tblAccounts[AccountNumber],"")</f>
        <v>6110</v>
      </c>
      <c r="J1290" t="str">
        <f>_xlfn.XLOOKUP(tblFinancials[[#This Row],[AccountKey]],tblAccounts[AccountKey],tblAccounts[AccountName],"")</f>
        <v>Payroll Taxes</v>
      </c>
      <c r="K1290" s="8" t="str">
        <f>_xlfn.XLOOKUP(tblFinancials[[#This Row],[AccountKey]],tblAccounts[AccountKey],tblAccounts[FinancialStatement],"")</f>
        <v>Income Statement</v>
      </c>
      <c r="L1290" s="8" t="str">
        <f>_xlfn.XLOOKUP(tblFinancials[[#This Row],[AccountKey]],tblAccounts[AccountKey],tblAccounts[AccountCategory],"")</f>
        <v>Operating Expense</v>
      </c>
      <c r="M1290" s="8" t="str">
        <f>_xlfn.XLOOKUP(tblFinancials[[#This Row],[AccountKey]],tblAccounts[AccountKey],tblAccounts[NormalBalance],"")</f>
        <v>Debit</v>
      </c>
      <c r="N1290" s="8" t="str">
        <f>_xlfn.XLOOKUP(tblFinancials[[#This Row],[DepartmentKey]],tblDepartments[DepartmentKey],tblDepartments[DepartmentName],"")</f>
        <v>Human Resources</v>
      </c>
      <c r="O1290" s="8" t="str">
        <f>_xlfn.XLOOKUP(tblFinancials[[#This Row],[BusinessUnitKey]],tblBusinessUnits[BusinessUnitKey],tblBusinessUnits[BusinessUnitName],"")</f>
        <v>Wholesale</v>
      </c>
      <c r="P1290" s="8" t="str">
        <f>_xlfn.XLOOKUP(tblFinancials[[#This Row],[RegionKey]],tblRegions[RegionKey],tblRegions[RegionName],"")</f>
        <v>South</v>
      </c>
    </row>
    <row r="1291" spans="1:16">
      <c r="A1291">
        <v>20251201</v>
      </c>
      <c r="B1291">
        <v>5</v>
      </c>
      <c r="C1291">
        <v>4</v>
      </c>
      <c r="D1291">
        <v>1</v>
      </c>
      <c r="E1291">
        <v>18</v>
      </c>
      <c r="F1291" t="s">
        <v>92</v>
      </c>
      <c r="G1291">
        <v>-9866.8799999999992</v>
      </c>
      <c r="H1291">
        <f>_xlfn.XLOOKUP(tblFinancials[[#This Row],[DateKey]],tblCalendar[DateKey],tblCalendar[FullDate],"")</f>
        <v>45992</v>
      </c>
      <c r="I1291">
        <f>_xlfn.XLOOKUP(tblFinancials[[#This Row],[AccountKey]],tblAccounts[AccountKey],tblAccounts[AccountNumber],"")</f>
        <v>6200</v>
      </c>
      <c r="J1291" t="str">
        <f>_xlfn.XLOOKUP(tblFinancials[[#This Row],[AccountKey]],tblAccounts[AccountKey],tblAccounts[AccountName],"")</f>
        <v>Marketing Expense</v>
      </c>
      <c r="K1291" s="8" t="str">
        <f>_xlfn.XLOOKUP(tblFinancials[[#This Row],[AccountKey]],tblAccounts[AccountKey],tblAccounts[FinancialStatement],"")</f>
        <v>Income Statement</v>
      </c>
      <c r="L1291" s="8" t="str">
        <f>_xlfn.XLOOKUP(tblFinancials[[#This Row],[AccountKey]],tblAccounts[AccountKey],tblAccounts[AccountCategory],"")</f>
        <v>Operating Expense</v>
      </c>
      <c r="M1291" s="8" t="str">
        <f>_xlfn.XLOOKUP(tblFinancials[[#This Row],[AccountKey]],tblAccounts[AccountKey],tblAccounts[NormalBalance],"")</f>
        <v>Debit</v>
      </c>
      <c r="N1291" s="8" t="str">
        <f>_xlfn.XLOOKUP(tblFinancials[[#This Row],[DepartmentKey]],tblDepartments[DepartmentKey],tblDepartments[DepartmentName],"")</f>
        <v>Marketing</v>
      </c>
      <c r="O1291" s="8" t="str">
        <f>_xlfn.XLOOKUP(tblFinancials[[#This Row],[BusinessUnitKey]],tblBusinessUnits[BusinessUnitKey],tblBusinessUnits[BusinessUnitName],"")</f>
        <v>E-Commerce</v>
      </c>
      <c r="P1291" s="8" t="str">
        <f>_xlfn.XLOOKUP(tblFinancials[[#This Row],[RegionKey]],tblRegions[RegionKey],tblRegions[RegionName],"")</f>
        <v>West</v>
      </c>
    </row>
    <row r="1292" spans="1:16">
      <c r="A1292">
        <v>20251201</v>
      </c>
      <c r="B1292">
        <v>2</v>
      </c>
      <c r="C1292">
        <v>4</v>
      </c>
      <c r="D1292">
        <v>4</v>
      </c>
      <c r="E1292">
        <v>21</v>
      </c>
      <c r="F1292" t="s">
        <v>92</v>
      </c>
      <c r="G1292">
        <v>-9232.64</v>
      </c>
      <c r="H1292">
        <f>_xlfn.XLOOKUP(tblFinancials[[#This Row],[DateKey]],tblCalendar[DateKey],tblCalendar[FullDate],"")</f>
        <v>45992</v>
      </c>
      <c r="I1292">
        <f>_xlfn.XLOOKUP(tblFinancials[[#This Row],[AccountKey]],tblAccounts[AccountKey],tblAccounts[AccountNumber],"")</f>
        <v>6600</v>
      </c>
      <c r="J1292" t="str">
        <f>_xlfn.XLOOKUP(tblFinancials[[#This Row],[AccountKey]],tblAccounts[AccountKey],tblAccounts[AccountName],"")</f>
        <v>Utilities Expense</v>
      </c>
      <c r="K1292" s="8" t="str">
        <f>_xlfn.XLOOKUP(tblFinancials[[#This Row],[AccountKey]],tblAccounts[AccountKey],tblAccounts[FinancialStatement],"")</f>
        <v>Income Statement</v>
      </c>
      <c r="L1292" s="8" t="str">
        <f>_xlfn.XLOOKUP(tblFinancials[[#This Row],[AccountKey]],tblAccounts[AccountKey],tblAccounts[AccountCategory],"")</f>
        <v>Operating Expense</v>
      </c>
      <c r="M1292" s="8" t="str">
        <f>_xlfn.XLOOKUP(tblFinancials[[#This Row],[AccountKey]],tblAccounts[AccountKey],tblAccounts[NormalBalance],"")</f>
        <v>Debit</v>
      </c>
      <c r="N1292" s="8" t="str">
        <f>_xlfn.XLOOKUP(tblFinancials[[#This Row],[DepartmentKey]],tblDepartments[DepartmentKey],tblDepartments[DepartmentName],"")</f>
        <v>Finance</v>
      </c>
      <c r="O1292" s="8" t="str">
        <f>_xlfn.XLOOKUP(tblFinancials[[#This Row],[BusinessUnitKey]],tblBusinessUnits[BusinessUnitKey],tblBusinessUnits[BusinessUnitName],"")</f>
        <v>E-Commerce</v>
      </c>
      <c r="P1292" s="8" t="str">
        <f>_xlfn.XLOOKUP(tblFinancials[[#This Row],[RegionKey]],tblRegions[RegionKey],tblRegions[RegionName],"")</f>
        <v>East</v>
      </c>
    </row>
    <row r="1293" spans="1:16">
      <c r="A1293">
        <v>20251201</v>
      </c>
      <c r="B1293">
        <v>6</v>
      </c>
      <c r="C1293">
        <v>3</v>
      </c>
      <c r="D1293">
        <v>4</v>
      </c>
      <c r="E1293">
        <v>17</v>
      </c>
      <c r="F1293" t="s">
        <v>92</v>
      </c>
      <c r="G1293">
        <v>-9833.4699999999993</v>
      </c>
      <c r="H1293">
        <f>_xlfn.XLOOKUP(tblFinancials[[#This Row],[DateKey]],tblCalendar[DateKey],tblCalendar[FullDate],"")</f>
        <v>45992</v>
      </c>
      <c r="I1293">
        <f>_xlfn.XLOOKUP(tblFinancials[[#This Row],[AccountKey]],tblAccounts[AccountKey],tblAccounts[AccountNumber],"")</f>
        <v>6120</v>
      </c>
      <c r="J1293" t="str">
        <f>_xlfn.XLOOKUP(tblFinancials[[#This Row],[AccountKey]],tblAccounts[AccountKey],tblAccounts[AccountName],"")</f>
        <v>Employee Benefits</v>
      </c>
      <c r="K1293" s="8" t="str">
        <f>_xlfn.XLOOKUP(tblFinancials[[#This Row],[AccountKey]],tblAccounts[AccountKey],tblAccounts[FinancialStatement],"")</f>
        <v>Income Statement</v>
      </c>
      <c r="L1293" s="8" t="str">
        <f>_xlfn.XLOOKUP(tblFinancials[[#This Row],[AccountKey]],tblAccounts[AccountKey],tblAccounts[AccountCategory],"")</f>
        <v>Operating Expense</v>
      </c>
      <c r="M1293" s="8" t="str">
        <f>_xlfn.XLOOKUP(tblFinancials[[#This Row],[AccountKey]],tblAccounts[AccountKey],tblAccounts[NormalBalance],"")</f>
        <v>Debit</v>
      </c>
      <c r="N1293" s="8" t="str">
        <f>_xlfn.XLOOKUP(tblFinancials[[#This Row],[DepartmentKey]],tblDepartments[DepartmentKey],tblDepartments[DepartmentName],"")</f>
        <v>Operations</v>
      </c>
      <c r="O1293" s="8" t="str">
        <f>_xlfn.XLOOKUP(tblFinancials[[#This Row],[BusinessUnitKey]],tblBusinessUnits[BusinessUnitKey],tblBusinessUnits[BusinessUnitName],"")</f>
        <v>Retail</v>
      </c>
      <c r="P1293" s="8" t="str">
        <f>_xlfn.XLOOKUP(tblFinancials[[#This Row],[RegionKey]],tblRegions[RegionKey],tblRegions[RegionName],"")</f>
        <v>East</v>
      </c>
    </row>
    <row r="1294" spans="1:16">
      <c r="A1294">
        <v>20251201</v>
      </c>
      <c r="B1294">
        <v>6</v>
      </c>
      <c r="C1294">
        <v>4</v>
      </c>
      <c r="D1294">
        <v>4</v>
      </c>
      <c r="E1294">
        <v>23</v>
      </c>
      <c r="F1294" t="s">
        <v>92</v>
      </c>
      <c r="G1294">
        <v>-9125.74</v>
      </c>
      <c r="H1294">
        <f>_xlfn.XLOOKUP(tblFinancials[[#This Row],[DateKey]],tblCalendar[DateKey],tblCalendar[FullDate],"")</f>
        <v>45992</v>
      </c>
      <c r="I1294">
        <f>_xlfn.XLOOKUP(tblFinancials[[#This Row],[AccountKey]],tblAccounts[AccountKey],tblAccounts[AccountNumber],"")</f>
        <v>6800</v>
      </c>
      <c r="J1294" t="str">
        <f>_xlfn.XLOOKUP(tblFinancials[[#This Row],[AccountKey]],tblAccounts[AccountKey],tblAccounts[AccountName],"")</f>
        <v>Travel Expense</v>
      </c>
      <c r="K1294" s="8" t="str">
        <f>_xlfn.XLOOKUP(tblFinancials[[#This Row],[AccountKey]],tblAccounts[AccountKey],tblAccounts[FinancialStatement],"")</f>
        <v>Income Statement</v>
      </c>
      <c r="L1294" s="8" t="str">
        <f>_xlfn.XLOOKUP(tblFinancials[[#This Row],[AccountKey]],tblAccounts[AccountKey],tblAccounts[AccountCategory],"")</f>
        <v>Operating Expense</v>
      </c>
      <c r="M1294" s="8" t="str">
        <f>_xlfn.XLOOKUP(tblFinancials[[#This Row],[AccountKey]],tblAccounts[AccountKey],tblAccounts[NormalBalance],"")</f>
        <v>Debit</v>
      </c>
      <c r="N1294" s="8" t="str">
        <f>_xlfn.XLOOKUP(tblFinancials[[#This Row],[DepartmentKey]],tblDepartments[DepartmentKey],tblDepartments[DepartmentName],"")</f>
        <v>Operations</v>
      </c>
      <c r="O1294" s="8" t="str">
        <f>_xlfn.XLOOKUP(tblFinancials[[#This Row],[BusinessUnitKey]],tblBusinessUnits[BusinessUnitKey],tblBusinessUnits[BusinessUnitName],"")</f>
        <v>E-Commerce</v>
      </c>
      <c r="P1294" s="8" t="str">
        <f>_xlfn.XLOOKUP(tblFinancials[[#This Row],[RegionKey]],tblRegions[RegionKey],tblRegions[RegionName],"")</f>
        <v>East</v>
      </c>
    </row>
    <row r="1295" spans="1:16">
      <c r="A1295">
        <v>20251201</v>
      </c>
      <c r="B1295">
        <v>1</v>
      </c>
      <c r="C1295">
        <v>3</v>
      </c>
      <c r="D1295">
        <v>4</v>
      </c>
      <c r="E1295">
        <v>23</v>
      </c>
      <c r="F1295" t="s">
        <v>92</v>
      </c>
      <c r="G1295">
        <v>-9760</v>
      </c>
      <c r="H1295">
        <f>_xlfn.XLOOKUP(tblFinancials[[#This Row],[DateKey]],tblCalendar[DateKey],tblCalendar[FullDate],"")</f>
        <v>45992</v>
      </c>
      <c r="I1295">
        <f>_xlfn.XLOOKUP(tblFinancials[[#This Row],[AccountKey]],tblAccounts[AccountKey],tblAccounts[AccountNumber],"")</f>
        <v>6800</v>
      </c>
      <c r="J1295" t="str">
        <f>_xlfn.XLOOKUP(tblFinancials[[#This Row],[AccountKey]],tblAccounts[AccountKey],tblAccounts[AccountName],"")</f>
        <v>Travel Expense</v>
      </c>
      <c r="K1295" s="8" t="str">
        <f>_xlfn.XLOOKUP(tblFinancials[[#This Row],[AccountKey]],tblAccounts[AccountKey],tblAccounts[FinancialStatement],"")</f>
        <v>Income Statement</v>
      </c>
      <c r="L1295" s="8" t="str">
        <f>_xlfn.XLOOKUP(tblFinancials[[#This Row],[AccountKey]],tblAccounts[AccountKey],tblAccounts[AccountCategory],"")</f>
        <v>Operating Expense</v>
      </c>
      <c r="M1295" s="8" t="str">
        <f>_xlfn.XLOOKUP(tblFinancials[[#This Row],[AccountKey]],tblAccounts[AccountKey],tblAccounts[NormalBalance],"")</f>
        <v>Debit</v>
      </c>
      <c r="N1295" s="8" t="str">
        <f>_xlfn.XLOOKUP(tblFinancials[[#This Row],[DepartmentKey]],tblDepartments[DepartmentKey],tblDepartments[DepartmentName],"")</f>
        <v>Executive</v>
      </c>
      <c r="O1295" s="8" t="str">
        <f>_xlfn.XLOOKUP(tblFinancials[[#This Row],[BusinessUnitKey]],tblBusinessUnits[BusinessUnitKey],tblBusinessUnits[BusinessUnitName],"")</f>
        <v>Retail</v>
      </c>
      <c r="P1295" s="8" t="str">
        <f>_xlfn.XLOOKUP(tblFinancials[[#This Row],[RegionKey]],tblRegions[RegionKey],tblRegions[RegionName],"")</f>
        <v>East</v>
      </c>
    </row>
    <row r="1296" spans="1:16">
      <c r="A1296">
        <v>20251201</v>
      </c>
      <c r="B1296">
        <v>3</v>
      </c>
      <c r="C1296">
        <v>2</v>
      </c>
      <c r="D1296">
        <v>2</v>
      </c>
      <c r="E1296">
        <v>16</v>
      </c>
      <c r="F1296" t="s">
        <v>92</v>
      </c>
      <c r="G1296">
        <v>-9128.2900000000009</v>
      </c>
      <c r="H1296">
        <f>_xlfn.XLOOKUP(tblFinancials[[#This Row],[DateKey]],tblCalendar[DateKey],tblCalendar[FullDate],"")</f>
        <v>45992</v>
      </c>
      <c r="I1296">
        <f>_xlfn.XLOOKUP(tblFinancials[[#This Row],[AccountKey]],tblAccounts[AccountKey],tblAccounts[AccountNumber],"")</f>
        <v>6110</v>
      </c>
      <c r="J1296" t="str">
        <f>_xlfn.XLOOKUP(tblFinancials[[#This Row],[AccountKey]],tblAccounts[AccountKey],tblAccounts[AccountName],"")</f>
        <v>Payroll Taxes</v>
      </c>
      <c r="K1296" s="8" t="str">
        <f>_xlfn.XLOOKUP(tblFinancials[[#This Row],[AccountKey]],tblAccounts[AccountKey],tblAccounts[FinancialStatement],"")</f>
        <v>Income Statement</v>
      </c>
      <c r="L1296" s="8" t="str">
        <f>_xlfn.XLOOKUP(tblFinancials[[#This Row],[AccountKey]],tblAccounts[AccountKey],tblAccounts[AccountCategory],"")</f>
        <v>Operating Expense</v>
      </c>
      <c r="M1296" s="8" t="str">
        <f>_xlfn.XLOOKUP(tblFinancials[[#This Row],[AccountKey]],tblAccounts[AccountKey],tblAccounts[NormalBalance],"")</f>
        <v>Debit</v>
      </c>
      <c r="N1296" s="8" t="str">
        <f>_xlfn.XLOOKUP(tblFinancials[[#This Row],[DepartmentKey]],tblDepartments[DepartmentKey],tblDepartments[DepartmentName],"")</f>
        <v>Human Resources</v>
      </c>
      <c r="O1296" s="8" t="str">
        <f>_xlfn.XLOOKUP(tblFinancials[[#This Row],[BusinessUnitKey]],tblBusinessUnits[BusinessUnitKey],tblBusinessUnits[BusinessUnitName],"")</f>
        <v>Wholesale</v>
      </c>
      <c r="P1296" s="8" t="str">
        <f>_xlfn.XLOOKUP(tblFinancials[[#This Row],[RegionKey]],tblRegions[RegionKey],tblRegions[RegionName],"")</f>
        <v>Midwest</v>
      </c>
    </row>
    <row r="1297" spans="1:16">
      <c r="A1297">
        <v>20251201</v>
      </c>
      <c r="B1297">
        <v>5</v>
      </c>
      <c r="C1297">
        <v>4</v>
      </c>
      <c r="D1297">
        <v>2</v>
      </c>
      <c r="E1297">
        <v>21</v>
      </c>
      <c r="F1297" t="s">
        <v>92</v>
      </c>
      <c r="G1297">
        <v>-6874.77</v>
      </c>
      <c r="H1297">
        <f>_xlfn.XLOOKUP(tblFinancials[[#This Row],[DateKey]],tblCalendar[DateKey],tblCalendar[FullDate],"")</f>
        <v>45992</v>
      </c>
      <c r="I1297">
        <f>_xlfn.XLOOKUP(tblFinancials[[#This Row],[AccountKey]],tblAccounts[AccountKey],tblAccounts[AccountNumber],"")</f>
        <v>6600</v>
      </c>
      <c r="J1297" t="str">
        <f>_xlfn.XLOOKUP(tblFinancials[[#This Row],[AccountKey]],tblAccounts[AccountKey],tblAccounts[AccountName],"")</f>
        <v>Utilities Expense</v>
      </c>
      <c r="K1297" s="8" t="str">
        <f>_xlfn.XLOOKUP(tblFinancials[[#This Row],[AccountKey]],tblAccounts[AccountKey],tblAccounts[FinancialStatement],"")</f>
        <v>Income Statement</v>
      </c>
      <c r="L1297" s="8" t="str">
        <f>_xlfn.XLOOKUP(tblFinancials[[#This Row],[AccountKey]],tblAccounts[AccountKey],tblAccounts[AccountCategory],"")</f>
        <v>Operating Expense</v>
      </c>
      <c r="M1297" s="8" t="str">
        <f>_xlfn.XLOOKUP(tblFinancials[[#This Row],[AccountKey]],tblAccounts[AccountKey],tblAccounts[NormalBalance],"")</f>
        <v>Debit</v>
      </c>
      <c r="N1297" s="8" t="str">
        <f>_xlfn.XLOOKUP(tblFinancials[[#This Row],[DepartmentKey]],tblDepartments[DepartmentKey],tblDepartments[DepartmentName],"")</f>
        <v>Marketing</v>
      </c>
      <c r="O1297" s="8" t="str">
        <f>_xlfn.XLOOKUP(tblFinancials[[#This Row],[BusinessUnitKey]],tblBusinessUnits[BusinessUnitKey],tblBusinessUnits[BusinessUnitName],"")</f>
        <v>E-Commerce</v>
      </c>
      <c r="P1297" s="8" t="str">
        <f>_xlfn.XLOOKUP(tblFinancials[[#This Row],[RegionKey]],tblRegions[RegionKey],tblRegions[RegionName],"")</f>
        <v>Midwest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AD4C-5248-4F5B-BE79-9D747CCC8636}">
  <dimension ref="A1:C5"/>
  <sheetViews>
    <sheetView workbookViewId="0">
      <selection activeCell="G7" sqref="G7"/>
    </sheetView>
  </sheetViews>
  <sheetFormatPr defaultRowHeight="15"/>
  <cols>
    <col min="1" max="1" width="12.85546875" bestFit="1" customWidth="1"/>
    <col min="2" max="2" width="11.42578125" bestFit="1" customWidth="1"/>
    <col min="3" max="3" width="14.85546875" bestFit="1" customWidth="1"/>
  </cols>
  <sheetData>
    <row r="1" spans="1:3">
      <c r="A1" s="3" t="s">
        <v>285</v>
      </c>
      <c r="B1" s="4" t="s">
        <v>288</v>
      </c>
      <c r="C1" s="4" t="s">
        <v>287</v>
      </c>
    </row>
    <row r="2" spans="1:3">
      <c r="A2">
        <v>1</v>
      </c>
      <c r="B2" t="s">
        <v>289</v>
      </c>
      <c r="C2" t="s">
        <v>290</v>
      </c>
    </row>
    <row r="3" spans="1:3">
      <c r="A3">
        <v>2</v>
      </c>
      <c r="B3" t="s">
        <v>291</v>
      </c>
      <c r="C3" t="s">
        <v>292</v>
      </c>
    </row>
    <row r="4" spans="1:3">
      <c r="A4">
        <v>3</v>
      </c>
      <c r="B4" t="s">
        <v>293</v>
      </c>
      <c r="C4" t="s">
        <v>294</v>
      </c>
    </row>
    <row r="5" spans="1:3">
      <c r="A5">
        <v>4</v>
      </c>
      <c r="B5" t="s">
        <v>295</v>
      </c>
      <c r="C5" t="s">
        <v>296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AC94A-53F0-4EDA-93FB-B290D6267756}">
  <dimension ref="A1:F40"/>
  <sheetViews>
    <sheetView workbookViewId="0">
      <selection activeCell="A36" sqref="A36:F36"/>
    </sheetView>
  </sheetViews>
  <sheetFormatPr defaultRowHeight="15"/>
  <cols>
    <col min="1" max="1" width="34.28515625" customWidth="1"/>
    <col min="2" max="4" width="14.42578125" style="10" bestFit="1" customWidth="1"/>
    <col min="5" max="5" width="11.42578125" style="9" customWidth="1"/>
    <col min="6" max="6" width="10.7109375" style="9" customWidth="1"/>
  </cols>
  <sheetData>
    <row r="1" spans="1:6">
      <c r="A1" s="40" t="s">
        <v>0</v>
      </c>
      <c r="B1" s="40"/>
      <c r="C1" s="40"/>
      <c r="D1" s="40"/>
      <c r="E1" s="40"/>
      <c r="F1" s="40"/>
    </row>
    <row r="2" spans="1:6">
      <c r="A2" s="40" t="s">
        <v>297</v>
      </c>
      <c r="B2" s="40"/>
      <c r="C2" s="40"/>
      <c r="D2" s="40"/>
      <c r="E2" s="40"/>
      <c r="F2" s="40"/>
    </row>
    <row r="4" spans="1:6">
      <c r="A4" t="s">
        <v>298</v>
      </c>
      <c r="B4" s="8">
        <v>2023</v>
      </c>
      <c r="C4" s="8">
        <v>2024</v>
      </c>
      <c r="D4" s="8">
        <v>2025</v>
      </c>
      <c r="E4" s="9" t="s">
        <v>299</v>
      </c>
      <c r="F4" s="9" t="s">
        <v>300</v>
      </c>
    </row>
    <row r="5" spans="1:6">
      <c r="A5" s="40" t="s">
        <v>36</v>
      </c>
      <c r="B5" s="40"/>
      <c r="C5" s="40"/>
      <c r="D5" s="40"/>
      <c r="E5" s="40"/>
      <c r="F5" s="40"/>
    </row>
    <row r="6" spans="1:6">
      <c r="A6" t="s">
        <v>177</v>
      </c>
      <c r="B6" s="10">
        <f>SUMIFS(tblFinancials[Amount],tblFinancials[AccountName],$A6,tblFinancials[FullDate],"&gt;="&amp;DATE(B$4,1,1),tblFinancials[FullDate],"&lt;="&amp;DATE(B$4,12,31))</f>
        <v>1358696.7799999998</v>
      </c>
      <c r="C6" s="10">
        <f>SUMIFS(tblFinancials[Amount],tblFinancials[AccountName],$A6,tblFinancials[FullDate],"&gt;="&amp;DATE(C$4,1,1),tblFinancials[FullDate],"&lt;="&amp;DATE(C$4,12,31))</f>
        <v>1542816.78</v>
      </c>
      <c r="D6" s="10">
        <f>SUMIFS(tblFinancials[Amount],tblFinancials[AccountName],$A6,tblFinancials[FullDate],"&gt;="&amp;DATE(D$4,1,1),tblFinancials[FullDate],"&lt;="&amp;DATE(D$4,12,31))</f>
        <v>1593911.6199999999</v>
      </c>
      <c r="E6" s="9">
        <f>IFERROR(C6/B6-1,0)</f>
        <v>0.13551220751402693</v>
      </c>
      <c r="F6" s="9">
        <f>IFERROR(D6/C6-1,0)</f>
        <v>3.3117892326786746E-2</v>
      </c>
    </row>
    <row r="7" spans="1:6">
      <c r="A7" t="s">
        <v>179</v>
      </c>
      <c r="B7" s="10">
        <f>SUMIFS(tblFinancials[Amount],tblFinancials[AccountName],$A7,tblFinancials[FullDate],"&gt;="&amp;DATE(B$4,1,1),tblFinancials[FullDate],"&lt;="&amp;DATE(B$4,12,31))</f>
        <v>1487698.5099999998</v>
      </c>
      <c r="C7" s="10">
        <f>SUMIFS(tblFinancials[Amount],tblFinancials[AccountName],$A7,tblFinancials[FullDate],"&gt;="&amp;DATE(C$4,1,1),tblFinancials[FullDate],"&lt;="&amp;DATE(C$4,12,31))</f>
        <v>1468097.83</v>
      </c>
      <c r="D7" s="10">
        <f>SUMIFS(tblFinancials[Amount],tblFinancials[AccountName],$A7,tblFinancials[FullDate],"&gt;="&amp;DATE(D$4,1,1),tblFinancials[FullDate],"&lt;="&amp;DATE(D$4,12,31))</f>
        <v>2075959.6800000004</v>
      </c>
      <c r="E7" s="9">
        <f>IFERROR(C7/B7-1,0)</f>
        <v>-1.3175169477046555E-2</v>
      </c>
      <c r="F7" s="9">
        <f>IFERROR(D7/C7-1,0)</f>
        <v>0.41404723689292577</v>
      </c>
    </row>
    <row r="8" spans="1:6">
      <c r="A8" t="s">
        <v>180</v>
      </c>
      <c r="B8" s="10">
        <f>SUMIFS(tblFinancials[Amount],tblFinancials[AccountName],$A8,tblFinancials[FullDate],"&gt;="&amp;DATE(B$4,1,1),tblFinancials[FullDate],"&lt;="&amp;DATE(B$4,12,31))</f>
        <v>1332487.7300000002</v>
      </c>
      <c r="C8" s="10">
        <f>SUMIFS(tblFinancials[Amount],tblFinancials[AccountName],$A8,tblFinancials[FullDate],"&gt;="&amp;DATE(C$4,1,1),tblFinancials[FullDate],"&lt;="&amp;DATE(C$4,12,31))</f>
        <v>1527404.0200000003</v>
      </c>
      <c r="D8" s="10">
        <f>SUMIFS(tblFinancials[Amount],tblFinancials[AccountName],$A8,tblFinancials[FullDate],"&gt;="&amp;DATE(D$4,1,1),tblFinancials[FullDate],"&lt;="&amp;DATE(D$4,12,31))</f>
        <v>1194194.79</v>
      </c>
      <c r="E8" s="9">
        <f>IFERROR(C8/B8-1,0)</f>
        <v>0.14627998863449188</v>
      </c>
      <c r="F8" s="9">
        <f>IFERROR(D8/C8-1,0)</f>
        <v>-0.21815395641030211</v>
      </c>
    </row>
    <row r="9" spans="1:6">
      <c r="A9" t="s">
        <v>301</v>
      </c>
      <c r="B9" s="10">
        <f>SUM(B6:B8)</f>
        <v>4178883.0199999996</v>
      </c>
      <c r="C9" s="10">
        <f>SUM(C6:C8)</f>
        <v>4538318.6300000008</v>
      </c>
      <c r="D9" s="10">
        <f>SUM(D6:D8)</f>
        <v>4864066.09</v>
      </c>
      <c r="E9" s="9">
        <f>IFERROR(C9/B9-1,0)</f>
        <v>8.6012364615078774E-2</v>
      </c>
      <c r="F9" s="9">
        <f>IFERROR(D9/C9-1,0)</f>
        <v>7.1777124207781595E-2</v>
      </c>
    </row>
    <row r="12" spans="1:6">
      <c r="A12" t="s">
        <v>181</v>
      </c>
      <c r="B12" s="10">
        <f>SUMIFS(tblFinancials[Amount],tblFinancials[AccountName],$A12,tblFinancials[FullDate],"&gt;="&amp;DATE(B$4,1,1),tblFinancials[FullDate],"&lt;="&amp;DATE(B$4,12,31))</f>
        <v>-2444646.5700000003</v>
      </c>
      <c r="C12" s="10">
        <f>SUMIFS(tblFinancials[Amount],tblFinancials[AccountName],$A12,tblFinancials[FullDate],"&gt;="&amp;DATE(C$4,1,1),tblFinancials[FullDate],"&lt;="&amp;DATE(C$4,12,31))</f>
        <v>-2654916.41</v>
      </c>
      <c r="D12" s="10">
        <f>SUMIFS(tblFinancials[Amount],tblFinancials[AccountName],$A12,tblFinancials[FullDate],"&gt;="&amp;DATE(D$4,1,1),tblFinancials[FullDate],"&lt;="&amp;DATE(D$4,12,31))</f>
        <v>-2845478.6800000006</v>
      </c>
    </row>
    <row r="13" spans="1:6">
      <c r="A13" t="s">
        <v>38</v>
      </c>
      <c r="B13" s="10">
        <f>B9+B12</f>
        <v>1734236.4499999993</v>
      </c>
      <c r="C13" s="10">
        <f>C9+C12</f>
        <v>1883402.2200000007</v>
      </c>
      <c r="D13" s="10">
        <f>D9+D12</f>
        <v>2018587.4099999992</v>
      </c>
      <c r="E13" s="9">
        <f>IFERROR(C13/B13-1,0)</f>
        <v>8.6012360079273709E-2</v>
      </c>
      <c r="F13" s="9">
        <f>IFERROR(D13/C13-1,0)</f>
        <v>7.1777121511515718E-2</v>
      </c>
    </row>
    <row r="14" spans="1:6">
      <c r="A14" t="s">
        <v>302</v>
      </c>
      <c r="B14" s="9">
        <f>IFERROR(B13/B9,0)</f>
        <v>0.41499999921031516</v>
      </c>
      <c r="C14" s="9">
        <f>IFERROR(C13/C9,0)</f>
        <v>0.41499999747703925</v>
      </c>
      <c r="D14" s="9">
        <f>IFERROR(D13/D9,0)</f>
        <v>0.41499999643302526</v>
      </c>
    </row>
    <row r="16" spans="1:6">
      <c r="A16" s="40" t="s">
        <v>40</v>
      </c>
      <c r="B16" s="40"/>
      <c r="C16" s="40"/>
      <c r="D16" s="40"/>
      <c r="E16" s="40"/>
      <c r="F16" s="40"/>
    </row>
    <row r="17" spans="1:6">
      <c r="A17" t="s">
        <v>183</v>
      </c>
      <c r="B17" s="10">
        <f>SUMIFS(tblFinancials[Amount],tblFinancials[AccountName],$A17,tblFinancials[FullDate],"&gt;="&amp;DATE(B$4,1,1),tblFinancials[FullDate],"&lt;="&amp;DATE(B$4,12,31))</f>
        <v>-52242.94</v>
      </c>
      <c r="C17" s="10">
        <f>SUMIFS(tblFinancials[Amount],tblFinancials[AccountName],$A17,tblFinancials[FullDate],"&gt;="&amp;DATE(C$4,1,1),tblFinancials[FullDate],"&lt;="&amp;DATE(C$4,12,31))</f>
        <v>-96375.749999999985</v>
      </c>
      <c r="D17" s="10">
        <f>SUMIFS(tblFinancials[Amount],tblFinancials[AccountName],$A17,tblFinancials[FullDate],"&gt;="&amp;DATE(D$4,1,1),tblFinancials[FullDate],"&lt;="&amp;DATE(D$4,12,31))</f>
        <v>-114708.76999999999</v>
      </c>
    </row>
    <row r="18" spans="1:6">
      <c r="A18" t="s">
        <v>185</v>
      </c>
      <c r="B18" s="10">
        <f>SUMIFS(tblFinancials[Amount],tblFinancials[AccountName],$A18,tblFinancials[FullDate],"&gt;="&amp;DATE(B$4,1,1),tblFinancials[FullDate],"&lt;="&amp;DATE(B$4,12,31))</f>
        <v>-80037.570000000007</v>
      </c>
      <c r="C18" s="10">
        <f>SUMIFS(tblFinancials[Amount],tblFinancials[AccountName],$A18,tblFinancials[FullDate],"&gt;="&amp;DATE(C$4,1,1),tblFinancials[FullDate],"&lt;="&amp;DATE(C$4,12,31))</f>
        <v>-69239.39</v>
      </c>
      <c r="D18" s="10">
        <f>SUMIFS(tblFinancials[Amount],tblFinancials[AccountName],$A18,tblFinancials[FullDate],"&gt;="&amp;DATE(D$4,1,1),tblFinancials[FullDate],"&lt;="&amp;DATE(D$4,12,31))</f>
        <v>-121548.56</v>
      </c>
    </row>
    <row r="19" spans="1:6">
      <c r="A19" t="s">
        <v>186</v>
      </c>
      <c r="B19" s="10">
        <f>SUMIFS(tblFinancials[Amount],tblFinancials[AccountName],$A19,tblFinancials[FullDate],"&gt;="&amp;DATE(B$4,1,1),tblFinancials[FullDate],"&lt;="&amp;DATE(B$4,12,31))</f>
        <v>-151449.31000000003</v>
      </c>
      <c r="C19" s="10">
        <f>SUMIFS(tblFinancials[Amount],tblFinancials[AccountName],$A19,tblFinancials[FullDate],"&gt;="&amp;DATE(C$4,1,1),tblFinancials[FullDate],"&lt;="&amp;DATE(C$4,12,31))</f>
        <v>-76396.41</v>
      </c>
      <c r="D19" s="10">
        <f>SUMIFS(tblFinancials[Amount],tblFinancials[AccountName],$A19,tblFinancials[FullDate],"&gt;="&amp;DATE(D$4,1,1),tblFinancials[FullDate],"&lt;="&amp;DATE(D$4,12,31))</f>
        <v>-127470.28999999996</v>
      </c>
    </row>
    <row r="20" spans="1:6">
      <c r="A20" t="s">
        <v>187</v>
      </c>
      <c r="B20" s="10">
        <f>SUMIFS(tblFinancials[Amount],tblFinancials[AccountName],$A20,tblFinancials[FullDate],"&gt;="&amp;DATE(B$4,1,1),tblFinancials[FullDate],"&lt;="&amp;DATE(B$4,12,31))</f>
        <v>-98516.96</v>
      </c>
      <c r="C20" s="10">
        <f>SUMIFS(tblFinancials[Amount],tblFinancials[AccountName],$A20,tblFinancials[FullDate],"&gt;="&amp;DATE(C$4,1,1),tblFinancials[FullDate],"&lt;="&amp;DATE(C$4,12,31))</f>
        <v>-117550.9</v>
      </c>
      <c r="D20" s="10">
        <f>SUMIFS(tblFinancials[Amount],tblFinancials[AccountName],$A20,tblFinancials[FullDate],"&gt;="&amp;DATE(D$4,1,1),tblFinancials[FullDate],"&lt;="&amp;DATE(D$4,12,31))</f>
        <v>-134698.59000000003</v>
      </c>
    </row>
    <row r="21" spans="1:6">
      <c r="A21" t="s">
        <v>188</v>
      </c>
      <c r="B21" s="10">
        <f>SUMIFS(tblFinancials[Amount],tblFinancials[AccountName],$A21,tblFinancials[FullDate],"&gt;="&amp;DATE(B$4,1,1),tblFinancials[FullDate],"&lt;="&amp;DATE(B$4,12,31))</f>
        <v>-75424.460000000006</v>
      </c>
      <c r="C21" s="10">
        <f>SUMIFS(tblFinancials[Amount],tblFinancials[AccountName],$A21,tblFinancials[FullDate],"&gt;="&amp;DATE(C$4,1,1),tblFinancials[FullDate],"&lt;="&amp;DATE(C$4,12,31))</f>
        <v>-92312.640000000014</v>
      </c>
      <c r="D21" s="10">
        <f>SUMIFS(tblFinancials[Amount],tblFinancials[AccountName],$A21,tblFinancials[FullDate],"&gt;="&amp;DATE(D$4,1,1),tblFinancials[FullDate],"&lt;="&amp;DATE(D$4,12,31))</f>
        <v>-95296.73000000001</v>
      </c>
    </row>
    <row r="22" spans="1:6">
      <c r="A22" t="s">
        <v>189</v>
      </c>
      <c r="B22" s="10">
        <f>SUMIFS(tblFinancials[Amount],tblFinancials[AccountName],$A22,tblFinancials[FullDate],"&gt;="&amp;DATE(B$4,1,1),tblFinancials[FullDate],"&lt;="&amp;DATE(B$4,12,31))</f>
        <v>-88551.800000000017</v>
      </c>
      <c r="C22" s="10">
        <f>SUMIFS(tblFinancials[Amount],tblFinancials[AccountName],$A22,tblFinancials[FullDate],"&gt;="&amp;DATE(C$4,1,1),tblFinancials[FullDate],"&lt;="&amp;DATE(C$4,12,31))</f>
        <v>-83485.210000000006</v>
      </c>
      <c r="D22" s="10">
        <f>SUMIFS(tblFinancials[Amount],tblFinancials[AccountName],$A22,tblFinancials[FullDate],"&gt;="&amp;DATE(D$4,1,1),tblFinancials[FullDate],"&lt;="&amp;DATE(D$4,12,31))</f>
        <v>-40564.25</v>
      </c>
    </row>
    <row r="23" spans="1:6">
      <c r="A23" t="s">
        <v>190</v>
      </c>
      <c r="B23" s="10">
        <f>SUMIFS(tblFinancials[Amount],tblFinancials[AccountName],$A23,tblFinancials[FullDate],"&gt;="&amp;DATE(B$4,1,1),tblFinancials[FullDate],"&lt;="&amp;DATE(B$4,12,31))</f>
        <v>-92702.169999999984</v>
      </c>
      <c r="C23" s="10">
        <f>SUMIFS(tblFinancials[Amount],tblFinancials[AccountName],$A23,tblFinancials[FullDate],"&gt;="&amp;DATE(C$4,1,1),tblFinancials[FullDate],"&lt;="&amp;DATE(C$4,12,31))</f>
        <v>-148036.79</v>
      </c>
      <c r="D23" s="10">
        <f>SUMIFS(tblFinancials[Amount],tblFinancials[AccountName],$A23,tblFinancials[FullDate],"&gt;="&amp;DATE(D$4,1,1),tblFinancials[FullDate],"&lt;="&amp;DATE(D$4,12,31))</f>
        <v>-106019.65</v>
      </c>
    </row>
    <row r="24" spans="1:6">
      <c r="A24" t="s">
        <v>191</v>
      </c>
      <c r="B24" s="10">
        <f>SUMIFS(tblFinancials[Amount],tblFinancials[AccountName],$A24,tblFinancials[FullDate],"&gt;="&amp;DATE(B$4,1,1),tblFinancials[FullDate],"&lt;="&amp;DATE(B$4,12,31))</f>
        <v>-73253.14</v>
      </c>
      <c r="C24" s="10">
        <f>SUMIFS(tblFinancials[Amount],tblFinancials[AccountName],$A24,tblFinancials[FullDate],"&gt;="&amp;DATE(C$4,1,1),tblFinancials[FullDate],"&lt;="&amp;DATE(C$4,12,31))</f>
        <v>-103891.91</v>
      </c>
      <c r="D24" s="10">
        <f>SUMIFS(tblFinancials[Amount],tblFinancials[AccountName],$A24,tblFinancials[FullDate],"&gt;="&amp;DATE(D$4,1,1),tblFinancials[FullDate],"&lt;="&amp;DATE(D$4,12,31))</f>
        <v>-70498.070000000007</v>
      </c>
    </row>
    <row r="25" spans="1:6">
      <c r="A25" t="s">
        <v>192</v>
      </c>
      <c r="B25" s="10">
        <f>SUMIFS(tblFinancials[Amount],tblFinancials[AccountName],$A25,tblFinancials[FullDate],"&gt;="&amp;DATE(B$4,1,1),tblFinancials[FullDate],"&lt;="&amp;DATE(B$4,12,31))</f>
        <v>-93867.94</v>
      </c>
      <c r="C25" s="10">
        <f>SUMIFS(tblFinancials[Amount],tblFinancials[AccountName],$A25,tblFinancials[FullDate],"&gt;="&amp;DATE(C$4,1,1),tblFinancials[FullDate],"&lt;="&amp;DATE(C$4,12,31))</f>
        <v>-58534.909999999989</v>
      </c>
      <c r="D25" s="10">
        <f>SUMIFS(tblFinancials[Amount],tblFinancials[AccountName],$A25,tblFinancials[FullDate],"&gt;="&amp;DATE(D$4,1,1),tblFinancials[FullDate],"&lt;="&amp;DATE(D$4,12,31))</f>
        <v>-110065.08000000002</v>
      </c>
    </row>
    <row r="26" spans="1:6">
      <c r="A26" t="s">
        <v>193</v>
      </c>
      <c r="B26" s="10">
        <f>SUMIFS(tblFinancials[Amount],tblFinancials[AccountName],$A26,tblFinancials[FullDate],"&gt;="&amp;DATE(B$4,1,1),tblFinancials[FullDate],"&lt;="&amp;DATE(B$4,12,31))</f>
        <v>-102318.47</v>
      </c>
      <c r="C26" s="10">
        <f>SUMIFS(tblFinancials[Amount],tblFinancials[AccountName],$A26,tblFinancials[FullDate],"&gt;="&amp;DATE(C$4,1,1),tblFinancials[FullDate],"&lt;="&amp;DATE(C$4,12,31))</f>
        <v>-120394.76999999997</v>
      </c>
      <c r="D26" s="10">
        <f>SUMIFS(tblFinancials[Amount],tblFinancials[AccountName],$A26,tblFinancials[FullDate],"&gt;="&amp;DATE(D$4,1,1),tblFinancials[FullDate],"&lt;="&amp;DATE(D$4,12,31))</f>
        <v>-80636.719999999987</v>
      </c>
    </row>
    <row r="27" spans="1:6">
      <c r="A27" t="s">
        <v>303</v>
      </c>
      <c r="B27" s="10">
        <f>SUM(B17:B26)</f>
        <v>-908364.76000000024</v>
      </c>
      <c r="C27" s="10">
        <f>SUM(C17:C26)</f>
        <v>-966218.68</v>
      </c>
      <c r="D27" s="10">
        <f>SUM(D17:D26)</f>
        <v>-1001506.71</v>
      </c>
      <c r="E27" s="9">
        <f>IFERROR(C27/B27-1,0)</f>
        <v>6.369018542727245E-2</v>
      </c>
      <c r="F27" s="9">
        <f>IFERROR(D27/C27-1,0)</f>
        <v>3.6521784074801777E-2</v>
      </c>
    </row>
    <row r="29" spans="1:6">
      <c r="A29" t="s">
        <v>41</v>
      </c>
      <c r="B29" s="10">
        <f>B13+B27</f>
        <v>825871.68999999901</v>
      </c>
      <c r="C29" s="10">
        <f>C13+C27</f>
        <v>917183.54000000062</v>
      </c>
      <c r="D29" s="10">
        <f>D13+D27</f>
        <v>1017080.6999999993</v>
      </c>
      <c r="E29" s="9">
        <f>IFERROR(C29/B29-1,0)</f>
        <v>0.11056420883006868</v>
      </c>
      <c r="F29" s="9">
        <f>IFERROR(D29/C29-1,0)</f>
        <v>0.10891730568998059</v>
      </c>
    </row>
    <row r="30" spans="1:6">
      <c r="A30" t="s">
        <v>304</v>
      </c>
      <c r="B30" s="9">
        <f>IFERROR(B29/B9,0)</f>
        <v>0.19762976997618831</v>
      </c>
      <c r="C30" s="9">
        <f>IFERROR(C29/C9,0)</f>
        <v>0.20209765218710535</v>
      </c>
      <c r="D30" s="9">
        <f>IFERROR(D29/D9,0)</f>
        <v>0.20910092115956411</v>
      </c>
    </row>
    <row r="32" spans="1:6">
      <c r="A32" t="s">
        <v>194</v>
      </c>
      <c r="B32" s="10">
        <f>SUMIFS(tblFinancials[Amount],tblFinancials[AccountName],$A32,tblFinancials[FullDate],"&gt;="&amp;DATE(B$4,1,1),tblFinancials[FullDate],"&lt;="&amp;DATE(B$4,12,31))</f>
        <v>-73672.760000000009</v>
      </c>
      <c r="C32" s="10">
        <f>SUMIFS(tblFinancials[Amount],tblFinancials[AccountName],$A32,tblFinancials[FullDate],"&gt;="&amp;DATE(C$4,1,1),tblFinancials[FullDate],"&lt;="&amp;DATE(C$4,12,31))</f>
        <v>-100286.18000000001</v>
      </c>
      <c r="D32" s="10">
        <f>SUMIFS(tblFinancials[Amount],tblFinancials[AccountName],$A32,tblFinancials[FullDate],"&gt;="&amp;DATE(D$4,1,1),tblFinancials[FullDate],"&lt;="&amp;DATE(D$4,12,31))</f>
        <v>-141548.81</v>
      </c>
    </row>
    <row r="33" spans="1:6">
      <c r="A33" t="s">
        <v>43</v>
      </c>
      <c r="B33" s="10">
        <f>B29+B32</f>
        <v>752198.929999999</v>
      </c>
      <c r="C33" s="10">
        <f>C29+C32</f>
        <v>816897.36000000057</v>
      </c>
      <c r="D33" s="10">
        <f>D29+D32</f>
        <v>875531.8899999992</v>
      </c>
      <c r="E33" s="9">
        <f>IFERROR(C33/B33-1,0)</f>
        <v>8.601239302481023E-2</v>
      </c>
      <c r="F33" s="9">
        <f>IFERROR(D33/C33-1,0)</f>
        <v>7.1777107958824304E-2</v>
      </c>
    </row>
    <row r="34" spans="1:6" s="9" customFormat="1">
      <c r="A34" s="9" t="s">
        <v>305</v>
      </c>
      <c r="B34" s="9">
        <f>IFERROR(B33/B9,0)</f>
        <v>0.1799999967455416</v>
      </c>
      <c r="C34" s="9">
        <f>IFERROR(C33/C9,0)</f>
        <v>0.18000000145428319</v>
      </c>
      <c r="D34" s="9">
        <f>IFERROR(D33/D9,0)</f>
        <v>0.17999999872534611</v>
      </c>
    </row>
    <row r="36" spans="1:6">
      <c r="A36" s="40" t="s">
        <v>306</v>
      </c>
      <c r="B36" s="40"/>
      <c r="C36" s="40"/>
      <c r="D36" s="40"/>
      <c r="E36" s="40"/>
      <c r="F36" s="40"/>
    </row>
    <row r="37" spans="1:6">
      <c r="A37" t="s">
        <v>307</v>
      </c>
      <c r="B37" s="10" t="str">
        <f>IF(ROUND(B9,2)=ROUND(SUMIFS(tblFinancials[Amount],tblFinancials[FinancialStatement],"Income Statement",tblFinancials[AccountCategory],"Revenue",tblFinancials[FullDate],"&gt;="&amp;DATE(B$4,1,1),tblFinancials[FullDate],"&lt;="&amp;DATE(B$4,12,31)),2),"OK","CHECK")</f>
        <v>OK</v>
      </c>
      <c r="C37" s="10" t="str">
        <f>IF(ROUND(C9,2)=ROUND(SUMIFS(tblFinancials[Amount],tblFinancials[FinancialStatement],"Income Statement",tblFinancials[AccountCategory],"Revenue",tblFinancials[FullDate],"&gt;="&amp;DATE(C$4,1,1),tblFinancials[FullDate],"&lt;="&amp;DATE(C$4,12,31)),2),"OK","CHECK")</f>
        <v>OK</v>
      </c>
      <c r="D37" s="10" t="str">
        <f>IF(ROUND(D9,2)=ROUND(SUMIFS(tblFinancials[Amount],tblFinancials[FinancialStatement],"Income Statement",tblFinancials[AccountCategory],"Revenue",tblFinancials[FullDate],"&gt;="&amp;DATE(D$4,1,1),tblFinancials[FullDate],"&lt;="&amp;DATE(D$4,12,31)),2),"OK","CHECK")</f>
        <v>OK</v>
      </c>
    </row>
    <row r="38" spans="1:6">
      <c r="A38" t="s">
        <v>308</v>
      </c>
      <c r="B38" s="10" t="str">
        <f>IF(ROUND(B13,2)=ROUND(B9+B12,2),"OK","CHECK")</f>
        <v>OK</v>
      </c>
      <c r="C38" s="10" t="str">
        <f>IF(ROUND(C13,2)=ROUND(C9+C12,2),"OK","CHECK")</f>
        <v>OK</v>
      </c>
      <c r="D38" s="10" t="str">
        <f>IF(ROUND(D13,2)=ROUND(D9+D12,2),"OK","CHECK")</f>
        <v>OK</v>
      </c>
    </row>
    <row r="39" spans="1:6">
      <c r="A39" t="s">
        <v>309</v>
      </c>
      <c r="B39" s="10" t="str">
        <f>IF(ROUND(B29,2)=ROUND(B13+B27,2),"OK","CHECK")</f>
        <v>OK</v>
      </c>
      <c r="C39" s="10" t="str">
        <f>IF(ROUND(C29,2)=ROUND(C13+C27,2),"OK","CHECK")</f>
        <v>OK</v>
      </c>
      <c r="D39" s="10" t="str">
        <f>IF(ROUND(D29,2)=ROUND(D13+D27,2),"OK","CHECK")</f>
        <v>OK</v>
      </c>
    </row>
    <row r="40" spans="1:6">
      <c r="A40" t="s">
        <v>310</v>
      </c>
      <c r="B40" s="10" t="str">
        <f>IF(ROUND(B33,2)=ROUND(B29+B32,2),"OK","CHECK")</f>
        <v>OK</v>
      </c>
      <c r="C40" s="10" t="str">
        <f>IF(ROUND(C33,2)=ROUND(C29+C32,2),"OK","CHECK")</f>
        <v>OK</v>
      </c>
      <c r="D40" s="10" t="str">
        <f>IF(ROUND(D33,2)=ROUND(D29+D32,2),"OK","CHECK")</f>
        <v>OK</v>
      </c>
    </row>
  </sheetData>
  <mergeCells count="5">
    <mergeCell ref="A1:F1"/>
    <mergeCell ref="A2:F2"/>
    <mergeCell ref="A5:F5"/>
    <mergeCell ref="A16:F16"/>
    <mergeCell ref="A36:F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600F-7C2E-4232-9704-84AD0ABC5FFE}">
  <dimension ref="A1:D31"/>
  <sheetViews>
    <sheetView topLeftCell="A21" workbookViewId="0">
      <selection activeCell="A21" sqref="A21:D21"/>
    </sheetView>
  </sheetViews>
  <sheetFormatPr defaultRowHeight="15"/>
  <cols>
    <col min="1" max="1" width="36.42578125" customWidth="1"/>
    <col min="2" max="2" width="13" style="8" bestFit="1" customWidth="1"/>
    <col min="3" max="3" width="12.5703125" bestFit="1" customWidth="1"/>
    <col min="4" max="4" width="12.85546875" bestFit="1" customWidth="1"/>
  </cols>
  <sheetData>
    <row r="1" spans="1:4">
      <c r="A1" s="40" t="s">
        <v>0</v>
      </c>
      <c r="B1" s="40"/>
      <c r="C1" s="40"/>
      <c r="D1" s="40"/>
    </row>
    <row r="2" spans="1:4">
      <c r="A2" s="40" t="s">
        <v>311</v>
      </c>
      <c r="B2" s="40"/>
      <c r="C2" s="40"/>
      <c r="D2" s="40"/>
    </row>
    <row r="4" spans="1:4">
      <c r="A4" t="s">
        <v>32</v>
      </c>
      <c r="B4" s="8">
        <v>2023</v>
      </c>
      <c r="C4">
        <v>2024</v>
      </c>
      <c r="D4">
        <v>2025</v>
      </c>
    </row>
    <row r="5" spans="1:4" s="8" customFormat="1">
      <c r="A5" s="8" t="s">
        <v>36</v>
      </c>
      <c r="B5" s="10">
        <f>'Historical Actuals'!B9</f>
        <v>4178883.0199999996</v>
      </c>
      <c r="C5" s="10">
        <f>'Historical Actuals'!C9</f>
        <v>4538318.6300000008</v>
      </c>
      <c r="D5" s="10">
        <f>'Historical Actuals'!D9</f>
        <v>4864066.09</v>
      </c>
    </row>
    <row r="6" spans="1:4">
      <c r="A6" t="s">
        <v>37</v>
      </c>
      <c r="C6" s="9">
        <f>'Historical Actuals'!E9</f>
        <v>8.6012364615078774E-2</v>
      </c>
      <c r="D6" s="9">
        <f>'Historical Actuals'!F9</f>
        <v>7.1777124207781595E-2</v>
      </c>
    </row>
    <row r="7" spans="1:4">
      <c r="A7" t="s">
        <v>38</v>
      </c>
      <c r="B7" s="10">
        <f>'Historical Actuals'!B13</f>
        <v>1734236.4499999993</v>
      </c>
      <c r="C7" s="10">
        <f>'Historical Actuals'!C13</f>
        <v>1883402.2200000007</v>
      </c>
      <c r="D7" s="10">
        <f>'Historical Actuals'!D13</f>
        <v>2018587.4099999992</v>
      </c>
    </row>
    <row r="8" spans="1:4">
      <c r="A8" t="s">
        <v>39</v>
      </c>
      <c r="B8" s="9">
        <f>'Historical Actuals'!B14</f>
        <v>0.41499999921031516</v>
      </c>
      <c r="C8" s="9">
        <f>'Historical Actuals'!C14</f>
        <v>0.41499999747703925</v>
      </c>
      <c r="D8" s="9">
        <f>'Historical Actuals'!D14</f>
        <v>0.41499999643302526</v>
      </c>
    </row>
    <row r="9" spans="1:4">
      <c r="A9" t="s">
        <v>40</v>
      </c>
      <c r="B9" s="10">
        <f>'Historical Actuals'!B27</f>
        <v>-908364.76000000024</v>
      </c>
      <c r="C9" s="10">
        <f>'Historical Actuals'!C27</f>
        <v>-966218.68</v>
      </c>
      <c r="D9" s="10">
        <f>'Historical Actuals'!D27</f>
        <v>-1001506.71</v>
      </c>
    </row>
    <row r="10" spans="1:4">
      <c r="A10" t="s">
        <v>312</v>
      </c>
      <c r="C10" s="9">
        <f>IFERROR(C9/B9-1,0)</f>
        <v>6.369018542727245E-2</v>
      </c>
      <c r="D10" s="9">
        <f>IFERROR(D9/C9-1,0)</f>
        <v>3.6521784074801777E-2</v>
      </c>
    </row>
    <row r="11" spans="1:4">
      <c r="A11" t="s">
        <v>41</v>
      </c>
      <c r="C11" s="10">
        <f>'Historical Actuals'!C29</f>
        <v>917183.54000000062</v>
      </c>
      <c r="D11" s="10">
        <f>'Historical Actuals'!D29</f>
        <v>1017080.6999999993</v>
      </c>
    </row>
    <row r="12" spans="1:4">
      <c r="A12" t="s">
        <v>42</v>
      </c>
      <c r="B12" s="9">
        <f>'Historical Actuals'!B30</f>
        <v>0.19762976997618831</v>
      </c>
      <c r="C12" s="9">
        <f>'Historical Actuals'!C30</f>
        <v>0.20209765218710535</v>
      </c>
      <c r="D12" s="9">
        <f>'Historical Actuals'!D30</f>
        <v>0.20910092115956411</v>
      </c>
    </row>
    <row r="13" spans="1:4">
      <c r="A13" t="s">
        <v>43</v>
      </c>
      <c r="B13" s="10">
        <f>'Historical Actuals'!B33</f>
        <v>752198.929999999</v>
      </c>
      <c r="C13" s="10">
        <f>'Historical Actuals'!C33</f>
        <v>816897.36000000057</v>
      </c>
      <c r="D13" s="10">
        <f>'Historical Actuals'!D33</f>
        <v>875531.8899999992</v>
      </c>
    </row>
    <row r="14" spans="1:4">
      <c r="A14" t="s">
        <v>313</v>
      </c>
      <c r="B14" s="9">
        <f>'Historical Actuals'!B34</f>
        <v>0.1799999967455416</v>
      </c>
      <c r="C14" s="9">
        <f>'Historical Actuals'!C34</f>
        <v>0.18000000145428319</v>
      </c>
      <c r="D14" s="9">
        <f>'Historical Actuals'!D34</f>
        <v>0.17999999872534611</v>
      </c>
    </row>
    <row r="16" spans="1:4">
      <c r="A16" s="40" t="s">
        <v>314</v>
      </c>
      <c r="B16" s="40"/>
      <c r="C16" s="40"/>
      <c r="D16" s="40"/>
    </row>
    <row r="17" spans="1:4">
      <c r="A17" t="s">
        <v>177</v>
      </c>
      <c r="B17" s="9">
        <f>IFERROR('Historical Actuals'!B6/'Historical Actuals'!B9,0)</f>
        <v>0.3251339588826298</v>
      </c>
      <c r="C17" s="9">
        <f>IFERROR('Historical Actuals'!C6/'Historical Actuals'!C9,0)</f>
        <v>0.33995338489488114</v>
      </c>
      <c r="D17" s="9">
        <f>IFERROR('Historical Actuals'!D6/'Historical Actuals'!D9,0)</f>
        <v>0.32769119302817695</v>
      </c>
    </row>
    <row r="18" spans="1:4">
      <c r="A18" t="s">
        <v>179</v>
      </c>
      <c r="B18" s="8">
        <f>IFERROR('Historical Actuals'!B7/'Historical Actuals'!B9,0)</f>
        <v>0.356003865836857</v>
      </c>
      <c r="C18" s="8">
        <f>IFERROR('Historical Actuals'!C7/'Historical Actuals'!C9,0)</f>
        <v>0.32348936901329906</v>
      </c>
      <c r="D18" s="8">
        <f>IFERROR('Historical Actuals'!D7/'Historical Actuals'!D9,0)</f>
        <v>0.42679512193881403</v>
      </c>
    </row>
    <row r="19" spans="1:4">
      <c r="A19" t="s">
        <v>180</v>
      </c>
      <c r="B19" s="8">
        <f>IFERROR('Historical Actuals'!B8/'Historical Actuals'!B9,0)</f>
        <v>0.31886217528051319</v>
      </c>
      <c r="C19" s="8">
        <f>IFERROR('Historical Actuals'!C8/'Historical Actuals'!C9,0)</f>
        <v>0.3365572460918197</v>
      </c>
      <c r="D19" s="8">
        <f>IFERROR('Historical Actuals'!D8/'Historical Actuals'!D9,0)</f>
        <v>0.2455136850330091</v>
      </c>
    </row>
    <row r="21" spans="1:4">
      <c r="A21" s="40" t="s">
        <v>315</v>
      </c>
      <c r="B21" s="40"/>
      <c r="C21" s="40"/>
      <c r="D21" s="40"/>
    </row>
    <row r="22" spans="1:4">
      <c r="A22" t="s">
        <v>316</v>
      </c>
      <c r="C22" s="9">
        <f>IFERROR('Historical Actuals'!C6/'Historical Actuals'!B6-1,0)</f>
        <v>0.13551220751402693</v>
      </c>
      <c r="D22" s="9">
        <f>IFERROR('Historical Actuals'!D6/'Historical Actuals'!C6-1,0)</f>
        <v>3.3117892326786746E-2</v>
      </c>
    </row>
    <row r="23" spans="1:4">
      <c r="A23" t="s">
        <v>317</v>
      </c>
      <c r="C23" s="9">
        <f>IFERROR('Historical Actuals'!C7/'Historical Actuals'!B7-1,0)</f>
        <v>-1.3175169477046555E-2</v>
      </c>
      <c r="D23" s="9">
        <f>IFERROR('Historical Actuals'!D7/'Historical Actuals'!C7-1,0)</f>
        <v>0.41404723689292577</v>
      </c>
    </row>
    <row r="24" spans="1:4">
      <c r="A24" t="s">
        <v>318</v>
      </c>
      <c r="C24" s="9">
        <f>IFERROR('Historical Actuals'!C8/'Historical Actuals'!B8-1,0)</f>
        <v>0.14627998863449188</v>
      </c>
      <c r="D24" s="9">
        <f>IFERROR('Historical Actuals'!D8/'Historical Actuals'!C8-1,0)</f>
        <v>-0.21815395641030211</v>
      </c>
    </row>
    <row r="27" spans="1:4">
      <c r="A27" t="s">
        <v>319</v>
      </c>
    </row>
    <row r="28" spans="1:4">
      <c r="A28" t="s">
        <v>320</v>
      </c>
      <c r="B28" s="9">
        <f>IFERROR(('Historical Actuals'!D9/'Historical Actuals'!B9)^(1/2)-1,0)</f>
        <v>7.8871266185749134E-2</v>
      </c>
    </row>
    <row r="29" spans="1:4">
      <c r="A29" t="s">
        <v>321</v>
      </c>
      <c r="B29" s="9">
        <f>'Historical Actuals'!D14-'Historical Actuals'!B14</f>
        <v>-2.7772898980593652E-9</v>
      </c>
    </row>
    <row r="30" spans="1:4">
      <c r="A30" t="s">
        <v>50</v>
      </c>
      <c r="B30" s="9">
        <f>'Historical Actuals'!D30-'Historical Actuals'!B30</f>
        <v>1.14711511833758E-2</v>
      </c>
    </row>
    <row r="31" spans="1:4">
      <c r="A31" t="s">
        <v>322</v>
      </c>
      <c r="B31" s="9">
        <f>'Historical Actuals'!D34-'Historical Actuals'!B34</f>
        <v>1.97980451477342E-9</v>
      </c>
    </row>
  </sheetData>
  <mergeCells count="4">
    <mergeCell ref="A1:D1"/>
    <mergeCell ref="A2:D2"/>
    <mergeCell ref="A16:D16"/>
    <mergeCell ref="A21:D2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830A-DC4F-4F64-9CAD-D7B38674C2FB}">
  <dimension ref="A1:G18"/>
  <sheetViews>
    <sheetView workbookViewId="0">
      <selection activeCell="C25" sqref="C25"/>
    </sheetView>
  </sheetViews>
  <sheetFormatPr defaultRowHeight="15"/>
  <cols>
    <col min="1" max="2" width="34.42578125" customWidth="1"/>
    <col min="3" max="4" width="10.85546875" style="10" bestFit="1" customWidth="1"/>
    <col min="5" max="5" width="10.7109375" style="10" customWidth="1"/>
    <col min="6" max="6" width="12.85546875" style="9" customWidth="1"/>
    <col min="7" max="7" width="11.85546875" style="9" customWidth="1"/>
  </cols>
  <sheetData>
    <row r="1" spans="1:7">
      <c r="A1" s="40" t="s">
        <v>0</v>
      </c>
      <c r="B1" s="40"/>
      <c r="C1" s="40"/>
      <c r="D1" s="40"/>
      <c r="E1" s="40"/>
      <c r="F1" s="40"/>
      <c r="G1" s="40"/>
    </row>
    <row r="2" spans="1:7">
      <c r="A2" s="40" t="s">
        <v>323</v>
      </c>
      <c r="B2" s="40"/>
      <c r="C2" s="40"/>
      <c r="D2" s="40"/>
      <c r="E2" s="40"/>
      <c r="F2" s="40"/>
      <c r="G2" s="40"/>
    </row>
    <row r="4" spans="1:7">
      <c r="A4" t="s">
        <v>324</v>
      </c>
      <c r="B4" t="s">
        <v>196</v>
      </c>
      <c r="C4" s="8">
        <v>2023</v>
      </c>
      <c r="D4" s="8">
        <v>2024</v>
      </c>
      <c r="E4" s="8">
        <v>2025</v>
      </c>
      <c r="F4" s="8" t="s">
        <v>299</v>
      </c>
      <c r="G4" s="8" t="s">
        <v>300</v>
      </c>
    </row>
    <row r="5" spans="1:7">
      <c r="A5" t="s">
        <v>325</v>
      </c>
      <c r="B5" s="12">
        <v>1</v>
      </c>
      <c r="C5" s="11">
        <f>SUMIFS(tblFinancials[Amount],tblFinancials[BusinessUnitKey],$B5,tblFinancials[AccountCategory],"Revenue",tblFinancials[FullDate],"&gt;="&amp;DATE(C$4,1,1),tblFinancials[FullDate],"&lt;="&amp;DATE(C$4,12,31))</f>
        <v>912415.04000000015</v>
      </c>
      <c r="D5" s="11">
        <f>SUMIFS(tblFinancials[Amount],tblFinancials[BusinessUnitKey],$B5,tblFinancials[AccountCategory],"Revenue",tblFinancials[FullDate],"&gt;="&amp;DATE(D$4,1,1),tblFinancials[FullDate],"&lt;="&amp;DATE(D$4,12,31))</f>
        <v>967524.10000000009</v>
      </c>
      <c r="E5" s="11">
        <f>SUMIFS(tblFinancials[Amount],tblFinancials[BusinessUnitKey],$B5,tblFinancials[AccountCategory],"Revenue",tblFinancials[FullDate],"&gt;="&amp;DATE(E$4,1,1),tblFinancials[FullDate],"&lt;="&amp;DATE(E$4,12,31))</f>
        <v>1231127.3800000001</v>
      </c>
      <c r="F5" s="9">
        <f>IFERROR(D5/C5-1,0)</f>
        <v>6.0399113982163133E-2</v>
      </c>
      <c r="G5" s="9">
        <f>IFERROR(E5/D5-1,0)</f>
        <v>0.27245138389834422</v>
      </c>
    </row>
    <row r="6" spans="1:7">
      <c r="A6" t="s">
        <v>202</v>
      </c>
      <c r="B6" s="12">
        <v>2</v>
      </c>
      <c r="C6" s="11">
        <f>SUMIFS(tblFinancials[Amount],tblFinancials[BusinessUnitKey],$B6,tblFinancials[AccountCategory],"Revenue",tblFinancials[FullDate],"&gt;="&amp;DATE(C$4,1,1),tblFinancials[FullDate],"&lt;="&amp;DATE(C$4,12,31))</f>
        <v>963235.69000000006</v>
      </c>
      <c r="D6" s="11">
        <f>SUMIFS(tblFinancials[Amount],tblFinancials[BusinessUnitKey],$B6,tblFinancials[AccountCategory],"Revenue",tblFinancials[FullDate],"&gt;="&amp;DATE(D$4,1,1),tblFinancials[FullDate],"&lt;="&amp;DATE(D$4,12,31))</f>
        <v>1306632.8500000001</v>
      </c>
      <c r="E6" s="11">
        <f>SUMIFS(tblFinancials[Amount],tblFinancials[BusinessUnitKey],$B6,tblFinancials[AccountCategory],"Revenue",tblFinancials[FullDate],"&gt;="&amp;DATE(E$4,1,1),tblFinancials[FullDate],"&lt;="&amp;DATE(E$4,12,31))</f>
        <v>1181754.5699999998</v>
      </c>
      <c r="F6" s="9">
        <f>IFERROR(D6/C6-1,0)</f>
        <v>0.35650377531173083</v>
      </c>
      <c r="G6" s="9">
        <f>IFERROR(E6/D6-1,0)</f>
        <v>-9.5572585673167731E-2</v>
      </c>
    </row>
    <row r="7" spans="1:7">
      <c r="A7" t="s">
        <v>204</v>
      </c>
      <c r="B7" s="12">
        <v>3</v>
      </c>
      <c r="C7" s="11">
        <f>SUMIFS(tblFinancials[Amount],tblFinancials[BusinessUnitKey],$B7,tblFinancials[AccountCategory],"Revenue",tblFinancials[FullDate],"&gt;="&amp;DATE(C$4,1,1),tblFinancials[FullDate],"&lt;="&amp;DATE(C$4,12,31))</f>
        <v>1174289.0999999999</v>
      </c>
      <c r="D7" s="11">
        <f>SUMIFS(tblFinancials[Amount],tblFinancials[BusinessUnitKey],$B7,tblFinancials[AccountCategory],"Revenue",tblFinancials[FullDate],"&gt;="&amp;DATE(D$4,1,1),tblFinancials[FullDate],"&lt;="&amp;DATE(D$4,12,31))</f>
        <v>1000351.26</v>
      </c>
      <c r="E7" s="11">
        <f>SUMIFS(tblFinancials[Amount],tblFinancials[BusinessUnitKey],$B7,tblFinancials[AccountCategory],"Revenue",tblFinancials[FullDate],"&gt;="&amp;DATE(E$4,1,1),tblFinancials[FullDate],"&lt;="&amp;DATE(E$4,12,31))</f>
        <v>1420953.4300000002</v>
      </c>
      <c r="F7" s="9">
        <f>IFERROR(D7/C7-1,0)</f>
        <v>-0.14812182110861782</v>
      </c>
      <c r="G7" s="9">
        <f>IFERROR(E7/D7-1,0)</f>
        <v>0.42045448115894835</v>
      </c>
    </row>
    <row r="8" spans="1:7">
      <c r="A8" t="s">
        <v>206</v>
      </c>
      <c r="B8" s="12">
        <v>4</v>
      </c>
      <c r="C8" s="11">
        <f>SUMIFS(tblFinancials[Amount],tblFinancials[BusinessUnitKey],$B8,tblFinancials[AccountCategory],"Revenue",tblFinancials[FullDate],"&gt;="&amp;DATE(C$4,1,1),tblFinancials[FullDate],"&lt;="&amp;DATE(C$4,12,31))</f>
        <v>1128943.19</v>
      </c>
      <c r="D8" s="11">
        <f>SUMIFS(tblFinancials[Amount],tblFinancials[BusinessUnitKey],$B8,tblFinancials[AccountCategory],"Revenue",tblFinancials[FullDate],"&gt;="&amp;DATE(D$4,1,1),tblFinancials[FullDate],"&lt;="&amp;DATE(D$4,12,31))</f>
        <v>1263810.42</v>
      </c>
      <c r="E8" s="11">
        <f>SUMIFS(tblFinancials[Amount],tblFinancials[BusinessUnitKey],$B8,tblFinancials[AccountCategory],"Revenue",tblFinancials[FullDate],"&gt;="&amp;DATE(E$4,1,1),tblFinancials[FullDate],"&lt;="&amp;DATE(E$4,12,31))</f>
        <v>1030230.7099999996</v>
      </c>
      <c r="F8" s="9">
        <f>IFERROR(D8/C8-1,0)</f>
        <v>0.1194632566054985</v>
      </c>
      <c r="G8" s="9">
        <f>IFERROR(E8/D8-1,0)</f>
        <v>-0.18482179471190019</v>
      </c>
    </row>
    <row r="9" spans="1:7">
      <c r="A9" t="s">
        <v>301</v>
      </c>
      <c r="C9" s="11">
        <f>SUM(C5:C8)</f>
        <v>4178883.02</v>
      </c>
      <c r="D9" s="11">
        <f>SUM(D5:D8)</f>
        <v>4538318.63</v>
      </c>
      <c r="E9" s="11">
        <f>SUM(E5:E8)</f>
        <v>4864066.09</v>
      </c>
      <c r="F9" s="9">
        <f>IFERROR(D9/C9-1,0)</f>
        <v>8.6012364615078329E-2</v>
      </c>
      <c r="G9" s="9">
        <f>IFERROR(E9/D9-1,0)</f>
        <v>7.1777124207781817E-2</v>
      </c>
    </row>
    <row r="12" spans="1:7">
      <c r="A12" s="40" t="s">
        <v>326</v>
      </c>
      <c r="B12" s="40"/>
      <c r="C12" s="40"/>
      <c r="D12" s="40"/>
      <c r="E12" s="40"/>
      <c r="F12" s="40"/>
      <c r="G12" s="40"/>
    </row>
    <row r="13" spans="1:7">
      <c r="A13" t="s">
        <v>327</v>
      </c>
      <c r="B13" t="s">
        <v>285</v>
      </c>
      <c r="C13" s="8">
        <v>2023</v>
      </c>
      <c r="D13" s="8">
        <v>2024</v>
      </c>
      <c r="E13" s="8">
        <v>2025</v>
      </c>
      <c r="F13" s="8" t="s">
        <v>299</v>
      </c>
      <c r="G13" s="8" t="s">
        <v>300</v>
      </c>
    </row>
    <row r="14" spans="1:7">
      <c r="A14" t="s">
        <v>290</v>
      </c>
      <c r="B14" s="12">
        <v>1</v>
      </c>
      <c r="C14" s="10">
        <f>SUMIFS(tblFinancials[Amount],tblFinancials[RegionKey],$B14,tblFinancials[AccountCategory],"Revenue",tblFinancials[FullDate],"&gt;="&amp;DATE(C$13,1,1),tblFinancials[FullDate],"&lt;="&amp;DATE(C$13,12,31))</f>
        <v>1171392.6299999999</v>
      </c>
      <c r="D14" s="10">
        <f>SUMIFS(tblFinancials[Amount],tblFinancials[RegionKey],$B14,tblFinancials[AccountCategory],"Revenue",tblFinancials[FullDate],"&gt;="&amp;DATE(D$13,1,1),tblFinancials[FullDate],"&lt;="&amp;DATE(D$13,12,31))</f>
        <v>1209083.0000000002</v>
      </c>
      <c r="E14" s="10">
        <f>SUMIFS(tblFinancials[Amount],tblFinancials[RegionKey],$B14,tblFinancials[AccountCategory],"Revenue",tblFinancials[FullDate],"&gt;="&amp;DATE(E$13,1,1),tblFinancials[FullDate],"&lt;="&amp;DATE(E$13,12,31))</f>
        <v>957037.82000000007</v>
      </c>
      <c r="F14" s="9">
        <f>IFERROR(D14/C14-1,0)</f>
        <v>3.2175693302765929E-2</v>
      </c>
      <c r="G14" s="9">
        <f>IFERROR(E14/D14-1,0)</f>
        <v>-0.20845978315798019</v>
      </c>
    </row>
    <row r="15" spans="1:7">
      <c r="A15" t="s">
        <v>292</v>
      </c>
      <c r="B15" s="12">
        <v>2</v>
      </c>
      <c r="C15" s="10">
        <f>SUMIFS(tblFinancials[Amount],tblFinancials[RegionKey],$B15,tblFinancials[AccountCategory],"Revenue",tblFinancials[FullDate],"&gt;="&amp;DATE(C$13,1,1),tblFinancials[FullDate],"&lt;="&amp;DATE(C$13,12,31))</f>
        <v>1022730.6500000001</v>
      </c>
      <c r="D15" s="10">
        <f>SUMIFS(tblFinancials[Amount],tblFinancials[RegionKey],$B15,tblFinancials[AccountCategory],"Revenue",tblFinancials[FullDate],"&gt;="&amp;DATE(D$13,1,1),tblFinancials[FullDate],"&lt;="&amp;DATE(D$13,12,31))</f>
        <v>1101158.32</v>
      </c>
      <c r="E15" s="10">
        <f>SUMIFS(tblFinancials[Amount],tblFinancials[RegionKey],$B15,tblFinancials[AccountCategory],"Revenue",tblFinancials[FullDate],"&gt;="&amp;DATE(E$13,1,1),tblFinancials[FullDate],"&lt;="&amp;DATE(E$13,12,31))</f>
        <v>1202957.1999999997</v>
      </c>
      <c r="F15" s="9">
        <f>IFERROR(D15/C15-1,0)</f>
        <v>7.6684579659365815E-2</v>
      </c>
      <c r="G15" s="9">
        <f>IFERROR(E15/D15-1,0)</f>
        <v>9.2447087899222069E-2</v>
      </c>
    </row>
    <row r="16" spans="1:7">
      <c r="A16" t="s">
        <v>294</v>
      </c>
      <c r="B16" s="12">
        <v>3</v>
      </c>
      <c r="C16" s="10">
        <f>SUMIFS(tblFinancials[Amount],tblFinancials[RegionKey],$B16,tblFinancials[AccountCategory],"Revenue",tblFinancials[FullDate],"&gt;="&amp;DATE(C$13,1,1),tblFinancials[FullDate],"&lt;="&amp;DATE(C$13,12,31))</f>
        <v>999109.26999999979</v>
      </c>
      <c r="D16" s="10">
        <f>SUMIFS(tblFinancials[Amount],tblFinancials[RegionKey],$B16,tblFinancials[AccountCategory],"Revenue",tblFinancials[FullDate],"&gt;="&amp;DATE(D$13,1,1),tblFinancials[FullDate],"&lt;="&amp;DATE(D$13,12,31))</f>
        <v>1249050.1500000001</v>
      </c>
      <c r="E16" s="10">
        <f>SUMIFS(tblFinancials[Amount],tblFinancials[RegionKey],$B16,tblFinancials[AccountCategory],"Revenue",tblFinancials[FullDate],"&gt;="&amp;DATE(E$13,1,1),tblFinancials[FullDate],"&lt;="&amp;DATE(E$13,12,31))</f>
        <v>1490814.0299999998</v>
      </c>
      <c r="F16" s="9">
        <f>IFERROR(D16/C16-1,0)</f>
        <v>0.25016370831991219</v>
      </c>
      <c r="G16" s="9">
        <f>IFERROR(E16/D16-1,0)</f>
        <v>0.19355818499361255</v>
      </c>
    </row>
    <row r="17" spans="1:7">
      <c r="A17" t="s">
        <v>296</v>
      </c>
      <c r="B17" s="12">
        <v>4</v>
      </c>
      <c r="C17" s="10">
        <f>SUMIFS(tblFinancials[Amount],tblFinancials[RegionKey],$B17,tblFinancials[AccountCategory],"Revenue",tblFinancials[FullDate],"&gt;="&amp;DATE(C$13,1,1),tblFinancials[FullDate],"&lt;="&amp;DATE(C$13,12,31))</f>
        <v>985650.47</v>
      </c>
      <c r="D17" s="10">
        <f>SUMIFS(tblFinancials[Amount],tblFinancials[RegionKey],$B17,tblFinancials[AccountCategory],"Revenue",tblFinancials[FullDate],"&gt;="&amp;DATE(D$13,1,1),tblFinancials[FullDate],"&lt;="&amp;DATE(D$13,12,31))</f>
        <v>979027.15999999992</v>
      </c>
      <c r="E17" s="10">
        <f>SUMIFS(tblFinancials[Amount],tblFinancials[RegionKey],$B17,tblFinancials[AccountCategory],"Revenue",tblFinancials[FullDate],"&gt;="&amp;DATE(E$13,1,1),tblFinancials[FullDate],"&lt;="&amp;DATE(E$13,12,31))</f>
        <v>1213257.0399999998</v>
      </c>
      <c r="F17" s="9">
        <f>IFERROR(D17/C17-1,0)</f>
        <v>-6.7197350395420408E-3</v>
      </c>
      <c r="G17" s="9">
        <f>IFERROR(E17/D17-1,0)</f>
        <v>0.23924758124177048</v>
      </c>
    </row>
    <row r="18" spans="1:7">
      <c r="A18" t="s">
        <v>301</v>
      </c>
      <c r="C18" s="10">
        <f>SUM(C14:C17)</f>
        <v>4178883.0199999996</v>
      </c>
      <c r="D18" s="10">
        <f>SUM(D14:D17)</f>
        <v>4538318.6300000008</v>
      </c>
      <c r="E18" s="10">
        <f>SUM(E14:E17)</f>
        <v>4864066.0899999989</v>
      </c>
      <c r="F18" s="9">
        <f>IFERROR(D18/C18-1,0)</f>
        <v>8.6012364615078774E-2</v>
      </c>
      <c r="G18" s="9">
        <f>IFERROR(E18/D18-1,0)</f>
        <v>7.1777124207781373E-2</v>
      </c>
    </row>
  </sheetData>
  <mergeCells count="3">
    <mergeCell ref="A1:G1"/>
    <mergeCell ref="A2:G2"/>
    <mergeCell ref="A12:G1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AC9B1-7CB0-42DB-B602-06AE120134AC}">
  <dimension ref="A1:H13"/>
  <sheetViews>
    <sheetView workbookViewId="0">
      <selection activeCell="H19" sqref="H19"/>
    </sheetView>
  </sheetViews>
  <sheetFormatPr defaultRowHeight="15"/>
  <cols>
    <col min="1" max="1" width="22.28515625" customWidth="1"/>
    <col min="2" max="2" width="14.5703125" customWidth="1"/>
    <col min="3" max="4" width="12.7109375" style="10" bestFit="1" customWidth="1"/>
    <col min="5" max="5" width="14.42578125" style="10" bestFit="1" customWidth="1"/>
    <col min="6" max="7" width="10.85546875" style="9" customWidth="1"/>
    <col min="8" max="8" width="16.85546875" style="9" customWidth="1"/>
  </cols>
  <sheetData>
    <row r="1" spans="1:8">
      <c r="A1" s="40" t="s">
        <v>0</v>
      </c>
      <c r="B1" s="40"/>
      <c r="C1" s="40"/>
      <c r="D1" s="40"/>
      <c r="E1" s="40"/>
      <c r="F1" s="40"/>
      <c r="G1" s="40"/>
      <c r="H1" s="40"/>
    </row>
    <row r="2" spans="1:8">
      <c r="A2" s="40" t="s">
        <v>328</v>
      </c>
      <c r="B2" s="40"/>
      <c r="C2" s="40"/>
      <c r="D2" s="40"/>
      <c r="E2" s="40"/>
      <c r="F2" s="40"/>
      <c r="G2" s="40"/>
      <c r="H2" s="40"/>
    </row>
    <row r="4" spans="1:8">
      <c r="A4" t="s">
        <v>329</v>
      </c>
      <c r="B4" t="s">
        <v>266</v>
      </c>
      <c r="C4" s="8">
        <v>2023</v>
      </c>
      <c r="D4" s="8">
        <v>2024</v>
      </c>
      <c r="E4" s="8">
        <v>2025</v>
      </c>
      <c r="F4" s="9" t="s">
        <v>299</v>
      </c>
      <c r="G4" s="9" t="s">
        <v>300</v>
      </c>
      <c r="H4" s="9" t="s">
        <v>330</v>
      </c>
    </row>
    <row r="5" spans="1:8">
      <c r="A5" t="s">
        <v>270</v>
      </c>
      <c r="B5">
        <v>1</v>
      </c>
      <c r="C5" s="10">
        <f>SUMIFS(tblFinancials[Amount],tblFinancials[DepartmentKey],$B5,tblFinancials[AccountCategory],"Operating Expense",tblFinancials[FullDate],"&gt;="&amp;DATE(C$4,1,1),tblFinancials[FullDate],"&lt;="&amp;DATE(C$4,12,31))</f>
        <v>-89157.199999999983</v>
      </c>
      <c r="D5" s="10">
        <f>SUMIFS(tblFinancials[Amount],tblFinancials[DepartmentKey],$B5,tblFinancials[AccountCategory],"Operating Expense",tblFinancials[FullDate],"&gt;="&amp;DATE(D$4,1,1),tblFinancials[FullDate],"&lt;="&amp;DATE(D$4,12,31))</f>
        <v>-140491.59</v>
      </c>
      <c r="E5" s="10">
        <f>SUMIFS(tblFinancials[Amount],tblFinancials[DepartmentKey],$B5,tblFinancials[AccountCategory],"Operating Expense",tblFinancials[FullDate],"&gt;="&amp;DATE(E$4,1,1),tblFinancials[FullDate],"&lt;="&amp;DATE(E$4,12,31))</f>
        <v>-134456.64000000001</v>
      </c>
      <c r="F5" s="9">
        <f>IFERROR(D5/C5-1,0)</f>
        <v>0.57577391394077004</v>
      </c>
      <c r="G5" s="9">
        <f>IFERROR(E5/D5-1,0)</f>
        <v>-4.2955952025313326E-2</v>
      </c>
      <c r="H5" s="9">
        <f>IFERROR(E5/E13,0)</f>
        <v>0.13425435761683516</v>
      </c>
    </row>
    <row r="6" spans="1:8">
      <c r="A6" t="s">
        <v>272</v>
      </c>
      <c r="B6">
        <v>2</v>
      </c>
      <c r="C6" s="10">
        <f>SUMIFS(tblFinancials[Amount],tblFinancials[DepartmentKey],$B6,tblFinancials[AccountCategory],"Operating Expense",tblFinancials[FullDate],"&gt;="&amp;DATE(C$4,1,1),tblFinancials[FullDate],"&lt;="&amp;DATE(C$4,12,31))</f>
        <v>-63275.709999999992</v>
      </c>
      <c r="D6" s="10">
        <f>SUMIFS(tblFinancials[Amount],tblFinancials[DepartmentKey],$B6,tblFinancials[AccountCategory],"Operating Expense",tblFinancials[FullDate],"&gt;="&amp;DATE(D$4,1,1),tblFinancials[FullDate],"&lt;="&amp;DATE(D$4,12,31))</f>
        <v>-75718.710000000006</v>
      </c>
      <c r="E6" s="10">
        <f>SUMIFS(tblFinancials[Amount],tblFinancials[DepartmentKey],$B6,tblFinancials[AccountCategory],"Operating Expense",tblFinancials[FullDate],"&gt;="&amp;DATE(E$4,1,1),tblFinancials[FullDate],"&lt;="&amp;DATE(E$4,12,31))</f>
        <v>-109025.23999999999</v>
      </c>
      <c r="F6" s="9">
        <f>IFERROR(D6/C6-1,0)</f>
        <v>0.19664733908161636</v>
      </c>
      <c r="G6" s="9">
        <f>IFERROR(E6/D6-1,0)</f>
        <v>0.43987186258191646</v>
      </c>
      <c r="H6" s="9">
        <f>IFERROR(E6/E13,0)</f>
        <v>0.10886121771465715</v>
      </c>
    </row>
    <row r="7" spans="1:8">
      <c r="A7" t="s">
        <v>274</v>
      </c>
      <c r="B7">
        <v>3</v>
      </c>
      <c r="C7" s="10">
        <f>SUMIFS(tblFinancials[Amount],tblFinancials[DepartmentKey],$B7,tblFinancials[AccountCategory],"Operating Expense",tblFinancials[FullDate],"&gt;="&amp;DATE(C$4,1,1),tblFinancials[FullDate],"&lt;="&amp;DATE(C$4,12,31))</f>
        <v>-80840.439999999988</v>
      </c>
      <c r="D7" s="10">
        <f>SUMIFS(tblFinancials[Amount],tblFinancials[DepartmentKey],$B7,tblFinancials[AccountCategory],"Operating Expense",tblFinancials[FullDate],"&gt;="&amp;DATE(D$4,1,1),tblFinancials[FullDate],"&lt;="&amp;DATE(D$4,12,31))</f>
        <v>-100158.82000000002</v>
      </c>
      <c r="E7" s="10">
        <f>SUMIFS(tblFinancials[Amount],tblFinancials[DepartmentKey],$B7,tblFinancials[AccountCategory],"Operating Expense",tblFinancials[FullDate],"&gt;="&amp;DATE(E$4,1,1),tblFinancials[FullDate],"&lt;="&amp;DATE(E$4,12,31))</f>
        <v>-174194.11999999997</v>
      </c>
      <c r="F7" s="9">
        <f>IFERROR(D7/C7-1,0)</f>
        <v>0.23896925845529826</v>
      </c>
      <c r="G7" s="9">
        <f>IFERROR(E7/D7-1,0)</f>
        <v>0.73917903585525391</v>
      </c>
      <c r="H7" s="9">
        <f>IFERROR(E7/E13,0)</f>
        <v>0.17393205483366156</v>
      </c>
    </row>
    <row r="8" spans="1:8">
      <c r="A8" t="s">
        <v>276</v>
      </c>
      <c r="B8">
        <v>4</v>
      </c>
      <c r="C8" s="10">
        <f>SUMIFS(tblFinancials[Amount],tblFinancials[DepartmentKey],$B8,tblFinancials[AccountCategory],"Operating Expense",tblFinancials[FullDate],"&gt;="&amp;DATE(C$4,1,1),tblFinancials[FullDate],"&lt;="&amp;DATE(C$4,12,31))</f>
        <v>-125819.73000000001</v>
      </c>
      <c r="D8" s="10">
        <f>SUMIFS(tblFinancials[Amount],tblFinancials[DepartmentKey],$B8,tblFinancials[AccountCategory],"Operating Expense",tblFinancials[FullDate],"&gt;="&amp;DATE(D$4,1,1),tblFinancials[FullDate],"&lt;="&amp;DATE(D$4,12,31))</f>
        <v>-123310.93999999999</v>
      </c>
      <c r="E8" s="10">
        <f>SUMIFS(tblFinancials[Amount],tblFinancials[DepartmentKey],$B8,tblFinancials[AccountCategory],"Operating Expense",tblFinancials[FullDate],"&gt;="&amp;DATE(E$4,1,1),tblFinancials[FullDate],"&lt;="&amp;DATE(E$4,12,31))</f>
        <v>-151909.95000000001</v>
      </c>
      <c r="F8" s="9">
        <f>IFERROR(D8/C8-1,0)</f>
        <v>-1.9939559558743492E-2</v>
      </c>
      <c r="G8" s="9">
        <f>IFERROR(E8/D8-1,0)</f>
        <v>0.23192597510001978</v>
      </c>
      <c r="H8" s="9">
        <f>IFERROR(E8/E13,0)</f>
        <v>0.15168141010258435</v>
      </c>
    </row>
    <row r="9" spans="1:8">
      <c r="A9" t="s">
        <v>278</v>
      </c>
      <c r="B9">
        <v>5</v>
      </c>
      <c r="C9" s="10">
        <f>SUMIFS(tblFinancials[Amount],tblFinancials[DepartmentKey],$B9,tblFinancials[AccountCategory],"Operating Expense",tblFinancials[FullDate],"&gt;="&amp;DATE(C$4,1,1),tblFinancials[FullDate],"&lt;="&amp;DATE(C$4,12,31))</f>
        <v>-109322.91000000003</v>
      </c>
      <c r="D9" s="10">
        <f>SUMIFS(tblFinancials[Amount],tblFinancials[DepartmentKey],$B9,tblFinancials[AccountCategory],"Operating Expense",tblFinancials[FullDate],"&gt;="&amp;DATE(D$4,1,1),tblFinancials[FullDate],"&lt;="&amp;DATE(D$4,12,31))</f>
        <v>-108724.81999999999</v>
      </c>
      <c r="E9" s="10">
        <f>SUMIFS(tblFinancials[Amount],tblFinancials[DepartmentKey],$B9,tblFinancials[AccountCategory],"Operating Expense",tblFinancials[FullDate],"&gt;="&amp;DATE(E$4,1,1),tblFinancials[FullDate],"&lt;="&amp;DATE(E$4,12,31))</f>
        <v>-81967.010000000009</v>
      </c>
      <c r="F9" s="9">
        <f>IFERROR(D9/C9-1,0)</f>
        <v>-5.4708569320012224E-3</v>
      </c>
      <c r="G9" s="9">
        <f>IFERROR(E9/D9-1,0)</f>
        <v>-0.24610581098225759</v>
      </c>
      <c r="H9" s="9">
        <f>IFERROR(E9/E13,0)</f>
        <v>8.1843695285875831E-2</v>
      </c>
    </row>
    <row r="10" spans="1:8">
      <c r="A10" t="s">
        <v>280</v>
      </c>
      <c r="B10">
        <v>6</v>
      </c>
      <c r="C10" s="10">
        <f>SUMIFS(tblFinancials[Amount],tblFinancials[DepartmentKey],$B10,tblFinancials[AccountCategory],"Operating Expense",tblFinancials[FullDate],"&gt;="&amp;DATE(C$4,1,1),tblFinancials[FullDate],"&lt;="&amp;DATE(C$4,12,31))</f>
        <v>-157597.56</v>
      </c>
      <c r="D10" s="10">
        <f>SUMIFS(tblFinancials[Amount],tblFinancials[DepartmentKey],$B10,tblFinancials[AccountCategory],"Operating Expense",tblFinancials[FullDate],"&gt;="&amp;DATE(D$4,1,1),tblFinancials[FullDate],"&lt;="&amp;DATE(D$4,12,31))</f>
        <v>-146199.04000000001</v>
      </c>
      <c r="E10" s="10">
        <f>SUMIFS(tblFinancials[Amount],tblFinancials[DepartmentKey],$B10,tblFinancials[AccountCategory],"Operating Expense",tblFinancials[FullDate],"&gt;="&amp;DATE(E$4,1,1),tblFinancials[FullDate],"&lt;="&amp;DATE(E$4,12,31))</f>
        <v>-113383.65999999999</v>
      </c>
      <c r="F10" s="9">
        <f>IFERROR(D10/C10-1,0)</f>
        <v>-7.2326754297464935E-2</v>
      </c>
      <c r="G10" s="9">
        <f>IFERROR(E10/D10-1,0)</f>
        <v>-0.22445687741862064</v>
      </c>
      <c r="H10" s="9">
        <f>IFERROR(E10/E13,0)</f>
        <v>0.11321308071914964</v>
      </c>
    </row>
    <row r="11" spans="1:8">
      <c r="A11" t="s">
        <v>331</v>
      </c>
      <c r="B11">
        <v>7</v>
      </c>
      <c r="C11" s="10">
        <f>SUMIFS(tblFinancials[Amount],tblFinancials[DepartmentKey],$B11,tblFinancials[AccountCategory],"Operating Expense",tblFinancials[FullDate],"&gt;="&amp;DATE(C$4,1,1),tblFinancials[FullDate],"&lt;="&amp;DATE(C$4,12,31))</f>
        <v>-186606.9</v>
      </c>
      <c r="D11" s="10">
        <f>SUMIFS(tblFinancials[Amount],tblFinancials[DepartmentKey],$B11,tblFinancials[AccountCategory],"Operating Expense",tblFinancials[FullDate],"&gt;="&amp;DATE(D$4,1,1),tblFinancials[FullDate],"&lt;="&amp;DATE(D$4,12,31))</f>
        <v>-143596.91</v>
      </c>
      <c r="E11" s="10">
        <f>SUMIFS(tblFinancials[Amount],tblFinancials[DepartmentKey],$B11,tblFinancials[AccountCategory],"Operating Expense",tblFinancials[FullDate],"&gt;="&amp;DATE(E$4,1,1),tblFinancials[FullDate],"&lt;="&amp;DATE(E$4,12,31))</f>
        <v>-122610.08000000002</v>
      </c>
      <c r="F11" s="9">
        <f>IFERROR(D11/C11-1,0)</f>
        <v>-0.23048445689843189</v>
      </c>
      <c r="G11" s="9">
        <f>IFERROR(E11/D11-1,0)</f>
        <v>-0.14615098611801591</v>
      </c>
      <c r="H11" s="9">
        <f>IFERROR(E11/E13,0)</f>
        <v>0.12242562009394826</v>
      </c>
    </row>
    <row r="12" spans="1:8">
      <c r="A12" t="s">
        <v>284</v>
      </c>
      <c r="B12">
        <v>8</v>
      </c>
      <c r="C12" s="10">
        <f>SUMIFS(tblFinancials[Amount],tblFinancials[DepartmentKey],$B12,tblFinancials[AccountCategory],"Operating Expense",tblFinancials[FullDate],"&gt;="&amp;DATE(C$4,1,1),tblFinancials[FullDate],"&lt;="&amp;DATE(C$4,12,31))</f>
        <v>-95744.31</v>
      </c>
      <c r="D12" s="10">
        <f>SUMIFS(tblFinancials[Amount],tblFinancials[DepartmentKey],$B12,tblFinancials[AccountCategory],"Operating Expense",tblFinancials[FullDate],"&gt;="&amp;DATE(D$4,1,1),tblFinancials[FullDate],"&lt;="&amp;DATE(D$4,12,31))</f>
        <v>-128017.84999999999</v>
      </c>
      <c r="E12" s="10">
        <f>SUMIFS(tblFinancials[Amount],tblFinancials[DepartmentKey],$B12,tblFinancials[AccountCategory],"Operating Expense",tblFinancials[FullDate],"&gt;="&amp;DATE(E$4,1,1),tblFinancials[FullDate],"&lt;="&amp;DATE(E$4,12,31))</f>
        <v>-113960.01</v>
      </c>
      <c r="F12" s="9">
        <f>IFERROR(D12/C12-1,0)</f>
        <v>0.33708050118069677</v>
      </c>
      <c r="G12" s="9">
        <f>IFERROR(E12/D12-1,0)</f>
        <v>-0.1098115614345968</v>
      </c>
      <c r="H12" s="9">
        <f>IFERROR(E12/E13,0)</f>
        <v>0.11378856363328808</v>
      </c>
    </row>
    <row r="13" spans="1:8">
      <c r="A13" t="s">
        <v>303</v>
      </c>
      <c r="C13" s="10">
        <f>SUM(C5:C12)</f>
        <v>-908364.76</v>
      </c>
      <c r="D13" s="10">
        <f>SUM(D5:D12)</f>
        <v>-966218.68</v>
      </c>
      <c r="E13" s="10">
        <f>SUM(E5:E12)</f>
        <v>-1001506.71</v>
      </c>
      <c r="H13" s="9">
        <f>SUM(H5:H12)</f>
        <v>1.0000000000000002</v>
      </c>
    </row>
  </sheetData>
  <mergeCells count="2">
    <mergeCell ref="A1:H1"/>
    <mergeCell ref="A2:H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0201-3CA8-47A0-BF9C-FD6811448753}">
  <dimension ref="A1:N53"/>
  <sheetViews>
    <sheetView workbookViewId="0">
      <selection activeCell="E36" sqref="E36"/>
    </sheetView>
  </sheetViews>
  <sheetFormatPr defaultRowHeight="15"/>
  <cols>
    <col min="1" max="1" width="31.140625" customWidth="1"/>
    <col min="2" max="2" width="22.85546875" style="10" customWidth="1"/>
    <col min="3" max="3" width="22.42578125" style="10" customWidth="1"/>
    <col min="4" max="4" width="22.28515625" style="10" customWidth="1"/>
    <col min="5" max="5" width="11.85546875" style="9" customWidth="1"/>
    <col min="6" max="6" width="16.42578125" style="9" customWidth="1"/>
    <col min="7" max="7" width="17.140625" style="9" customWidth="1"/>
    <col min="8" max="8" width="14.28515625" customWidth="1"/>
    <col min="10" max="10" width="27.5703125" customWidth="1"/>
    <col min="11" max="11" width="9.28515625" style="9" bestFit="1" customWidth="1"/>
    <col min="12" max="12" width="9.140625" style="9"/>
    <col min="13" max="13" width="9.28515625" style="9" bestFit="1" customWidth="1"/>
    <col min="14" max="14" width="13.42578125" style="9" customWidth="1"/>
  </cols>
  <sheetData>
    <row r="1" spans="1:14">
      <c r="A1" s="37" t="s">
        <v>0</v>
      </c>
      <c r="B1" s="37"/>
      <c r="C1" s="37"/>
      <c r="D1" s="37"/>
      <c r="E1" s="37"/>
      <c r="F1" s="37"/>
      <c r="G1" s="37"/>
      <c r="H1" s="37"/>
    </row>
    <row r="2" spans="1:14">
      <c r="A2" s="37" t="s">
        <v>332</v>
      </c>
      <c r="B2" s="37"/>
      <c r="C2" s="37"/>
      <c r="D2" s="37"/>
      <c r="E2" s="37"/>
      <c r="F2" s="37"/>
      <c r="G2" s="37"/>
      <c r="H2" s="37"/>
    </row>
    <row r="4" spans="1:14">
      <c r="A4" t="s">
        <v>333</v>
      </c>
      <c r="B4" s="10" t="s">
        <v>334</v>
      </c>
      <c r="C4" s="10" t="s">
        <v>335</v>
      </c>
      <c r="D4" s="10" t="s">
        <v>336</v>
      </c>
      <c r="E4" s="9" t="s">
        <v>299</v>
      </c>
      <c r="F4" s="9" t="s">
        <v>300</v>
      </c>
      <c r="G4" s="9" t="s">
        <v>337</v>
      </c>
      <c r="H4" t="s">
        <v>338</v>
      </c>
      <c r="J4" s="37" t="s">
        <v>339</v>
      </c>
      <c r="K4" s="37"/>
      <c r="L4" s="37"/>
      <c r="M4" s="37"/>
      <c r="N4" s="37"/>
    </row>
    <row r="5" spans="1:14">
      <c r="A5" t="s">
        <v>215</v>
      </c>
      <c r="B5" s="10">
        <f>SUMIFS(tblFinancials[Amount],tblFinancials[AccountCategory],"Revenue",tblFinancials[FullDate],"&gt;="&amp;DATE(2023,$H5,1),tblFinancials[FullDate],"&lt;"&amp;EDATE(DATE(2023,$H5,1),1))</f>
        <v>304093.39</v>
      </c>
      <c r="C5" s="10">
        <f>SUMIFS(tblFinancials[Amount],tblFinancials[AccountCategory],"Revenue",tblFinancials[FullDate],"&gt;="&amp;DATE(2024,$H5,1),tblFinancials[FullDate],"&lt;"&amp;EDATE(DATE(2024,$H5,1),1))</f>
        <v>331735.32</v>
      </c>
      <c r="D5" s="10">
        <f>SUMIFS(tblFinancials[Amount],tblFinancials[AccountCategory],"Revenue",tblFinancials[FullDate],"&gt;="&amp;DATE(2025,$H5,1),tblFinancials[FullDate],"&lt;"&amp;EDATE(DATE(2025,$H5,1),1))</f>
        <v>353732.04</v>
      </c>
      <c r="E5" s="9">
        <f>IFERROR(C5/B5-1,0)</f>
        <v>9.0899476637752663E-2</v>
      </c>
      <c r="F5" s="9">
        <f>IFERROR(D5/C5-1,0)</f>
        <v>6.6308043412440787E-2</v>
      </c>
      <c r="G5" s="9">
        <f>IFERROR(D5/$D$17,0)</f>
        <v>7.2723526665732452E-2</v>
      </c>
      <c r="H5">
        <v>1</v>
      </c>
    </row>
    <row r="6" spans="1:14">
      <c r="A6" t="s">
        <v>218</v>
      </c>
      <c r="B6" s="10">
        <f>SUMIFS(tblFinancials[Amount],tblFinancials[AccountCategory],"Revenue",tblFinancials[FullDate],"&gt;="&amp;DATE(2023,$H6,1),tblFinancials[FullDate],"&lt;"&amp;EDATE(DATE(2023,$H6,1),1))</f>
        <v>291128.88000000006</v>
      </c>
      <c r="C6" s="10">
        <f>SUMIFS(tblFinancials[Amount],tblFinancials[AccountCategory],"Revenue",tblFinancials[FullDate],"&gt;="&amp;DATE(2024,$H6,1),tblFinancials[FullDate],"&lt;"&amp;EDATE(DATE(2024,$H6,1),1))</f>
        <v>317057.67000000004</v>
      </c>
      <c r="D6" s="10">
        <f>SUMIFS(tblFinancials[Amount],tblFinancials[AccountCategory],"Revenue",tblFinancials[FullDate],"&gt;="&amp;DATE(2025,$H6,1),tblFinancials[FullDate],"&lt;"&amp;EDATE(DATE(2025,$H6,1),1))</f>
        <v>339053.14</v>
      </c>
      <c r="E6" s="9">
        <f>IFERROR(C6/B6-1,0)</f>
        <v>8.9062926357563521E-2</v>
      </c>
      <c r="F6" s="9">
        <f>IFERROR(D6/C6-1,0)</f>
        <v>6.9373719929248123E-2</v>
      </c>
      <c r="G6" s="9">
        <f>IFERROR(D6/$D$17,0)</f>
        <v>6.9705701716729768E-2</v>
      </c>
      <c r="H6">
        <v>2</v>
      </c>
      <c r="J6" t="s">
        <v>333</v>
      </c>
      <c r="K6" s="9" t="s">
        <v>340</v>
      </c>
      <c r="L6" s="9" t="s">
        <v>341</v>
      </c>
      <c r="M6" s="9" t="s">
        <v>342</v>
      </c>
      <c r="N6" s="9" t="s">
        <v>343</v>
      </c>
    </row>
    <row r="7" spans="1:14">
      <c r="A7" t="s">
        <v>220</v>
      </c>
      <c r="B7" s="10">
        <f>SUMIFS(tblFinancials[Amount],tblFinancials[AccountCategory],"Revenue",tblFinancials[FullDate],"&gt;="&amp;DATE(2023,$H7,1),tblFinancials[FullDate],"&lt;"&amp;EDATE(DATE(2023,$H7,1),1))</f>
        <v>317411.59999999998</v>
      </c>
      <c r="C7" s="10">
        <f>SUMIFS(tblFinancials[Amount],tblFinancials[AccountCategory],"Revenue",tblFinancials[FullDate],"&gt;="&amp;DATE(2024,$H7,1),tblFinancials[FullDate],"&lt;"&amp;EDATE(DATE(2024,$H7,1),1))</f>
        <v>348594.03999999992</v>
      </c>
      <c r="D7" s="10">
        <f>SUMIFS(tblFinancials[Amount],tblFinancials[AccountCategory],"Revenue",tblFinancials[FullDate],"&gt;="&amp;DATE(2025,$H7,1),tblFinancials[FullDate],"&lt;"&amp;EDATE(DATE(2025,$H7,1),1))</f>
        <v>373615.06</v>
      </c>
      <c r="E7" s="9">
        <f>IFERROR(C7/B7-1,0)</f>
        <v>9.8239761873857079E-2</v>
      </c>
      <c r="F7" s="9">
        <f>IFERROR(D7/C7-1,0)</f>
        <v>7.1776958665157098E-2</v>
      </c>
      <c r="G7" s="9">
        <f>IFERROR(D7/$D$17,0)</f>
        <v>7.681126306406745E-2</v>
      </c>
      <c r="H7">
        <v>3</v>
      </c>
      <c r="J7" t="s">
        <v>215</v>
      </c>
      <c r="K7" s="9">
        <f>IFERROR(B5/$B$17,0)</f>
        <v>7.2769060187762802E-2</v>
      </c>
      <c r="L7" s="9">
        <f>IFERROR(C5/$C$17,0)</f>
        <v>7.3096524736518995E-2</v>
      </c>
      <c r="M7" s="9">
        <f>IFERROR(D5/$D$17,0)</f>
        <v>7.2723526665732452E-2</v>
      </c>
      <c r="N7" s="9">
        <f>AVERAGE(K7:M7)</f>
        <v>7.2863037196671421E-2</v>
      </c>
    </row>
    <row r="8" spans="1:14">
      <c r="A8" t="s">
        <v>222</v>
      </c>
      <c r="B8" s="10">
        <f>SUMIFS(tblFinancials[Amount],tblFinancials[AccountCategory],"Revenue",tblFinancials[FullDate],"&gt;="&amp;DATE(2023,$H8,1),tblFinancials[FullDate],"&lt;"&amp;EDATE(DATE(2023,$H8,1),1))</f>
        <v>340870.26</v>
      </c>
      <c r="C8" s="10">
        <f>SUMIFS(tblFinancials[Amount],tblFinancials[AccountCategory],"Revenue",tblFinancials[FullDate],"&gt;="&amp;DATE(2024,$H8,1),tblFinancials[FullDate],"&lt;"&amp;EDATE(DATE(2024,$H8,1),1))</f>
        <v>377158.18999999994</v>
      </c>
      <c r="D8" s="10">
        <f>SUMIFS(tblFinancials[Amount],tblFinancials[AccountCategory],"Revenue",tblFinancials[FullDate],"&gt;="&amp;DATE(2025,$H8,1),tblFinancials[FullDate],"&lt;"&amp;EDATE(DATE(2025,$H8,1),1))</f>
        <v>398451.02</v>
      </c>
      <c r="E8" s="9">
        <f>IFERROR(C8/B8-1,0)</f>
        <v>0.10645672051295985</v>
      </c>
      <c r="F8" s="9">
        <f>IFERROR(D8/C8-1,0)</f>
        <v>5.6455966129225654E-2</v>
      </c>
      <c r="G8" s="9">
        <f>IFERROR(D8/$D$17,0)</f>
        <v>8.1917270988396462E-2</v>
      </c>
      <c r="H8">
        <v>4</v>
      </c>
      <c r="J8" t="s">
        <v>218</v>
      </c>
      <c r="K8" s="9">
        <f>IFERROR(B6/$B$17,0)</f>
        <v>6.966667375149449E-2</v>
      </c>
      <c r="L8" s="9">
        <f>IFERROR(C6/$C$17,0)</f>
        <v>6.9862364423716114E-2</v>
      </c>
      <c r="M8" s="9">
        <f>IFERROR(D6/$D$17,0)</f>
        <v>6.9705701716729768E-2</v>
      </c>
      <c r="N8" s="9">
        <f>AVERAGE(K8:M8)</f>
        <v>6.9744913297313457E-2</v>
      </c>
    </row>
    <row r="9" spans="1:14">
      <c r="A9" t="s">
        <v>224</v>
      </c>
      <c r="B9" s="10">
        <v>357855.3</v>
      </c>
      <c r="C9" s="10">
        <f>SUMIFS(tblFinancials[Amount],tblFinancials[AccountCategory],"Revenue",tblFinancials[FullDate],"&gt;="&amp;DATE(2024,$H9,1),tblFinancials[FullDate],"&lt;"&amp;EDATE(DATE(2024,$H9,1),1))</f>
        <v>390508.44000000006</v>
      </c>
      <c r="D9" s="10">
        <f>SUMIFS(tblFinancials[Amount],tblFinancials[AccountCategory],"Revenue",tblFinancials[FullDate],"&gt;="&amp;DATE(2025,$H9,1),tblFinancials[FullDate],"&lt;"&amp;EDATE(DATE(2025,$H9,1),1))</f>
        <v>419822.64999999997</v>
      </c>
      <c r="E9" s="9">
        <f>IFERROR(C9/B9-1,0)</f>
        <v>9.1246769294740293E-2</v>
      </c>
      <c r="F9" s="9">
        <f>IFERROR(D9/C9-1,0)</f>
        <v>7.5066777045842858E-2</v>
      </c>
      <c r="G9" s="9">
        <f>IFERROR(D9/$D$17,0)</f>
        <v>8.6311049692172251E-2</v>
      </c>
      <c r="H9">
        <v>5</v>
      </c>
      <c r="J9" t="s">
        <v>220</v>
      </c>
      <c r="K9" s="9">
        <f>IFERROR(B7/$B$17,0)</f>
        <v>7.5956086466378261E-2</v>
      </c>
      <c r="L9" s="9">
        <f>IFERROR(C7/$C$17,0)</f>
        <v>7.6811274928045306E-2</v>
      </c>
      <c r="M9" s="9">
        <f>IFERROR(D7/$D$17,0)</f>
        <v>7.681126306406745E-2</v>
      </c>
      <c r="N9" s="9">
        <f>AVERAGE(K9:M9)</f>
        <v>7.6526208152830344E-2</v>
      </c>
    </row>
    <row r="10" spans="1:14">
      <c r="A10" t="s">
        <v>226</v>
      </c>
      <c r="B10" s="10">
        <f>SUMIFS(tblFinancials[Amount],tblFinancials[AccountCategory],"Revenue",tblFinancials[FullDate],"&gt;="&amp;DATE(2023,$H10,1),tblFinancials[FullDate],"&lt;"&amp;EDATE(DATE(2023,$H10,1),1))</f>
        <v>372565.37999999995</v>
      </c>
      <c r="C10" s="10">
        <f>SUMIFS(tblFinancials[Amount],tblFinancials[AccountCategory],"Revenue",tblFinancials[FullDate],"&gt;="&amp;DATE(2024,$H10,1),tblFinancials[FullDate],"&lt;"&amp;EDATE(DATE(2024,$H10,1),1))</f>
        <v>402140.43000000005</v>
      </c>
      <c r="D10" s="10">
        <f>SUMIFS(tblFinancials[Amount],tblFinancials[AccountCategory],"Revenue",tblFinancials[FullDate],"&gt;="&amp;DATE(2025,$H10,1),tblFinancials[FullDate],"&lt;"&amp;EDATE(DATE(2025,$H10,1),1))</f>
        <v>426140.54000000004</v>
      </c>
      <c r="E10" s="9">
        <f>IFERROR(C10/B10-1,0)</f>
        <v>7.9382174479013967E-2</v>
      </c>
      <c r="F10" s="9">
        <f>IFERROR(D10/C10-1,0)</f>
        <v>5.9680917932076527E-2</v>
      </c>
      <c r="G10" s="9">
        <f>IFERROR(D10/$D$17,0)</f>
        <v>8.7609940349309703E-2</v>
      </c>
      <c r="H10">
        <v>6</v>
      </c>
      <c r="J10" t="s">
        <v>222</v>
      </c>
      <c r="K10" s="9">
        <f>IFERROR(B8/$B$17,0)</f>
        <v>8.1569706155593696E-2</v>
      </c>
      <c r="L10" s="9">
        <f>IFERROR(C8/$C$17,0)</f>
        <v>8.3105268877958868E-2</v>
      </c>
      <c r="M10" s="9">
        <f>IFERROR(D8/$D$17,0)</f>
        <v>8.1917270988396462E-2</v>
      </c>
      <c r="N10" s="9">
        <f>AVERAGE(K10:M10)</f>
        <v>8.2197415340649671E-2</v>
      </c>
    </row>
    <row r="11" spans="1:14">
      <c r="A11" t="s">
        <v>228</v>
      </c>
      <c r="B11" s="10">
        <f>SUMIFS(tblFinancials[Amount],tblFinancials[AccountCategory],"Revenue",tblFinancials[FullDate],"&gt;="&amp;DATE(2023,$H11,1),tblFinancials[FullDate],"&lt;"&amp;EDATE(DATE(2023,$H11,1),1))</f>
        <v>373124.78</v>
      </c>
      <c r="C11" s="10">
        <f>SUMIFS(tblFinancials[Amount],tblFinancials[AccountCategory],"Revenue",tblFinancials[FullDate],"&gt;="&amp;DATE(2024,$H11,1),tblFinancials[FullDate],"&lt;"&amp;EDATE(DATE(2024,$H11,1),1))</f>
        <v>403427.72</v>
      </c>
      <c r="D11" s="10">
        <f>SUMIFS(tblFinancials[Amount],tblFinancials[AccountCategory],"Revenue",tblFinancials[FullDate],"&gt;="&amp;DATE(2025,$H11,1),tblFinancials[FullDate],"&lt;"&amp;EDATE(DATE(2025,$H11,1),1))</f>
        <v>441078.15</v>
      </c>
      <c r="E11" s="9">
        <f>IFERROR(C11/B11-1,0)</f>
        <v>8.1213957432684891E-2</v>
      </c>
      <c r="F11" s="9">
        <f>IFERROR(D11/C11-1,0)</f>
        <v>9.3326333649061288E-2</v>
      </c>
      <c r="G11" s="9">
        <f>IFERROR(D11/$D$17,0)</f>
        <v>9.0680953309168547E-2</v>
      </c>
      <c r="H11">
        <v>7</v>
      </c>
      <c r="J11" t="s">
        <v>224</v>
      </c>
      <c r="K11" s="9">
        <f>IFERROR(B9/$B$17,0)</f>
        <v>8.5634198968316644E-2</v>
      </c>
      <c r="L11" s="9">
        <f>IFERROR(C9/$C$17,0)</f>
        <v>8.6046942014734673E-2</v>
      </c>
      <c r="M11" s="9">
        <f>IFERROR(D9/$D$17,0)</f>
        <v>8.6311049692172251E-2</v>
      </c>
      <c r="N11" s="9">
        <f>AVERAGE(K11:M11)</f>
        <v>8.5997396891741185E-2</v>
      </c>
    </row>
    <row r="12" spans="1:14">
      <c r="A12" t="s">
        <v>230</v>
      </c>
      <c r="B12" s="10">
        <f>SUMIFS(tblFinancials[Amount],tblFinancials[AccountCategory],"Revenue",tblFinancials[FullDate],"&gt;="&amp;DATE(2023,$H12,1),tblFinancials[FullDate],"&lt;"&amp;EDATE(DATE(2023,$H12,1),1))</f>
        <v>367454.44999999995</v>
      </c>
      <c r="C12" s="10">
        <f>SUMIFS(tblFinancials[Amount],tblFinancials[AccountCategory],"Revenue",tblFinancials[FullDate],"&gt;="&amp;DATE(2024,$H12,1),tblFinancials[FullDate],"&lt;"&amp;EDATE(DATE(2024,$H12,1),1))</f>
        <v>394584.98</v>
      </c>
      <c r="D12" s="10">
        <f>SUMIFS(tblFinancials[Amount],tblFinancials[AccountCategory],"Revenue",tblFinancials[FullDate],"&gt;="&amp;DATE(2025,$H12,1),tblFinancials[FullDate],"&lt;"&amp;EDATE(DATE(2025,$H12,1),1))</f>
        <v>423481.68</v>
      </c>
      <c r="E12" s="9">
        <f>IFERROR(C12/B12-1,0)</f>
        <v>7.3833722792036038E-2</v>
      </c>
      <c r="F12" s="9">
        <f>IFERROR(D12/C12-1,0)</f>
        <v>7.3233147394510478E-2</v>
      </c>
      <c r="G12" s="9">
        <f>IFERROR(D12/$D$17,0)</f>
        <v>8.7063307151733216E-2</v>
      </c>
      <c r="H12">
        <v>8</v>
      </c>
      <c r="J12" t="s">
        <v>226</v>
      </c>
      <c r="K12" s="9">
        <f>IFERROR(B10/$B$17,0)</f>
        <v>8.9154297504121072E-2</v>
      </c>
      <c r="L12" s="9">
        <f>IFERROR(C10/$C$17,0)</f>
        <v>8.8610003568656448E-2</v>
      </c>
      <c r="M12" s="9">
        <f>IFERROR(D10/$D$17,0)</f>
        <v>8.7609940349309703E-2</v>
      </c>
      <c r="N12" s="9">
        <f>AVERAGE(K12:M12)</f>
        <v>8.8458080474029074E-2</v>
      </c>
    </row>
    <row r="13" spans="1:14">
      <c r="A13" t="s">
        <v>232</v>
      </c>
      <c r="B13" s="10">
        <f>SUMIFS(tblFinancials[Amount],tblFinancials[AccountCategory],"Revenue",tblFinancials[FullDate],"&gt;="&amp;DATE(2023,$H13,1),tblFinancials[FullDate],"&lt;"&amp;EDATE(DATE(2023,$H13,1),1))</f>
        <v>336103.24000000005</v>
      </c>
      <c r="C13" s="10">
        <f>SUMIFS(tblFinancials[Amount],tblFinancials[AccountCategory],"Revenue",tblFinancials[FullDate],"&gt;="&amp;DATE(2024,$H13,1),tblFinancials[FullDate],"&lt;"&amp;EDATE(DATE(2024,$H13,1),1))</f>
        <v>362264.52000000008</v>
      </c>
      <c r="D13" s="10">
        <f>SUMIFS(tblFinancials[Amount],tblFinancials[AccountCategory],"Revenue",tblFinancials[FullDate],"&gt;="&amp;DATE(2025,$H13,1),tblFinancials[FullDate],"&lt;"&amp;EDATE(DATE(2025,$H13,1),1))</f>
        <v>393858.51000000007</v>
      </c>
      <c r="E13" s="9">
        <f>IFERROR(C13/B13-1,0)</f>
        <v>7.7837036025002471E-2</v>
      </c>
      <c r="F13" s="9">
        <f>IFERROR(D13/C13-1,0)</f>
        <v>8.7212487714778186E-2</v>
      </c>
      <c r="G13" s="9">
        <f>IFERROR(D13/$D$17,0)</f>
        <v>8.0973100018055078E-2</v>
      </c>
      <c r="H13">
        <v>9</v>
      </c>
      <c r="J13" t="s">
        <v>228</v>
      </c>
      <c r="K13" s="9">
        <f>IFERROR(B11/$B$17,0)</f>
        <v>8.9288161026340476E-2</v>
      </c>
      <c r="L13" s="9">
        <f>IFERROR(C11/$C$17,0)</f>
        <v>8.889365266977739E-2</v>
      </c>
      <c r="M13" s="9">
        <f>IFERROR(D11/$D$17,0)</f>
        <v>9.0680953309168547E-2</v>
      </c>
      <c r="N13" s="9">
        <f>AVERAGE(K13:M13)</f>
        <v>8.9620922335095457E-2</v>
      </c>
    </row>
    <row r="14" spans="1:14">
      <c r="A14" t="s">
        <v>234</v>
      </c>
      <c r="B14" s="10">
        <f>SUMIFS(tblFinancials[Amount],tblFinancials[AccountCategory],"Revenue",tblFinancials[FullDate],"&gt;="&amp;DATE(2023,$H14,1),tblFinancials[FullDate],"&lt;"&amp;EDATE(DATE(2023,$H14,1),1))</f>
        <v>345417.85</v>
      </c>
      <c r="C14" s="10">
        <f>SUMIFS(tblFinancials[Amount],tblFinancials[AccountCategory],"Revenue",tblFinancials[FullDate],"&gt;="&amp;DATE(2024,$H14,1),tblFinancials[FullDate],"&lt;"&amp;EDATE(DATE(2024,$H14,1),1))</f>
        <v>375033.88999999996</v>
      </c>
      <c r="D14" s="10">
        <f>SUMIFS(tblFinancials[Amount],tblFinancials[AccountCategory],"Revenue",tblFinancials[FullDate],"&gt;="&amp;DATE(2025,$H14,1),tblFinancials[FullDate],"&lt;"&amp;EDATE(DATE(2025,$H14,1),1))</f>
        <v>397717.38000000006</v>
      </c>
      <c r="E14" s="9">
        <f>IFERROR(C14/B14-1,0)</f>
        <v>8.5739749697359313E-2</v>
      </c>
      <c r="F14" s="9">
        <f>IFERROR(D14/C14-1,0)</f>
        <v>6.048384054038447E-2</v>
      </c>
      <c r="G14" s="9">
        <f>IFERROR(D14/$D$17,0)</f>
        <v>8.1766442445686441E-2</v>
      </c>
      <c r="H14">
        <v>10</v>
      </c>
      <c r="J14" t="s">
        <v>230</v>
      </c>
      <c r="K14" s="9">
        <f>IFERROR(B12/$B$17,0)</f>
        <v>8.7931260157648516E-2</v>
      </c>
      <c r="L14" s="9">
        <f>IFERROR(C12/$C$17,0)</f>
        <v>8.6945190977038123E-2</v>
      </c>
      <c r="M14" s="9">
        <f>IFERROR(D12/$D$17,0)</f>
        <v>8.7063307151733216E-2</v>
      </c>
      <c r="N14" s="9">
        <f>AVERAGE(K14:M14)</f>
        <v>8.7313252762139956E-2</v>
      </c>
    </row>
    <row r="15" spans="1:14">
      <c r="A15" t="s">
        <v>236</v>
      </c>
      <c r="B15" s="10">
        <f>SUMIFS(tblFinancials[Amount],tblFinancials[AccountCategory],"Revenue",tblFinancials[FullDate],"&gt;="&amp;DATE(2023,$H15,1),tblFinancials[FullDate],"&lt;"&amp;EDATE(DATE(2023,$H15,1),1))</f>
        <v>368643.5</v>
      </c>
      <c r="C15" s="10">
        <f>SUMIFS(tblFinancials[Amount],tblFinancials[AccountCategory],"Revenue",tblFinancials[FullDate],"&gt;="&amp;DATE(2024,$H15,1),tblFinancials[FullDate],"&lt;"&amp;EDATE(DATE(2024,$H15,1),1))</f>
        <v>402221.04000000004</v>
      </c>
      <c r="D15" s="10">
        <f>SUMIFS(tblFinancials[Amount],tblFinancials[AccountCategory],"Revenue",tblFinancials[FullDate],"&gt;="&amp;DATE(2025,$H15,1),tblFinancials[FullDate],"&lt;"&amp;EDATE(DATE(2025,$H15,1),1))</f>
        <v>428684</v>
      </c>
      <c r="E15" s="9">
        <f>IFERROR(C15/B15-1,0)</f>
        <v>9.1084041899558876E-2</v>
      </c>
      <c r="F15" s="9">
        <f>IFERROR(D15/C15-1,0)</f>
        <v>6.5792082880597125E-2</v>
      </c>
      <c r="G15" s="9">
        <f>IFERROR(D15/$D$17,0)</f>
        <v>8.8132848540304273E-2</v>
      </c>
      <c r="H15">
        <v>11</v>
      </c>
      <c r="J15" t="s">
        <v>232</v>
      </c>
      <c r="K15" s="9">
        <f>IFERROR(B13/$B$17,0)</f>
        <v>8.042896592018027E-2</v>
      </c>
      <c r="L15" s="9">
        <f>IFERROR(C13/$C$17,0)</f>
        <v>7.9823509439221563E-2</v>
      </c>
      <c r="M15" s="9">
        <f>IFERROR(D13/$D$17,0)</f>
        <v>8.0973100018055078E-2</v>
      </c>
      <c r="N15" s="9">
        <f>AVERAGE(K15:M15)</f>
        <v>8.0408525125818975E-2</v>
      </c>
    </row>
    <row r="16" spans="1:14">
      <c r="A16" t="s">
        <v>238</v>
      </c>
      <c r="B16" s="10">
        <f>SUMIFS(tblFinancials[Amount],tblFinancials[AccountCategory],"Revenue",tblFinancials[FullDate],"&gt;="&amp;DATE(2023,$H16,1),tblFinancials[FullDate],"&lt;"&amp;EDATE(DATE(2023,$H16,1),1))</f>
        <v>404214.39</v>
      </c>
      <c r="C16" s="10">
        <f>SUMIFS(tblFinancials[Amount],tblFinancials[AccountCategory],"Revenue",tblFinancials[FullDate],"&gt;="&amp;DATE(2024,$H16,1),tblFinancials[FullDate],"&lt;"&amp;EDATE(DATE(2024,$H16,1),1))</f>
        <v>433592.39000000013</v>
      </c>
      <c r="D16" s="10">
        <f>SUMIFS(tblFinancials[Amount],tblFinancials[AccountCategory],"Revenue",tblFinancials[FullDate],"&gt;="&amp;DATE(2025,$H16,1),tblFinancials[FullDate],"&lt;"&amp;EDATE(DATE(2025,$H16,1),1))</f>
        <v>468431.92000000004</v>
      </c>
      <c r="E16" s="9">
        <f>IFERROR(C16/B16-1,0)</f>
        <v>7.2679253205211403E-2</v>
      </c>
      <c r="F16" s="9">
        <f>IFERROR(D16/C16-1,0)</f>
        <v>8.0350879774435002E-2</v>
      </c>
      <c r="G16" s="9">
        <f>IFERROR(D16/$D$17,0)</f>
        <v>9.6304596058644443E-2</v>
      </c>
      <c r="H16">
        <v>12</v>
      </c>
      <c r="J16" t="s">
        <v>234</v>
      </c>
      <c r="K16" s="9">
        <f>IFERROR(B14/$B$17,0)</f>
        <v>8.2657937144170149E-2</v>
      </c>
      <c r="L16" s="9">
        <f>IFERROR(C14/$C$17,0)</f>
        <v>8.2637188037191639E-2</v>
      </c>
      <c r="M16" s="9">
        <f>IFERROR(D14/$D$17,0)</f>
        <v>8.1766442445686441E-2</v>
      </c>
      <c r="N16" s="9">
        <f>AVERAGE(K16:M16)</f>
        <v>8.2353855875682738E-2</v>
      </c>
    </row>
    <row r="17" spans="1:14">
      <c r="A17" t="s">
        <v>301</v>
      </c>
      <c r="B17" s="10">
        <f>SUM(B5:B16)</f>
        <v>4178883.0200000005</v>
      </c>
      <c r="C17" s="10">
        <f>SUM(C5:C16)</f>
        <v>4538318.63</v>
      </c>
      <c r="D17" s="10">
        <f>SUM(D5:D16)</f>
        <v>4864066.09</v>
      </c>
      <c r="E17" s="9">
        <f>IFERROR(C17/B17-1,0)</f>
        <v>8.6012364615078329E-2</v>
      </c>
      <c r="F17" s="9">
        <f>IFERROR(D17/C17-1,0)</f>
        <v>7.1777124207781817E-2</v>
      </c>
      <c r="G17" s="9">
        <f>SUM(G5:G16)</f>
        <v>1</v>
      </c>
      <c r="J17" t="s">
        <v>236</v>
      </c>
      <c r="K17" s="9">
        <f>IFERROR(B15/$B$17,0)</f>
        <v>8.8215797914343141E-2</v>
      </c>
      <c r="L17" s="9">
        <f>IFERROR(C15/$C$17,0)</f>
        <v>8.8627765653378127E-2</v>
      </c>
      <c r="M17" s="9">
        <f>IFERROR(D15/$D$17,0)</f>
        <v>8.8132848540304273E-2</v>
      </c>
      <c r="N17" s="9">
        <f>AVERAGE(K17:M17)</f>
        <v>8.8325470702675171E-2</v>
      </c>
    </row>
    <row r="18" spans="1:14">
      <c r="J18" t="s">
        <v>238</v>
      </c>
      <c r="K18" s="9">
        <f>IFERROR(B16/$B$17,0)</f>
        <v>9.672785480365037E-2</v>
      </c>
      <c r="L18" s="9">
        <f>IFERROR(C16/$C$17,0)</f>
        <v>9.5540314673762811E-2</v>
      </c>
      <c r="M18" s="9">
        <f>IFERROR(D16/$D$17,0)</f>
        <v>9.6304596058644443E-2</v>
      </c>
      <c r="N18" s="9">
        <f>AVERAGE(K18:M18)</f>
        <v>9.6190921845352537E-2</v>
      </c>
    </row>
    <row r="19" spans="1:14">
      <c r="J19" t="s">
        <v>344</v>
      </c>
      <c r="K19" s="9">
        <f>SUM(K7:K18)</f>
        <v>0.99999999999999978</v>
      </c>
      <c r="L19" s="9">
        <f>SUM(L7:L18)</f>
        <v>1.0000000000000002</v>
      </c>
      <c r="M19" s="9">
        <f>SUM(M7:M18)</f>
        <v>1</v>
      </c>
      <c r="N19" s="9">
        <f>SUM(N7:N18)</f>
        <v>1</v>
      </c>
    </row>
    <row r="20" spans="1:14">
      <c r="A20" s="37" t="s">
        <v>345</v>
      </c>
      <c r="B20" s="37"/>
      <c r="C20" s="37"/>
      <c r="D20" s="37"/>
      <c r="E20" s="37"/>
      <c r="F20" s="37"/>
      <c r="G20" s="37"/>
      <c r="H20" s="37"/>
    </row>
    <row r="22" spans="1:14">
      <c r="A22" t="s">
        <v>333</v>
      </c>
      <c r="B22" s="10" t="s">
        <v>346</v>
      </c>
      <c r="C22" s="10" t="s">
        <v>347</v>
      </c>
      <c r="D22" s="10" t="s">
        <v>348</v>
      </c>
      <c r="E22" s="9" t="s">
        <v>299</v>
      </c>
      <c r="F22" s="9" t="s">
        <v>300</v>
      </c>
      <c r="G22" s="9" t="s">
        <v>330</v>
      </c>
      <c r="H22" t="s">
        <v>338</v>
      </c>
    </row>
    <row r="23" spans="1:14">
      <c r="A23" t="s">
        <v>215</v>
      </c>
      <c r="B23" s="10">
        <f>SUMIFS(tblFinancials[Amount],tblFinancials[AccountCategory],"Operating Expense",tblFinancials[FullDate],"&gt;="&amp;DATE(2023,$H23,1),tblFinancials[FullDate],"&lt;"&amp;EDATE(DATE(2023,$H23,1),1))</f>
        <v>-55903.950000000004</v>
      </c>
      <c r="C23" s="10">
        <f>SUMIFS(tblFinancials[Amount],tblFinancials[AccountCategory],"Operating Expense",tblFinancials[FullDate],"&gt;="&amp;DATE(2024,$H23,1),tblFinancials[FullDate],"&lt;"&amp;EDATE(DATE(2024,$H23,1),1))</f>
        <v>-77957.8</v>
      </c>
      <c r="D23" s="10">
        <f>SUMIFS(tblFinancials[Amount],tblFinancials[AccountCategory],"Operating Expense",tblFinancials[FullDate],"&gt;="&amp;DATE(2025,$H23,1),tblFinancials[FullDate],"&lt;"&amp;EDATE(DATE(2025,$H23,1),1))</f>
        <v>-75351.81</v>
      </c>
      <c r="E23" s="9">
        <f>IFERROR(C23/B23-1,0)</f>
        <v>0.39449538002234186</v>
      </c>
      <c r="F23" s="9">
        <f>IFERROR(D23/C23-1,0)</f>
        <v>-3.3428213725887668E-2</v>
      </c>
      <c r="G23" s="9">
        <f>IFERROR(D23/$D$35,0)</f>
        <v>7.5238447478799222E-2</v>
      </c>
      <c r="H23">
        <v>1</v>
      </c>
    </row>
    <row r="24" spans="1:14">
      <c r="A24" t="s">
        <v>218</v>
      </c>
      <c r="B24" s="10">
        <f>SUMIFS(tblFinancials[Amount],tblFinancials[AccountCategory],"Operating Expense",tblFinancials[FullDate],"&gt;="&amp;DATE(2023,$H24,1),tblFinancials[FullDate],"&lt;"&amp;EDATE(DATE(2023,$H24,1),1))</f>
        <v>-63338.21</v>
      </c>
      <c r="C24" s="10">
        <f>SUMIFS(tblFinancials[Amount],tblFinancials[AccountCategory],"Operating Expense",tblFinancials[FullDate],"&gt;="&amp;DATE(2024,$H24,1),tblFinancials[FullDate],"&lt;"&amp;EDATE(DATE(2024,$H24,1),1))</f>
        <v>-68175.87000000001</v>
      </c>
      <c r="D24" s="10">
        <f>SUMIFS(tblFinancials[Amount],tblFinancials[AccountCategory],"Operating Expense",tblFinancials[FullDate],"&gt;="&amp;DATE(2025,$H24,1),tblFinancials[FullDate],"&lt;"&amp;EDATE(DATE(2025,$H24,1),1))</f>
        <v>-79677.490000000005</v>
      </c>
      <c r="E24" s="9">
        <f>IFERROR(C24/B24-1,0)</f>
        <v>7.6378224139899364E-2</v>
      </c>
      <c r="F24" s="9">
        <f>IFERROR(D24/C24-1,0)</f>
        <v>0.16870514450347307</v>
      </c>
      <c r="G24" s="9">
        <f>IFERROR(D24/$D$35,0)</f>
        <v>7.9557619738763422E-2</v>
      </c>
      <c r="H24">
        <v>2</v>
      </c>
    </row>
    <row r="25" spans="1:14">
      <c r="A25" t="s">
        <v>220</v>
      </c>
      <c r="B25" s="10">
        <f>SUMIFS(tblFinancials[Amount],tblFinancials[AccountCategory],"Operating Expense",tblFinancials[FullDate],"&gt;="&amp;DATE(2023,$H25,1),tblFinancials[FullDate],"&lt;"&amp;EDATE(DATE(2023,$H25,1),1))</f>
        <v>-74591.73</v>
      </c>
      <c r="C25" s="10">
        <f>SUMIFS(tblFinancials[Amount],tblFinancials[AccountCategory],"Operating Expense",tblFinancials[FullDate],"&gt;="&amp;DATE(2024,$H25,1),tblFinancials[FullDate],"&lt;"&amp;EDATE(DATE(2024,$H25,1),1))</f>
        <v>-75429.02</v>
      </c>
      <c r="D25" s="10">
        <f>SUMIFS(tblFinancials[Amount],tblFinancials[AccountCategory],"Operating Expense",tblFinancials[FullDate],"&gt;="&amp;DATE(2025,$H25,1),tblFinancials[FullDate],"&lt;"&amp;EDATE(DATE(2025,$H25,1),1))</f>
        <v>-73359.69</v>
      </c>
      <c r="E25" s="9">
        <f>IFERROR(C25/B25-1,0)</f>
        <v>1.1224970918358057E-2</v>
      </c>
      <c r="F25" s="9">
        <f>IFERROR(D25/C25-1,0)</f>
        <v>-2.7434136092448269E-2</v>
      </c>
      <c r="G25" s="9">
        <f>IFERROR(D25/$D$35,0)</f>
        <v>7.3249324510267139E-2</v>
      </c>
      <c r="H25">
        <v>3</v>
      </c>
    </row>
    <row r="26" spans="1:14">
      <c r="A26" t="s">
        <v>222</v>
      </c>
      <c r="B26" s="10">
        <f>SUMIFS(tblFinancials[Amount],tblFinancials[AccountCategory],"Operating Expense",tblFinancials[FullDate],"&gt;="&amp;DATE(2023,$H26,1),tblFinancials[FullDate],"&lt;"&amp;EDATE(DATE(2023,$H26,1),1))</f>
        <v>-80104.509999999995</v>
      </c>
      <c r="C26" s="10">
        <f>SUMIFS(tblFinancials[Amount],tblFinancials[AccountCategory],"Operating Expense",tblFinancials[FullDate],"&gt;="&amp;DATE(2024,$H26,1),tblFinancials[FullDate],"&lt;"&amp;EDATE(DATE(2024,$H26,1),1))</f>
        <v>-75612.310000000012</v>
      </c>
      <c r="D26" s="10">
        <f>SUMIFS(tblFinancials[Amount],tblFinancials[AccountCategory],"Operating Expense",tblFinancials[FullDate],"&gt;="&amp;DATE(2025,$H26,1),tblFinancials[FullDate],"&lt;"&amp;EDATE(DATE(2025,$H26,1),1))</f>
        <v>-79739.399999999994</v>
      </c>
      <c r="E26" s="9">
        <f>IFERROR(C26/B26-1,0)</f>
        <v>-5.607923948351945E-2</v>
      </c>
      <c r="F26" s="9">
        <f>IFERROR(D26/C26-1,0)</f>
        <v>5.4582249900842594E-2</v>
      </c>
      <c r="G26" s="9">
        <f>IFERROR(D26/$D$35,0)</f>
        <v>7.9619436598682397E-2</v>
      </c>
      <c r="H26">
        <v>4</v>
      </c>
    </row>
    <row r="27" spans="1:14">
      <c r="A27" t="s">
        <v>224</v>
      </c>
      <c r="B27" s="10">
        <f>SUMIFS(tblFinancials[Amount],tblFinancials[AccountCategory],"Operating Expense",tblFinancials[FullDate],"&gt;="&amp;DATE(2023,$H27,1),tblFinancials[FullDate],"&lt;"&amp;EDATE(DATE(2023,$H27,1),1))</f>
        <v>-76041.62</v>
      </c>
      <c r="C27" s="10">
        <f>SUMIFS(tblFinancials[Amount],tblFinancials[AccountCategory],"Operating Expense",tblFinancials[FullDate],"&gt;="&amp;DATE(2024,$H27,1),tblFinancials[FullDate],"&lt;"&amp;EDATE(DATE(2024,$H27,1),1))</f>
        <v>-91769.48</v>
      </c>
      <c r="D27" s="10">
        <f>SUMIFS(tblFinancials[Amount],tblFinancials[AccountCategory],"Operating Expense",tblFinancials[FullDate],"&gt;="&amp;DATE(2025,$H27,1),tblFinancials[FullDate],"&lt;"&amp;EDATE(DATE(2025,$H27,1),1))</f>
        <v>-83741.14999999998</v>
      </c>
      <c r="E27" s="9">
        <f>IFERROR(C27/B27-1,0)</f>
        <v>0.20683225843952302</v>
      </c>
      <c r="F27" s="9">
        <f>IFERROR(D27/C27-1,0)</f>
        <v>-8.7483660144963449E-2</v>
      </c>
      <c r="G27" s="9">
        <f>IFERROR(D27/$D$35,0)</f>
        <v>8.3615166192945414E-2</v>
      </c>
      <c r="H27">
        <v>5</v>
      </c>
    </row>
    <row r="28" spans="1:14">
      <c r="A28" t="s">
        <v>226</v>
      </c>
      <c r="B28" s="10">
        <f>SUMIFS(tblFinancials[Amount],tblFinancials[AccountCategory],"Operating Expense",tblFinancials[FullDate],"&gt;="&amp;DATE(2023,$H28,1),tblFinancials[FullDate],"&lt;"&amp;EDATE(DATE(2023,$H28,1),1))</f>
        <v>-71489.31</v>
      </c>
      <c r="C28" s="10">
        <f>SUMIFS(tblFinancials[Amount],tblFinancials[AccountCategory],"Operating Expense",tblFinancials[FullDate],"&gt;="&amp;DATE(2024,$H28,1),tblFinancials[FullDate],"&lt;"&amp;EDATE(DATE(2024,$H28,1),1))</f>
        <v>-78241.810000000012</v>
      </c>
      <c r="D28" s="10">
        <f>SUMIFS(tblFinancials[Amount],tblFinancials[AccountCategory],"Operating Expense",tblFinancials[FullDate],"&gt;="&amp;DATE(2025,$H28,1),tblFinancials[FullDate],"&lt;"&amp;EDATE(DATE(2025,$H28,1),1))</f>
        <v>-74795.320000000007</v>
      </c>
      <c r="E28" s="9">
        <f>IFERROR(C28/B28-1,0)</f>
        <v>9.445468140621327E-2</v>
      </c>
      <c r="F28" s="9">
        <f>IFERROR(D28/C28-1,0)</f>
        <v>-4.4049211029243862E-2</v>
      </c>
      <c r="G28" s="9">
        <f>IFERROR(D28/$D$35,0)</f>
        <v>7.468279468641803E-2</v>
      </c>
      <c r="H28">
        <v>6</v>
      </c>
    </row>
    <row r="29" spans="1:14">
      <c r="A29" t="s">
        <v>228</v>
      </c>
      <c r="B29" s="10">
        <f>SUMIFS(tblFinancials[Amount],tblFinancials[AccountCategory],"Operating Expense",tblFinancials[FullDate],"&gt;="&amp;DATE(2023,$H29,1),tblFinancials[FullDate],"&lt;"&amp;EDATE(DATE(2023,$H29,1),1))</f>
        <v>-87684.32</v>
      </c>
      <c r="C29" s="10">
        <f>SUMIFS(tblFinancials[Amount],tblFinancials[AccountCategory],"Operating Expense",tblFinancials[FullDate],"&gt;="&amp;DATE(2024,$H29,1),tblFinancials[FullDate],"&lt;"&amp;EDATE(DATE(2024,$H29,1),1))</f>
        <v>-85817.01</v>
      </c>
      <c r="D29" s="10">
        <f>SUMIFS(tblFinancials[Amount],tblFinancials[AccountCategory],"Operating Expense",tblFinancials[FullDate],"&gt;="&amp;DATE(2025,$H29,1),tblFinancials[FullDate],"&lt;"&amp;EDATE(DATE(2025,$H29,1),1))</f>
        <v>-86599.96</v>
      </c>
      <c r="E29" s="9">
        <f>IFERROR(C29/B29-1,0)</f>
        <v>-2.1295825753110842E-2</v>
      </c>
      <c r="F29" s="9">
        <f>IFERROR(D29/C29-1,0)</f>
        <v>9.1234826289101623E-3</v>
      </c>
      <c r="G29" s="9">
        <f>IFERROR(D29/$D$35,0)</f>
        <v>8.6469675275565566E-2</v>
      </c>
      <c r="H29">
        <v>7</v>
      </c>
    </row>
    <row r="30" spans="1:14">
      <c r="A30" t="s">
        <v>230</v>
      </c>
      <c r="B30" s="10">
        <f>SUMIFS(tblFinancials[Amount],tblFinancials[AccountCategory],"Operating Expense",tblFinancials[FullDate],"&gt;="&amp;DATE(2023,$H30,1),tblFinancials[FullDate],"&lt;"&amp;EDATE(DATE(2023,$H30,1),1))</f>
        <v>-78455.090000000011</v>
      </c>
      <c r="C30" s="10">
        <f>SUMIFS(tblFinancials[Amount],tblFinancials[AccountCategory],"Operating Expense",tblFinancials[FullDate],"&gt;="&amp;DATE(2024,$H30,1),tblFinancials[FullDate],"&lt;"&amp;EDATE(DATE(2024,$H30,1),1))</f>
        <v>-76229.61</v>
      </c>
      <c r="D30" s="10">
        <f>SUMIFS(tblFinancials[Amount],tblFinancials[AccountCategory],"Operating Expense",tblFinancials[FullDate],"&gt;="&amp;DATE(2025,$H30,1),tblFinancials[FullDate],"&lt;"&amp;EDATE(DATE(2025,$H30,1),1))</f>
        <v>-99518.190000000017</v>
      </c>
      <c r="E30" s="9">
        <f>IFERROR(C30/B30-1,0)</f>
        <v>-2.836629210418351E-2</v>
      </c>
      <c r="F30" s="9">
        <f>IFERROR(D30/C30-1,0)</f>
        <v>0.30550569522787829</v>
      </c>
      <c r="G30" s="9">
        <f>IFERROR(D30/$D$35,0)</f>
        <v>9.9368470531765105E-2</v>
      </c>
      <c r="H30">
        <v>8</v>
      </c>
    </row>
    <row r="31" spans="1:14">
      <c r="A31" t="s">
        <v>232</v>
      </c>
      <c r="B31" s="10">
        <f>SUMIFS(tblFinancials[Amount],tblFinancials[AccountCategory],"Operating Expense",tblFinancials[FullDate],"&gt;="&amp;DATE(2023,$H31,1),tblFinancials[FullDate],"&lt;"&amp;EDATE(DATE(2023,$H31,1),1))</f>
        <v>-78984.259999999995</v>
      </c>
      <c r="C31" s="10">
        <f>SUMIFS(tblFinancials[Amount],tblFinancials[AccountCategory],"Operating Expense",tblFinancials[FullDate],"&gt;="&amp;DATE(2024,$H31,1),tblFinancials[FullDate],"&lt;"&amp;EDATE(DATE(2024,$H31,1),1))</f>
        <v>-85132.160000000003</v>
      </c>
      <c r="D31" s="10">
        <f>SUMIFS(tblFinancials[Amount],tblFinancials[AccountCategory],"Operating Expense",tblFinancials[FullDate],"&gt;="&amp;DATE(2025,$H31,1),tblFinancials[FullDate],"&lt;"&amp;EDATE(DATE(2025,$H31,1),1))</f>
        <v>-69656.83</v>
      </c>
      <c r="E31" s="9">
        <f>IFERROR(C31/B31-1,0)</f>
        <v>7.7837027276067561E-2</v>
      </c>
      <c r="F31" s="9">
        <f>IFERROR(D31/C31-1,0)</f>
        <v>-0.1817800699524128</v>
      </c>
      <c r="G31" s="9">
        <f>IFERROR(D31/$D$35,0)</f>
        <v>6.9552035252964009E-2</v>
      </c>
      <c r="H31">
        <v>9</v>
      </c>
    </row>
    <row r="32" spans="1:14">
      <c r="A32" t="s">
        <v>234</v>
      </c>
      <c r="B32" s="10">
        <f>SUMIFS(tblFinancials[Amount],tblFinancials[AccountCategory],"Operating Expense",tblFinancials[FullDate],"&gt;="&amp;DATE(2023,$H32,1),tblFinancials[FullDate],"&lt;"&amp;EDATE(DATE(2023,$H32,1),1))</f>
        <v>-75202.100000000006</v>
      </c>
      <c r="C32" s="10">
        <f>SUMIFS(tblFinancials[Amount],tblFinancials[AccountCategory],"Operating Expense",tblFinancials[FullDate],"&gt;="&amp;DATE(2024,$H32,1),tblFinancials[FullDate],"&lt;"&amp;EDATE(DATE(2024,$H32,1),1))</f>
        <v>-80637.539999999994</v>
      </c>
      <c r="D32" s="10">
        <f>SUMIFS(tblFinancials[Amount],tblFinancials[AccountCategory],"Operating Expense",tblFinancials[FullDate],"&gt;="&amp;DATE(2025,$H32,1),tblFinancials[FullDate],"&lt;"&amp;EDATE(DATE(2025,$H32,1),1))</f>
        <v>-68244.63</v>
      </c>
      <c r="E32" s="9">
        <f>IFERROR(C32/B32-1,0)</f>
        <v>7.2277768838902023E-2</v>
      </c>
      <c r="F32" s="9">
        <f>IFERROR(D32/C32-1,0)</f>
        <v>-0.1536866079992022</v>
      </c>
      <c r="G32" s="9">
        <f>IFERROR(D32/$D$35,0)</f>
        <v>6.8141959827708001E-2</v>
      </c>
      <c r="H32">
        <v>10</v>
      </c>
    </row>
    <row r="33" spans="1:8">
      <c r="A33" t="s">
        <v>236</v>
      </c>
      <c r="B33" s="10">
        <f>SUMIFS(tblFinancials[Amount],tblFinancials[AccountCategory],"Operating Expense",tblFinancials[FullDate],"&gt;="&amp;DATE(2023,$H33,1),tblFinancials[FullDate],"&lt;"&amp;EDATE(DATE(2023,$H33,1),1))</f>
        <v>-79646.170000000013</v>
      </c>
      <c r="C33" s="10">
        <f>SUMIFS(tblFinancials[Amount],tblFinancials[AccountCategory],"Operating Expense",tblFinancials[FullDate],"&gt;="&amp;DATE(2024,$H33,1),tblFinancials[FullDate],"&lt;"&amp;EDATE(DATE(2024,$H33,1),1))</f>
        <v>-94521.94</v>
      </c>
      <c r="D33" s="10">
        <f>SUMIFS(tblFinancials[Amount],tblFinancials[AccountCategory],"Operating Expense",tblFinancials[FullDate],"&gt;="&amp;DATE(2025,$H33,1),tblFinancials[FullDate],"&lt;"&amp;EDATE(DATE(2025,$H33,1),1))</f>
        <v>-100740.73999999999</v>
      </c>
      <c r="E33" s="9">
        <f>IFERROR(C33/B33-1,0)</f>
        <v>0.18677319951480387</v>
      </c>
      <c r="F33" s="9">
        <f>IFERROR(D33/C33-1,0)</f>
        <v>6.5792132493260214E-2</v>
      </c>
      <c r="G33" s="9">
        <f>IFERROR(D33/$D$35,0)</f>
        <v>0.10058918127468162</v>
      </c>
      <c r="H33">
        <v>11</v>
      </c>
    </row>
    <row r="34" spans="1:8">
      <c r="A34" t="s">
        <v>238</v>
      </c>
      <c r="B34" s="10">
        <f>SUMIFS(tblFinancials[Amount],tblFinancials[AccountCategory],"Operating Expense",tblFinancials[FullDate],"&gt;="&amp;DATE(2023,$H34,1),tblFinancials[FullDate],"&lt;"&amp;EDATE(DATE(2023,$H34,1),1))</f>
        <v>-86923.49</v>
      </c>
      <c r="C34" s="10">
        <f>SUMIFS(tblFinancials[Amount],tblFinancials[AccountCategory],"Operating Expense",tblFinancials[FullDate],"&gt;="&amp;DATE(2024,$H34,1),tblFinancials[FullDate],"&lt;"&amp;EDATE(DATE(2024,$H34,1),1))</f>
        <v>-76694.12999999999</v>
      </c>
      <c r="D34" s="10">
        <f>SUMIFS(tblFinancials[Amount],tblFinancials[AccountCategory],"Operating Expense",tblFinancials[FullDate],"&gt;="&amp;DATE(2025,$H34,1),tblFinancials[FullDate],"&lt;"&amp;EDATE(DATE(2025,$H34,1),1))</f>
        <v>-110081.50000000001</v>
      </c>
      <c r="E34" s="9">
        <f>IFERROR(C34/B34-1,0)</f>
        <v>-0.11768234340337713</v>
      </c>
      <c r="F34" s="9">
        <f>IFERROR(D34/C34-1,0)</f>
        <v>0.4353314914713815</v>
      </c>
      <c r="G34" s="9">
        <f>IFERROR(D34/$D$35,0)</f>
        <v>0.10991588863144014</v>
      </c>
      <c r="H34">
        <v>12</v>
      </c>
    </row>
    <row r="35" spans="1:8">
      <c r="A35" t="s">
        <v>303</v>
      </c>
      <c r="B35" s="10">
        <f>SUM(B23:B34)</f>
        <v>-908364.76</v>
      </c>
      <c r="C35" s="10">
        <f>SUM(C23:C34)</f>
        <v>-966218.68</v>
      </c>
      <c r="D35" s="10">
        <f>SUM(D23:D34)</f>
        <v>-1001506.71</v>
      </c>
      <c r="G35" s="9">
        <f>SUM(G23:G34)</f>
        <v>1.0000000000000002</v>
      </c>
    </row>
    <row r="38" spans="1:8">
      <c r="A38" s="37" t="s">
        <v>349</v>
      </c>
      <c r="B38" s="37"/>
      <c r="C38" s="37"/>
      <c r="D38" s="37"/>
    </row>
    <row r="40" spans="1:8">
      <c r="A40" t="s">
        <v>333</v>
      </c>
      <c r="B40" s="10" t="s">
        <v>350</v>
      </c>
      <c r="C40" s="10" t="s">
        <v>351</v>
      </c>
      <c r="D40" s="10" t="s">
        <v>352</v>
      </c>
    </row>
    <row r="41" spans="1:8">
      <c r="A41" t="s">
        <v>215</v>
      </c>
      <c r="B41" s="10">
        <f>SUMIFS(tblFinancials[Amount],tblFinancials[AccountCategory],"Revenue",tblFinancials[FullDate],"&gt;="&amp;DATE(2023,$H23,1),tblFinancials[FullDate],"&lt;"&amp;EDATE(DATE(2023,$H23,1),1))+SUMIFS(tblFinancials[Amount],tblFinancials[AccountCategory],"Cost of Sales",tblFinancials[FullDate],"&gt;="&amp;DATE(2023,$H23,1),tblFinancials[FullDate],"&lt;"&amp;EDATE(DATE(2023,$H23,1),1))+SUMIFS(tblFinancials[Amount],tblFinancials[AccountCategory],"Operating Expense",tblFinancials[FullDate],"&gt;="&amp;DATE(2023,$H23,1),tblFinancials[FullDate],"&lt;"&amp;EDATE(DATE(2023,$H23,1),1))</f>
        <v>70294.799999999988</v>
      </c>
      <c r="C41" s="10">
        <f>SUMIFS(tblFinancials[Amount],tblFinancials[AccountCategory],"Revenue",tblFinancials[FullDate],"&gt;="&amp;DATE(2024,$H23,1),tblFinancials[FullDate],"&lt;"&amp;EDATE(DATE(2024,$H23,1),1))+SUMIFS(tblFinancials[Amount],tblFinancials[AccountCategory],"Cost of Sales",tblFinancials[FullDate],"&gt;="&amp;DATE(2024,$H23,1),tblFinancials[FullDate],"&lt;"&amp;EDATE(DATE(2024,$H23,1),1))+SUMIFS(tblFinancials[Amount],tblFinancials[AccountCategory],"Operating Expense",tblFinancials[FullDate],"&gt;="&amp;DATE(2024,$H23,1),tblFinancials[FullDate],"&lt;"&amp;EDATE(DATE(2024,$H23,1),1))</f>
        <v>59712.36</v>
      </c>
      <c r="D41" s="10">
        <f>SUMIFS(tblFinancials[Amount],tblFinancials[AccountCategory],"Revenue",tblFinancials[FullDate],"&gt;="&amp;DATE(2025,$H23,1),tblFinancials[FullDate],"&lt;"&amp;EDATE(DATE(2025,$H23,1),1))+SUMIFS(tblFinancials[Amount],tblFinancials[AccountCategory],"Cost of Sales",tblFinancials[FullDate],"&gt;="&amp;DATE(2025,$H23,1),tblFinancials[FullDate],"&lt;"&amp;EDATE(DATE(2025,$H23,1),1))+SUMIFS(tblFinancials[Amount],tblFinancials[AccountCategory],"Operating Expense",tblFinancials[FullDate],"&gt;="&amp;DATE(2025,$H23,1),tblFinancials[FullDate],"&lt;"&amp;EDATE(DATE(2025,$H23,1),1))</f>
        <v>71446.989999999991</v>
      </c>
    </row>
    <row r="42" spans="1:8">
      <c r="A42" t="s">
        <v>218</v>
      </c>
      <c r="B42" s="10">
        <f>SUMIFS(tblFinancials[Amount],tblFinancials[AccountCategory],"Revenue",tblFinancials[FullDate],"&gt;="&amp;DATE(2023,$H24,1),tblFinancials[FullDate],"&lt;"&amp;EDATE(DATE(2023,$H24,1),1))+SUMIFS(tblFinancials[Amount],tblFinancials[AccountCategory],"Cost of Sales",tblFinancials[FullDate],"&gt;="&amp;DATE(2023,$H24,1),tblFinancials[FullDate],"&lt;"&amp;EDATE(DATE(2023,$H24,1),1))+SUMIFS(tblFinancials[Amount],tblFinancials[AccountCategory],"Operating Expense",tblFinancials[FullDate],"&gt;="&amp;DATE(2023,$H24,1),tblFinancials[FullDate],"&lt;"&amp;EDATE(DATE(2023,$H24,1),1))</f>
        <v>57480.28000000005</v>
      </c>
      <c r="C42" s="10">
        <f>SUMIFS(tblFinancials[Amount],tblFinancials[AccountCategory],"Revenue",tblFinancials[FullDate],"&gt;="&amp;DATE(2024,$H24,1),tblFinancials[FullDate],"&lt;"&amp;EDATE(DATE(2024,$H24,1),1))+SUMIFS(tblFinancials[Amount],tblFinancials[AccountCategory],"Cost of Sales",tblFinancials[FullDate],"&gt;="&amp;DATE(2024,$H24,1),tblFinancials[FullDate],"&lt;"&amp;EDATE(DATE(2024,$H24,1),1))+SUMIFS(tblFinancials[Amount],tblFinancials[AccountCategory],"Operating Expense",tblFinancials[FullDate],"&gt;="&amp;DATE(2024,$H24,1),tblFinancials[FullDate],"&lt;"&amp;EDATE(DATE(2024,$H24,1),1))</f>
        <v>63403.060000000012</v>
      </c>
      <c r="D42" s="10">
        <f>SUMIFS(tblFinancials[Amount],tblFinancials[AccountCategory],"Revenue",tblFinancials[FullDate],"&gt;="&amp;DATE(2025,$H24,1),tblFinancials[FullDate],"&lt;"&amp;EDATE(DATE(2025,$H24,1),1))+SUMIFS(tblFinancials[Amount],tblFinancials[AccountCategory],"Cost of Sales",tblFinancials[FullDate],"&gt;="&amp;DATE(2025,$H24,1),tblFinancials[FullDate],"&lt;"&amp;EDATE(DATE(2025,$H24,1),1))+SUMIFS(tblFinancials[Amount],tblFinancials[AccountCategory],"Operating Expense",tblFinancials[FullDate],"&gt;="&amp;DATE(2025,$H24,1),tblFinancials[FullDate],"&lt;"&amp;EDATE(DATE(2025,$H24,1),1))</f>
        <v>61029.560000000012</v>
      </c>
    </row>
    <row r="43" spans="1:8">
      <c r="A43" t="s">
        <v>220</v>
      </c>
      <c r="B43" s="10">
        <f>SUMIFS(tblFinancials[Amount],tblFinancials[AccountCategory],"Revenue",tblFinancials[FullDate],"&gt;="&amp;DATE(2023,$H25,1),tblFinancials[FullDate],"&lt;"&amp;EDATE(DATE(2023,$H25,1),1))+SUMIFS(tblFinancials[Amount],tblFinancials[AccountCategory],"Cost of Sales",tblFinancials[FullDate],"&gt;="&amp;DATE(2023,$H25,1),tblFinancials[FullDate],"&lt;"&amp;EDATE(DATE(2023,$H25,1),1))+SUMIFS(tblFinancials[Amount],tblFinancials[AccountCategory],"Operating Expense",tblFinancials[FullDate],"&gt;="&amp;DATE(2023,$H25,1),tblFinancials[FullDate],"&lt;"&amp;EDATE(DATE(2023,$H25,1),1))</f>
        <v>57134.089999999982</v>
      </c>
      <c r="C43" s="10">
        <f>SUMIFS(tblFinancials[Amount],tblFinancials[AccountCategory],"Revenue",tblFinancials[FullDate],"&gt;="&amp;DATE(2024,$H25,1),tblFinancials[FullDate],"&lt;"&amp;EDATE(DATE(2024,$H25,1),1))+SUMIFS(tblFinancials[Amount],tblFinancials[AccountCategory],"Cost of Sales",tblFinancials[FullDate],"&gt;="&amp;DATE(2024,$H25,1),tblFinancials[FullDate],"&lt;"&amp;EDATE(DATE(2024,$H25,1),1))+SUMIFS(tblFinancials[Amount],tblFinancials[AccountCategory],"Operating Expense",tblFinancials[FullDate],"&gt;="&amp;DATE(2024,$H25,1),tblFinancials[FullDate],"&lt;"&amp;EDATE(DATE(2024,$H25,1),1))</f>
        <v>69237.499999999956</v>
      </c>
      <c r="D43" s="10">
        <f>SUMIFS(tblFinancials[Amount],tblFinancials[AccountCategory],"Revenue",tblFinancials[FullDate],"&gt;="&amp;DATE(2025,$H25,1),tblFinancials[FullDate],"&lt;"&amp;EDATE(DATE(2025,$H25,1),1))+SUMIFS(tblFinancials[Amount],tblFinancials[AccountCategory],"Cost of Sales",tblFinancials[FullDate],"&gt;="&amp;DATE(2025,$H25,1),tblFinancials[FullDate],"&lt;"&amp;EDATE(DATE(2025,$H25,1),1))+SUMIFS(tblFinancials[Amount],tblFinancials[AccountCategory],"Operating Expense",tblFinancials[FullDate],"&gt;="&amp;DATE(2025,$H25,1),tblFinancials[FullDate],"&lt;"&amp;EDATE(DATE(2025,$H25,1),1))</f>
        <v>81690.559999999998</v>
      </c>
    </row>
    <row r="44" spans="1:8">
      <c r="A44" t="s">
        <v>222</v>
      </c>
      <c r="B44" s="10">
        <f>SUMIFS(tblFinancials[Amount],tblFinancials[AccountCategory],"Revenue",tblFinancials[FullDate],"&gt;="&amp;DATE(2023,$H26,1),tblFinancials[FullDate],"&lt;"&amp;EDATE(DATE(2023,$H26,1),1))+SUMIFS(tblFinancials[Amount],tblFinancials[AccountCategory],"Cost of Sales",tblFinancials[FullDate],"&gt;="&amp;DATE(2023,$H26,1),tblFinancials[FullDate],"&lt;"&amp;EDATE(DATE(2023,$H26,1),1))+SUMIFS(tblFinancials[Amount],tblFinancials[AccountCategory],"Operating Expense",tblFinancials[FullDate],"&gt;="&amp;DATE(2023,$H26,1),tblFinancials[FullDate],"&lt;"&amp;EDATE(DATE(2023,$H26,1),1))</f>
        <v>61356.64999999998</v>
      </c>
      <c r="C44" s="10">
        <f>SUMIFS(tblFinancials[Amount],tblFinancials[AccountCategory],"Revenue",tblFinancials[FullDate],"&gt;="&amp;DATE(2024,$H26,1),tblFinancials[FullDate],"&lt;"&amp;EDATE(DATE(2024,$H26,1),1))+SUMIFS(tblFinancials[Amount],tblFinancials[AccountCategory],"Cost of Sales",tblFinancials[FullDate],"&gt;="&amp;DATE(2024,$H26,1),tblFinancials[FullDate],"&lt;"&amp;EDATE(DATE(2024,$H26,1),1))+SUMIFS(tblFinancials[Amount],tblFinancials[AccountCategory],"Operating Expense",tblFinancials[FullDate],"&gt;="&amp;DATE(2024,$H26,1),tblFinancials[FullDate],"&lt;"&amp;EDATE(DATE(2024,$H26,1),1))</f>
        <v>80908.339999999953</v>
      </c>
      <c r="D44" s="10">
        <f>SUMIFS(tblFinancials[Amount],tblFinancials[AccountCategory],"Revenue",tblFinancials[FullDate],"&gt;="&amp;DATE(2025,$H26,1),tblFinancials[FullDate],"&lt;"&amp;EDATE(DATE(2025,$H26,1),1))+SUMIFS(tblFinancials[Amount],tblFinancials[AccountCategory],"Cost of Sales",tblFinancials[FullDate],"&gt;="&amp;DATE(2025,$H26,1),tblFinancials[FullDate],"&lt;"&amp;EDATE(DATE(2025,$H26,1),1))+SUMIFS(tblFinancials[Amount],tblFinancials[AccountCategory],"Operating Expense",tblFinancials[FullDate],"&gt;="&amp;DATE(2025,$H26,1),tblFinancials[FullDate],"&lt;"&amp;EDATE(DATE(2025,$H26,1),1))</f>
        <v>85617.770000000019</v>
      </c>
    </row>
    <row r="45" spans="1:8">
      <c r="A45" t="s">
        <v>224</v>
      </c>
      <c r="B45" s="10">
        <f>SUMIFS(tblFinancials[Amount],tblFinancials[AccountCategory],"Revenue",tblFinancials[FullDate],"&gt;="&amp;DATE(2023,$H27,1),tblFinancials[FullDate],"&lt;"&amp;EDATE(DATE(2023,$H27,1),1))+SUMIFS(tblFinancials[Amount],tblFinancials[AccountCategory],"Cost of Sales",tblFinancials[FullDate],"&gt;="&amp;DATE(2023,$H27,1),tblFinancials[FullDate],"&lt;"&amp;EDATE(DATE(2023,$H27,1),1))+SUMIFS(tblFinancials[Amount],tblFinancials[AccountCategory],"Operating Expense",tblFinancials[FullDate],"&gt;="&amp;DATE(2023,$H27,1),tblFinancials[FullDate],"&lt;"&amp;EDATE(DATE(2023,$H27,1),1))</f>
        <v>72468.330000000045</v>
      </c>
      <c r="C45" s="10">
        <f>SUMIFS(tblFinancials[Amount],tblFinancials[AccountCategory],"Revenue",tblFinancials[FullDate],"&gt;="&amp;DATE(2024,$H27,1),tblFinancials[FullDate],"&lt;"&amp;EDATE(DATE(2024,$H27,1),1))+SUMIFS(tblFinancials[Amount],tblFinancials[AccountCategory],"Cost of Sales",tblFinancials[FullDate],"&gt;="&amp;DATE(2024,$H27,1),tblFinancials[FullDate],"&lt;"&amp;EDATE(DATE(2024,$H27,1),1))+SUMIFS(tblFinancials[Amount],tblFinancials[AccountCategory],"Operating Expense",tblFinancials[FullDate],"&gt;="&amp;DATE(2024,$H27,1),tblFinancials[FullDate],"&lt;"&amp;EDATE(DATE(2024,$H27,1),1))</f>
        <v>70291.520000000062</v>
      </c>
      <c r="D45" s="10">
        <f>SUMIFS(tblFinancials[Amount],tblFinancials[AccountCategory],"Revenue",tblFinancials[FullDate],"&gt;="&amp;DATE(2025,$H27,1),tblFinancials[FullDate],"&lt;"&amp;EDATE(DATE(2025,$H27,1),1))+SUMIFS(tblFinancials[Amount],tblFinancials[AccountCategory],"Cost of Sales",tblFinancials[FullDate],"&gt;="&amp;DATE(2025,$H27,1),tblFinancials[FullDate],"&lt;"&amp;EDATE(DATE(2025,$H27,1),1))+SUMIFS(tblFinancials[Amount],tblFinancials[AccountCategory],"Operating Expense",tblFinancials[FullDate],"&gt;="&amp;DATE(2025,$H27,1),tblFinancials[FullDate],"&lt;"&amp;EDATE(DATE(2025,$H27,1),1))</f>
        <v>90485.249999999985</v>
      </c>
    </row>
    <row r="46" spans="1:8">
      <c r="A46" t="s">
        <v>226</v>
      </c>
      <c r="B46" s="10">
        <f>SUMIFS(tblFinancials[Amount],tblFinancials[AccountCategory],"Revenue",tblFinancials[FullDate],"&gt;="&amp;DATE(2023,$H28,1),tblFinancials[FullDate],"&lt;"&amp;EDATE(DATE(2023,$H28,1),1))+SUMIFS(tblFinancials[Amount],tblFinancials[AccountCategory],"Cost of Sales",tblFinancials[FullDate],"&gt;="&amp;DATE(2023,$H28,1),tblFinancials[FullDate],"&lt;"&amp;EDATE(DATE(2023,$H28,1),1))+SUMIFS(tblFinancials[Amount],tblFinancials[AccountCategory],"Operating Expense",tblFinancials[FullDate],"&gt;="&amp;DATE(2023,$H28,1),tblFinancials[FullDate],"&lt;"&amp;EDATE(DATE(2023,$H28,1),1))</f>
        <v>83125.319999999949</v>
      </c>
      <c r="C46" s="10">
        <f>SUMIFS(tblFinancials[Amount],tblFinancials[AccountCategory],"Revenue",tblFinancials[FullDate],"&gt;="&amp;DATE(2024,$H28,1),tblFinancials[FullDate],"&lt;"&amp;EDATE(DATE(2024,$H28,1),1))+SUMIFS(tblFinancials[Amount],tblFinancials[AccountCategory],"Cost of Sales",tblFinancials[FullDate],"&gt;="&amp;DATE(2024,$H28,1),tblFinancials[FullDate],"&lt;"&amp;EDATE(DATE(2024,$H28,1),1))+SUMIFS(tblFinancials[Amount],tblFinancials[AccountCategory],"Operating Expense",tblFinancials[FullDate],"&gt;="&amp;DATE(2024,$H28,1),tblFinancials[FullDate],"&lt;"&amp;EDATE(DATE(2024,$H28,1),1))</f>
        <v>88646.470000000045</v>
      </c>
      <c r="D46" s="10">
        <f>SUMIFS(tblFinancials[Amount],tblFinancials[AccountCategory],"Revenue",tblFinancials[FullDate],"&gt;="&amp;DATE(2025,$H28,1),tblFinancials[FullDate],"&lt;"&amp;EDATE(DATE(2025,$H28,1),1))+SUMIFS(tblFinancials[Amount],tblFinancials[AccountCategory],"Cost of Sales",tblFinancials[FullDate],"&gt;="&amp;DATE(2025,$H28,1),tblFinancials[FullDate],"&lt;"&amp;EDATE(DATE(2025,$H28,1),1))+SUMIFS(tblFinancials[Amount],tblFinancials[AccountCategory],"Operating Expense",tblFinancials[FullDate],"&gt;="&amp;DATE(2025,$H28,1),tblFinancials[FullDate],"&lt;"&amp;EDATE(DATE(2025,$H28,1),1))</f>
        <v>102053</v>
      </c>
    </row>
    <row r="47" spans="1:8">
      <c r="A47" t="s">
        <v>228</v>
      </c>
      <c r="B47" s="10">
        <f>SUMIFS(tblFinancials[Amount],tblFinancials[AccountCategory],"Revenue",tblFinancials[FullDate],"&gt;="&amp;DATE(2023,$H29,1),tblFinancials[FullDate],"&lt;"&amp;EDATE(DATE(2023,$H29,1),1))+SUMIFS(tblFinancials[Amount],tblFinancials[AccountCategory],"Cost of Sales",tblFinancials[FullDate],"&gt;="&amp;DATE(2023,$H29,1),tblFinancials[FullDate],"&lt;"&amp;EDATE(DATE(2023,$H29,1),1))+SUMIFS(tblFinancials[Amount],tblFinancials[AccountCategory],"Operating Expense",tblFinancials[FullDate],"&gt;="&amp;DATE(2023,$H29,1),tblFinancials[FullDate],"&lt;"&amp;EDATE(DATE(2023,$H29,1),1))</f>
        <v>67162.460000000021</v>
      </c>
      <c r="C47" s="10">
        <f>SUMIFS(tblFinancials[Amount],tblFinancials[AccountCategory],"Revenue",tblFinancials[FullDate],"&gt;="&amp;DATE(2024,$H29,1),tblFinancials[FullDate],"&lt;"&amp;EDATE(DATE(2024,$H29,1),1))+SUMIFS(tblFinancials[Amount],tblFinancials[AccountCategory],"Cost of Sales",tblFinancials[FullDate],"&gt;="&amp;DATE(2024,$H29,1),tblFinancials[FullDate],"&lt;"&amp;EDATE(DATE(2024,$H29,1),1))+SUMIFS(tblFinancials[Amount],tblFinancials[AccountCategory],"Operating Expense",tblFinancials[FullDate],"&gt;="&amp;DATE(2024,$H29,1),tblFinancials[FullDate],"&lt;"&amp;EDATE(DATE(2024,$H29,1),1))</f>
        <v>81605.489999999947</v>
      </c>
      <c r="D47" s="10">
        <f>SUMIFS(tblFinancials[Amount],tblFinancials[AccountCategory],"Revenue",tblFinancials[FullDate],"&gt;="&amp;DATE(2025,$H29,1),tblFinancials[FullDate],"&lt;"&amp;EDATE(DATE(2025,$H29,1),1))+SUMIFS(tblFinancials[Amount],tblFinancials[AccountCategory],"Cost of Sales",tblFinancials[FullDate],"&gt;="&amp;DATE(2025,$H29,1),tblFinancials[FullDate],"&lt;"&amp;EDATE(DATE(2025,$H29,1),1))+SUMIFS(tblFinancials[Amount],tblFinancials[AccountCategory],"Operating Expense",tblFinancials[FullDate],"&gt;="&amp;DATE(2025,$H29,1),tblFinancials[FullDate],"&lt;"&amp;EDATE(DATE(2025,$H29,1),1))</f>
        <v>96447.469999999987</v>
      </c>
    </row>
    <row r="48" spans="1:8">
      <c r="A48" t="s">
        <v>230</v>
      </c>
      <c r="B48" s="10">
        <f>SUMIFS(tblFinancials[Amount],tblFinancials[AccountCategory],"Revenue",tblFinancials[FullDate],"&gt;="&amp;DATE(2023,$H30,1),tblFinancials[FullDate],"&lt;"&amp;EDATE(DATE(2023,$H30,1),1))+SUMIFS(tblFinancials[Amount],tblFinancials[AccountCategory],"Cost of Sales",tblFinancials[FullDate],"&gt;="&amp;DATE(2023,$H30,1),tblFinancials[FullDate],"&lt;"&amp;EDATE(DATE(2023,$H30,1),1))+SUMIFS(tblFinancials[Amount],tblFinancials[AccountCategory],"Operating Expense",tblFinancials[FullDate],"&gt;="&amp;DATE(2023,$H30,1),tblFinancials[FullDate],"&lt;"&amp;EDATE(DATE(2023,$H30,1),1))</f>
        <v>74038.509999999995</v>
      </c>
      <c r="C48" s="10">
        <f>SUMIFS(tblFinancials[Amount],tblFinancials[AccountCategory],"Revenue",tblFinancials[FullDate],"&gt;="&amp;DATE(2024,$H30,1),tblFinancials[FullDate],"&lt;"&amp;EDATE(DATE(2024,$H30,1),1))+SUMIFS(tblFinancials[Amount],tblFinancials[AccountCategory],"Cost of Sales",tblFinancials[FullDate],"&gt;="&amp;DATE(2024,$H30,1),tblFinancials[FullDate],"&lt;"&amp;EDATE(DATE(2024,$H30,1),1))+SUMIFS(tblFinancials[Amount],tblFinancials[AccountCategory],"Operating Expense",tblFinancials[FullDate],"&gt;="&amp;DATE(2024,$H30,1),tblFinancials[FullDate],"&lt;"&amp;EDATE(DATE(2024,$H30,1),1))</f>
        <v>87523.15999999996</v>
      </c>
      <c r="D48" s="10">
        <f>SUMIFS(tblFinancials[Amount],tblFinancials[AccountCategory],"Revenue",tblFinancials[FullDate],"&gt;="&amp;DATE(2025,$H30,1),tblFinancials[FullDate],"&lt;"&amp;EDATE(DATE(2025,$H30,1),1))+SUMIFS(tblFinancials[Amount],tblFinancials[AccountCategory],"Cost of Sales",tblFinancials[FullDate],"&gt;="&amp;DATE(2025,$H30,1),tblFinancials[FullDate],"&lt;"&amp;EDATE(DATE(2025,$H30,1),1))+SUMIFS(tblFinancials[Amount],tblFinancials[AccountCategory],"Operating Expense",tblFinancials[FullDate],"&gt;="&amp;DATE(2025,$H30,1),tblFinancials[FullDate],"&lt;"&amp;EDATE(DATE(2025,$H30,1),1))</f>
        <v>76226.709999999948</v>
      </c>
    </row>
    <row r="49" spans="1:4">
      <c r="A49" t="s">
        <v>232</v>
      </c>
      <c r="B49" s="10">
        <f>SUMIFS(tblFinancials[Amount],tblFinancials[AccountCategory],"Revenue",tblFinancials[FullDate],"&gt;="&amp;DATE(2023,$H31,1),tblFinancials[FullDate],"&lt;"&amp;EDATE(DATE(2023,$H31,1),1))+SUMIFS(tblFinancials[Amount],tblFinancials[AccountCategory],"Cost of Sales",tblFinancials[FullDate],"&gt;="&amp;DATE(2023,$H31,1),tblFinancials[FullDate],"&lt;"&amp;EDATE(DATE(2023,$H31,1),1))+SUMIFS(tblFinancials[Amount],tblFinancials[AccountCategory],"Operating Expense",tblFinancials[FullDate],"&gt;="&amp;DATE(2023,$H31,1),tblFinancials[FullDate],"&lt;"&amp;EDATE(DATE(2023,$H31,1),1))</f>
        <v>60498.580000000031</v>
      </c>
      <c r="C49" s="10">
        <f>SUMIFS(tblFinancials[Amount],tblFinancials[AccountCategory],"Revenue",tblFinancials[FullDate],"&gt;="&amp;DATE(2024,$H31,1),tblFinancials[FullDate],"&lt;"&amp;EDATE(DATE(2024,$H31,1),1))+SUMIFS(tblFinancials[Amount],tblFinancials[AccountCategory],"Cost of Sales",tblFinancials[FullDate],"&gt;="&amp;DATE(2024,$H31,1),tblFinancials[FullDate],"&lt;"&amp;EDATE(DATE(2024,$H31,1),1))+SUMIFS(tblFinancials[Amount],tblFinancials[AccountCategory],"Operating Expense",tblFinancials[FullDate],"&gt;="&amp;DATE(2024,$H31,1),tblFinancials[FullDate],"&lt;"&amp;EDATE(DATE(2024,$H31,1),1))</f>
        <v>65207.610000000102</v>
      </c>
      <c r="D49" s="10">
        <f>SUMIFS(tblFinancials[Amount],tblFinancials[AccountCategory],"Revenue",tblFinancials[FullDate],"&gt;="&amp;DATE(2025,$H31,1),tblFinancials[FullDate],"&lt;"&amp;EDATE(DATE(2025,$H31,1),1))+SUMIFS(tblFinancials[Amount],tblFinancials[AccountCategory],"Cost of Sales",tblFinancials[FullDate],"&gt;="&amp;DATE(2025,$H31,1),tblFinancials[FullDate],"&lt;"&amp;EDATE(DATE(2025,$H31,1),1))+SUMIFS(tblFinancials[Amount],tblFinancials[AccountCategory],"Operating Expense",tblFinancials[FullDate],"&gt;="&amp;DATE(2025,$H31,1),tblFinancials[FullDate],"&lt;"&amp;EDATE(DATE(2025,$H31,1),1))</f>
        <v>93794.450000000055</v>
      </c>
    </row>
    <row r="50" spans="1:4">
      <c r="A50" t="s">
        <v>234</v>
      </c>
      <c r="B50" s="10">
        <f>SUMIFS(tblFinancials[Amount],tblFinancials[AccountCategory],"Revenue",tblFinancials[FullDate],"&gt;="&amp;DATE(2023,$H32,1),tblFinancials[FullDate],"&lt;"&amp;EDATE(DATE(2023,$H32,1),1))+SUMIFS(tblFinancials[Amount],tblFinancials[AccountCategory],"Cost of Sales",tblFinancials[FullDate],"&gt;="&amp;DATE(2023,$H32,1),tblFinancials[FullDate],"&lt;"&amp;EDATE(DATE(2023,$H32,1),1))+SUMIFS(tblFinancials[Amount],tblFinancials[AccountCategory],"Operating Expense",tblFinancials[FullDate],"&gt;="&amp;DATE(2023,$H32,1),tblFinancials[FullDate],"&lt;"&amp;EDATE(DATE(2023,$H32,1),1))</f>
        <v>68146.309999999969</v>
      </c>
      <c r="C50" s="10">
        <f>SUMIFS(tblFinancials[Amount],tblFinancials[AccountCategory],"Revenue",tblFinancials[FullDate],"&gt;="&amp;DATE(2024,$H32,1),tblFinancials[FullDate],"&lt;"&amp;EDATE(DATE(2024,$H32,1),1))+SUMIFS(tblFinancials[Amount],tblFinancials[AccountCategory],"Cost of Sales",tblFinancials[FullDate],"&gt;="&amp;DATE(2024,$H32,1),tblFinancials[FullDate],"&lt;"&amp;EDATE(DATE(2024,$H32,1),1))+SUMIFS(tblFinancials[Amount],tblFinancials[AccountCategory],"Operating Expense",tblFinancials[FullDate],"&gt;="&amp;DATE(2024,$H32,1),tblFinancials[FullDate],"&lt;"&amp;EDATE(DATE(2024,$H32,1),1))</f>
        <v>75001.529999999955</v>
      </c>
      <c r="D50" s="10">
        <f>SUMIFS(tblFinancials[Amount],tblFinancials[AccountCategory],"Revenue",tblFinancials[FullDate],"&gt;="&amp;DATE(2025,$H32,1),tblFinancials[FullDate],"&lt;"&amp;EDATE(DATE(2025,$H32,1),1))+SUMIFS(tblFinancials[Amount],tblFinancials[AccountCategory],"Cost of Sales",tblFinancials[FullDate],"&gt;="&amp;DATE(2025,$H32,1),tblFinancials[FullDate],"&lt;"&amp;EDATE(DATE(2025,$H32,1),1))+SUMIFS(tblFinancials[Amount],tblFinancials[AccountCategory],"Operating Expense",tblFinancials[FullDate],"&gt;="&amp;DATE(2025,$H32,1),tblFinancials[FullDate],"&lt;"&amp;EDATE(DATE(2025,$H32,1),1))</f>
        <v>96808.080000000016</v>
      </c>
    </row>
    <row r="51" spans="1:4">
      <c r="A51" t="s">
        <v>236</v>
      </c>
      <c r="B51" s="10">
        <f>SUMIFS(tblFinancials[Amount],tblFinancials[AccountCategory],"Revenue",tblFinancials[FullDate],"&gt;="&amp;DATE(2023,$H33,1),tblFinancials[FullDate],"&lt;"&amp;EDATE(DATE(2023,$H33,1),1))+SUMIFS(tblFinancials[Amount],tblFinancials[AccountCategory],"Cost of Sales",tblFinancials[FullDate],"&gt;="&amp;DATE(2023,$H33,1),tblFinancials[FullDate],"&lt;"&amp;EDATE(DATE(2023,$H33,1),1))+SUMIFS(tblFinancials[Amount],tblFinancials[AccountCategory],"Operating Expense",tblFinancials[FullDate],"&gt;="&amp;DATE(2023,$H33,1),tblFinancials[FullDate],"&lt;"&amp;EDATE(DATE(2023,$H33,1),1))</f>
        <v>73340.879999999976</v>
      </c>
      <c r="C51" s="10">
        <f>SUMIFS(tblFinancials[Amount],tblFinancials[AccountCategory],"Revenue",tblFinancials[FullDate],"&gt;="&amp;DATE(2024,$H33,1),tblFinancials[FullDate],"&lt;"&amp;EDATE(DATE(2024,$H33,1),1))+SUMIFS(tblFinancials[Amount],tblFinancials[AccountCategory],"Cost of Sales",tblFinancials[FullDate],"&gt;="&amp;DATE(2024,$H33,1),tblFinancials[FullDate],"&lt;"&amp;EDATE(DATE(2024,$H33,1),1))+SUMIFS(tblFinancials[Amount],tblFinancials[AccountCategory],"Operating Expense",tblFinancials[FullDate],"&gt;="&amp;DATE(2024,$H33,1),tblFinancials[FullDate],"&lt;"&amp;EDATE(DATE(2024,$H33,1),1))</f>
        <v>72399.790000000037</v>
      </c>
      <c r="D51" s="10">
        <f>SUMIFS(tblFinancials[Amount],tblFinancials[AccountCategory],"Revenue",tblFinancials[FullDate],"&gt;="&amp;DATE(2025,$H33,1),tblFinancials[FullDate],"&lt;"&amp;EDATE(DATE(2025,$H33,1),1))+SUMIFS(tblFinancials[Amount],tblFinancials[AccountCategory],"Cost of Sales",tblFinancials[FullDate],"&gt;="&amp;DATE(2025,$H33,1),tblFinancials[FullDate],"&lt;"&amp;EDATE(DATE(2025,$H33,1),1))+SUMIFS(tblFinancials[Amount],tblFinancials[AccountCategory],"Operating Expense",tblFinancials[FullDate],"&gt;="&amp;DATE(2025,$H33,1),tblFinancials[FullDate],"&lt;"&amp;EDATE(DATE(2025,$H33,1),1))</f>
        <v>77163.12</v>
      </c>
    </row>
    <row r="52" spans="1:4">
      <c r="A52" t="s">
        <v>238</v>
      </c>
      <c r="B52" s="10">
        <f>SUMIFS(tblFinancials[Amount],tblFinancials[AccountCategory],"Revenue",tblFinancials[FullDate],"&gt;="&amp;DATE(2023,$H34,1),tblFinancials[FullDate],"&lt;"&amp;EDATE(DATE(2023,$H34,1),1))+SUMIFS(tblFinancials[Amount],tblFinancials[AccountCategory],"Cost of Sales",tblFinancials[FullDate],"&gt;="&amp;DATE(2023,$H34,1),tblFinancials[FullDate],"&lt;"&amp;EDATE(DATE(2023,$H34,1),1))+SUMIFS(tblFinancials[Amount],tblFinancials[AccountCategory],"Operating Expense",tblFinancials[FullDate],"&gt;="&amp;DATE(2023,$H34,1),tblFinancials[FullDate],"&lt;"&amp;EDATE(DATE(2023,$H34,1),1))</f>
        <v>80825.480000000025</v>
      </c>
      <c r="C52" s="10">
        <f>SUMIFS(tblFinancials[Amount],tblFinancials[AccountCategory],"Revenue",tblFinancials[FullDate],"&gt;="&amp;DATE(2024,$H34,1),tblFinancials[FullDate],"&lt;"&amp;EDATE(DATE(2024,$H34,1),1))+SUMIFS(tblFinancials[Amount],tblFinancials[AccountCategory],"Cost of Sales",tblFinancials[FullDate],"&gt;="&amp;DATE(2024,$H34,1),tblFinancials[FullDate],"&lt;"&amp;EDATE(DATE(2024,$H34,1),1))+SUMIFS(tblFinancials[Amount],tblFinancials[AccountCategory],"Operating Expense",tblFinancials[FullDate],"&gt;="&amp;DATE(2024,$H34,1),tblFinancials[FullDate],"&lt;"&amp;EDATE(DATE(2024,$H34,1),1))</f>
        <v>103246.71000000015</v>
      </c>
      <c r="D52" s="10">
        <f>SUMIFS(tblFinancials[Amount],tblFinancials[AccountCategory],"Revenue",tblFinancials[FullDate],"&gt;="&amp;DATE(2025,$H34,1),tblFinancials[FullDate],"&lt;"&amp;EDATE(DATE(2025,$H34,1),1))+SUMIFS(tblFinancials[Amount],tblFinancials[AccountCategory],"Cost of Sales",tblFinancials[FullDate],"&gt;="&amp;DATE(2025,$H34,1),tblFinancials[FullDate],"&lt;"&amp;EDATE(DATE(2025,$H34,1),1))+SUMIFS(tblFinancials[Amount],tblFinancials[AccountCategory],"Operating Expense",tblFinancials[FullDate],"&gt;="&amp;DATE(2025,$H34,1),tblFinancials[FullDate],"&lt;"&amp;EDATE(DATE(2025,$H34,1),1))</f>
        <v>84317.740000000034</v>
      </c>
    </row>
    <row r="53" spans="1:4">
      <c r="A53" t="s">
        <v>353</v>
      </c>
      <c r="B53" s="10">
        <f>SUM(B41:B52)</f>
        <v>825871.69</v>
      </c>
      <c r="C53" s="10">
        <f>SUM(C41:C52)</f>
        <v>917183.54000000015</v>
      </c>
      <c r="D53" s="10">
        <f>SUM(D41:D52)</f>
        <v>1017080.7000000001</v>
      </c>
    </row>
  </sheetData>
  <mergeCells count="5">
    <mergeCell ref="A38:D38"/>
    <mergeCell ref="A1:H1"/>
    <mergeCell ref="A2:H2"/>
    <mergeCell ref="J4:N4"/>
    <mergeCell ref="A20:H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310A-D9BA-4858-9ED1-BE37909BEC3A}">
  <dimension ref="A1:F51"/>
  <sheetViews>
    <sheetView workbookViewId="0">
      <selection activeCell="C45" sqref="C45"/>
    </sheetView>
  </sheetViews>
  <sheetFormatPr defaultRowHeight="15"/>
  <cols>
    <col min="1" max="1" width="86.28515625" customWidth="1"/>
    <col min="2" max="2" width="10" style="9" customWidth="1"/>
    <col min="3" max="3" width="9.85546875" style="9" customWidth="1"/>
    <col min="4" max="4" width="10.85546875" style="9" bestFit="1" customWidth="1"/>
    <col min="5" max="5" width="13.7109375" style="9" customWidth="1"/>
    <col min="6" max="6" width="113.85546875" customWidth="1"/>
  </cols>
  <sheetData>
    <row r="1" spans="1:6">
      <c r="A1" s="37" t="s">
        <v>0</v>
      </c>
      <c r="B1" s="37"/>
      <c r="C1" s="37"/>
      <c r="D1" s="37"/>
      <c r="E1" s="37"/>
      <c r="F1" s="37"/>
    </row>
    <row r="2" spans="1:6">
      <c r="A2" s="37" t="s">
        <v>354</v>
      </c>
      <c r="B2" s="37"/>
      <c r="C2" s="37"/>
      <c r="D2" s="37"/>
      <c r="E2" s="37"/>
      <c r="F2" s="37"/>
    </row>
    <row r="4" spans="1:6">
      <c r="A4" t="s">
        <v>355</v>
      </c>
      <c r="B4" s="9" t="s">
        <v>356</v>
      </c>
      <c r="C4" s="9" t="s">
        <v>72</v>
      </c>
      <c r="D4" s="9" t="s">
        <v>73</v>
      </c>
      <c r="E4" s="9" t="s">
        <v>74</v>
      </c>
      <c r="F4" t="s">
        <v>357</v>
      </c>
    </row>
    <row r="6" spans="1:6">
      <c r="A6" t="s">
        <v>37</v>
      </c>
    </row>
    <row r="7" spans="1:6">
      <c r="A7" t="s">
        <v>358</v>
      </c>
      <c r="B7" s="9">
        <f>(('Historical Trends'!D5/'Historical Trends'!B5)^(1/2))-1</f>
        <v>7.8871266185749134E-2</v>
      </c>
      <c r="C7" s="9">
        <f>B7</f>
        <v>7.8871266185749134E-2</v>
      </c>
      <c r="D7" s="9">
        <f>C7+3%</f>
        <v>0.10887126618574913</v>
      </c>
      <c r="E7" s="9">
        <f>C7-3%</f>
        <v>4.8871266185749135E-2</v>
      </c>
      <c r="F7" t="s">
        <v>359</v>
      </c>
    </row>
    <row r="9" spans="1:6">
      <c r="A9" s="37" t="s">
        <v>39</v>
      </c>
      <c r="B9" s="37"/>
      <c r="C9" s="37"/>
      <c r="D9" s="37"/>
      <c r="E9" s="37"/>
      <c r="F9" s="37"/>
    </row>
    <row r="10" spans="1:6">
      <c r="A10" t="s">
        <v>302</v>
      </c>
      <c r="B10" s="9">
        <f>'Historical Trends'!D8</f>
        <v>0.41499999643302526</v>
      </c>
      <c r="C10" s="9">
        <f>B10</f>
        <v>0.41499999643302526</v>
      </c>
      <c r="D10" s="9">
        <f>C10+1%</f>
        <v>0.42499999643302527</v>
      </c>
      <c r="E10" s="9">
        <f>C10-1%</f>
        <v>0.40499999643302526</v>
      </c>
      <c r="F10" t="s">
        <v>360</v>
      </c>
    </row>
    <row r="12" spans="1:6">
      <c r="A12" s="37" t="s">
        <v>40</v>
      </c>
      <c r="B12" s="37"/>
      <c r="C12" s="37"/>
      <c r="D12" s="37"/>
      <c r="E12" s="37"/>
      <c r="F12" s="37"/>
    </row>
    <row r="13" spans="1:6">
      <c r="A13" t="s">
        <v>312</v>
      </c>
      <c r="B13" s="9">
        <f>ABS(('Historical Trends'!D9/'Historical Trends'!B9)^(1/2)-1)</f>
        <v>5.0018118273172041E-2</v>
      </c>
      <c r="C13" s="9">
        <f>B13</f>
        <v>5.0018118273172041E-2</v>
      </c>
      <c r="D13" s="9">
        <f>C13-2%</f>
        <v>3.001811827317204E-2</v>
      </c>
      <c r="E13" s="9">
        <f>C13+2%</f>
        <v>7.0018118273172045E-2</v>
      </c>
      <c r="F13" t="s">
        <v>361</v>
      </c>
    </row>
    <row r="15" spans="1:6">
      <c r="A15" s="37" t="s">
        <v>362</v>
      </c>
      <c r="B15" s="37"/>
      <c r="C15" s="37"/>
      <c r="D15" s="37"/>
      <c r="E15" s="37"/>
      <c r="F15" s="37"/>
    </row>
    <row r="16" spans="1:6">
      <c r="A16" t="s">
        <v>304</v>
      </c>
      <c r="B16" s="9">
        <f>'Historical Trends'!D12</f>
        <v>0.20910092115956411</v>
      </c>
      <c r="C16" s="9">
        <f>B16</f>
        <v>0.20910092115956411</v>
      </c>
      <c r="D16" s="9">
        <f>C16+1.5%</f>
        <v>0.22410092115956409</v>
      </c>
      <c r="E16" s="9">
        <f>C16-1.5%</f>
        <v>0.19410092115956412</v>
      </c>
      <c r="F16" t="s">
        <v>363</v>
      </c>
    </row>
    <row r="18" spans="1:6">
      <c r="A18" s="37" t="s">
        <v>314</v>
      </c>
      <c r="B18" s="37"/>
      <c r="C18" s="37"/>
      <c r="D18" s="37"/>
      <c r="E18" s="37"/>
      <c r="F18" s="16"/>
    </row>
    <row r="19" spans="1:6">
      <c r="A19" t="s">
        <v>364</v>
      </c>
      <c r="B19" s="9">
        <f>'Historical Trends'!D17</f>
        <v>0.32769119302817695</v>
      </c>
      <c r="C19" s="9">
        <f>B19</f>
        <v>0.32769119302817695</v>
      </c>
      <c r="D19" s="9">
        <f>B19-2%</f>
        <v>0.30769119302817693</v>
      </c>
      <c r="E19" s="9">
        <f>B19+2%</f>
        <v>0.34769119302817697</v>
      </c>
    </row>
    <row r="20" spans="1:6">
      <c r="A20" t="s">
        <v>365</v>
      </c>
      <c r="B20" s="9">
        <f>'Historical Trends'!D18</f>
        <v>0.42679512193881403</v>
      </c>
      <c r="C20" s="9">
        <f>B20</f>
        <v>0.42679512193881403</v>
      </c>
      <c r="D20" s="9">
        <f>B20</f>
        <v>0.42679512193881403</v>
      </c>
      <c r="E20" s="9">
        <f>B20</f>
        <v>0.42679512193881403</v>
      </c>
      <c r="F20" s="15"/>
    </row>
    <row r="21" spans="1:6">
      <c r="A21" t="s">
        <v>366</v>
      </c>
      <c r="B21" s="9">
        <f>'Historical Trends'!D19</f>
        <v>0.2455136850330091</v>
      </c>
      <c r="C21" s="9">
        <f>B21</f>
        <v>0.2455136850330091</v>
      </c>
      <c r="D21" s="9">
        <f>B21+2%</f>
        <v>0.26551368503300909</v>
      </c>
      <c r="E21" s="9">
        <f>B21-2%</f>
        <v>0.22551368503300911</v>
      </c>
    </row>
    <row r="22" spans="1:6">
      <c r="A22" t="s">
        <v>367</v>
      </c>
      <c r="B22" s="9">
        <f>SUM(B19:B21)</f>
        <v>1</v>
      </c>
      <c r="C22" s="9">
        <f>SUM(C19:C21)</f>
        <v>1</v>
      </c>
      <c r="D22" s="9">
        <f>SUM(D19:D21)</f>
        <v>1</v>
      </c>
      <c r="E22" s="9">
        <f>SUM(E19:E21)</f>
        <v>1</v>
      </c>
    </row>
    <row r="24" spans="1:6">
      <c r="A24" s="37" t="s">
        <v>368</v>
      </c>
      <c r="B24" s="37"/>
      <c r="C24" s="37"/>
      <c r="D24" s="37"/>
      <c r="E24" s="37"/>
      <c r="F24" s="17"/>
    </row>
    <row r="25" spans="1:6">
      <c r="A25" t="s">
        <v>333</v>
      </c>
      <c r="B25" s="8">
        <v>2023</v>
      </c>
      <c r="C25" s="8">
        <v>2024</v>
      </c>
      <c r="D25" s="8">
        <v>2025</v>
      </c>
      <c r="E25" s="9" t="s">
        <v>343</v>
      </c>
    </row>
    <row r="26" spans="1:6">
      <c r="A26" t="s">
        <v>215</v>
      </c>
      <c r="B26" s="9">
        <f>'Monthly Analysis'!K7</f>
        <v>7.2769060187762802E-2</v>
      </c>
      <c r="C26" s="9">
        <f>'Monthly Analysis'!L7</f>
        <v>7.3096524736518995E-2</v>
      </c>
      <c r="D26" s="9">
        <f>'Monthly Analysis'!M7</f>
        <v>7.2723526665732452E-2</v>
      </c>
      <c r="E26" s="9">
        <f>'Monthly Analysis'!N7</f>
        <v>7.2863037196671421E-2</v>
      </c>
    </row>
    <row r="27" spans="1:6">
      <c r="A27" t="s">
        <v>218</v>
      </c>
      <c r="B27" s="9">
        <f>'Monthly Analysis'!K8</f>
        <v>6.966667375149449E-2</v>
      </c>
      <c r="C27" s="9">
        <f>'Monthly Analysis'!L8</f>
        <v>6.9862364423716114E-2</v>
      </c>
      <c r="D27" s="9">
        <f>'Monthly Analysis'!M8</f>
        <v>6.9705701716729768E-2</v>
      </c>
      <c r="E27" s="9">
        <f>'Monthly Analysis'!N8</f>
        <v>6.9744913297313457E-2</v>
      </c>
    </row>
    <row r="28" spans="1:6">
      <c r="A28" t="s">
        <v>220</v>
      </c>
      <c r="B28" s="9">
        <f>'Monthly Analysis'!K9</f>
        <v>7.5956086466378261E-2</v>
      </c>
      <c r="C28" s="9">
        <f>'Monthly Analysis'!L9</f>
        <v>7.6811274928045306E-2</v>
      </c>
      <c r="D28" s="9">
        <f>'Monthly Analysis'!M9</f>
        <v>7.681126306406745E-2</v>
      </c>
      <c r="E28" s="9">
        <f>'Monthly Analysis'!N9</f>
        <v>7.6526208152830344E-2</v>
      </c>
    </row>
    <row r="29" spans="1:6">
      <c r="A29" t="s">
        <v>222</v>
      </c>
      <c r="B29" s="9">
        <f>'Monthly Analysis'!K10</f>
        <v>8.1569706155593696E-2</v>
      </c>
      <c r="C29" s="9">
        <f>'Monthly Analysis'!L10</f>
        <v>8.3105268877958868E-2</v>
      </c>
      <c r="D29" s="9">
        <f>'Monthly Analysis'!M10</f>
        <v>8.1917270988396462E-2</v>
      </c>
      <c r="E29" s="9">
        <f>'Monthly Analysis'!N10</f>
        <v>8.2197415340649671E-2</v>
      </c>
    </row>
    <row r="30" spans="1:6">
      <c r="A30" t="s">
        <v>224</v>
      </c>
      <c r="B30" s="9">
        <f>'Monthly Analysis'!K11</f>
        <v>8.5634198968316644E-2</v>
      </c>
      <c r="C30" s="9">
        <f>'Monthly Analysis'!L11</f>
        <v>8.6046942014734673E-2</v>
      </c>
      <c r="D30" s="9">
        <f>'Monthly Analysis'!M11</f>
        <v>8.6311049692172251E-2</v>
      </c>
      <c r="E30" s="9">
        <f>'Monthly Analysis'!N11</f>
        <v>8.5997396891741185E-2</v>
      </c>
    </row>
    <row r="31" spans="1:6">
      <c r="A31" t="s">
        <v>226</v>
      </c>
      <c r="B31" s="9">
        <f>'Monthly Analysis'!K12</f>
        <v>8.9154297504121072E-2</v>
      </c>
      <c r="C31" s="9">
        <f>'Monthly Analysis'!L12</f>
        <v>8.8610003568656448E-2</v>
      </c>
      <c r="D31" s="9">
        <f>'Monthly Analysis'!M12</f>
        <v>8.7609940349309703E-2</v>
      </c>
      <c r="E31" s="9">
        <f>'Monthly Analysis'!N12</f>
        <v>8.8458080474029074E-2</v>
      </c>
    </row>
    <row r="32" spans="1:6">
      <c r="A32" t="s">
        <v>228</v>
      </c>
      <c r="B32" s="9">
        <f>'Monthly Analysis'!K13</f>
        <v>8.9288161026340476E-2</v>
      </c>
      <c r="C32" s="9">
        <f>'Monthly Analysis'!L13</f>
        <v>8.889365266977739E-2</v>
      </c>
      <c r="D32" s="9">
        <f>'Monthly Analysis'!M13</f>
        <v>9.0680953309168547E-2</v>
      </c>
      <c r="E32" s="9">
        <f>'Monthly Analysis'!N13</f>
        <v>8.9620922335095457E-2</v>
      </c>
    </row>
    <row r="33" spans="1:6">
      <c r="A33" t="s">
        <v>230</v>
      </c>
      <c r="B33" s="9">
        <f>'Monthly Analysis'!K14</f>
        <v>8.7931260157648516E-2</v>
      </c>
      <c r="C33" s="9">
        <f>'Monthly Analysis'!L14</f>
        <v>8.6945190977038123E-2</v>
      </c>
      <c r="D33" s="9">
        <f>'Monthly Analysis'!M14</f>
        <v>8.7063307151733216E-2</v>
      </c>
      <c r="E33" s="9">
        <f>'Monthly Analysis'!N14</f>
        <v>8.7313252762139956E-2</v>
      </c>
    </row>
    <row r="34" spans="1:6">
      <c r="A34" t="s">
        <v>232</v>
      </c>
      <c r="B34" s="9">
        <f>'Monthly Analysis'!K15</f>
        <v>8.042896592018027E-2</v>
      </c>
      <c r="C34" s="9">
        <f>'Monthly Analysis'!L15</f>
        <v>7.9823509439221563E-2</v>
      </c>
      <c r="D34" s="9">
        <f>'Monthly Analysis'!M15</f>
        <v>8.0973100018055078E-2</v>
      </c>
      <c r="E34" s="9">
        <f>'Monthly Analysis'!N15</f>
        <v>8.0408525125818975E-2</v>
      </c>
    </row>
    <row r="35" spans="1:6">
      <c r="A35" t="s">
        <v>234</v>
      </c>
      <c r="B35" s="9">
        <f>'Monthly Analysis'!K16</f>
        <v>8.2657937144170149E-2</v>
      </c>
      <c r="C35" s="9">
        <f>'Monthly Analysis'!L16</f>
        <v>8.2637188037191639E-2</v>
      </c>
      <c r="D35" s="9">
        <f>'Monthly Analysis'!M16</f>
        <v>8.1766442445686441E-2</v>
      </c>
      <c r="E35" s="9">
        <f>'Monthly Analysis'!N16</f>
        <v>8.2353855875682738E-2</v>
      </c>
    </row>
    <row r="36" spans="1:6">
      <c r="A36" t="s">
        <v>236</v>
      </c>
      <c r="B36" s="9">
        <f>'Monthly Analysis'!K17</f>
        <v>8.8215797914343141E-2</v>
      </c>
      <c r="C36" s="9">
        <f>'Monthly Analysis'!L17</f>
        <v>8.8627765653378127E-2</v>
      </c>
      <c r="D36" s="9">
        <f>'Monthly Analysis'!M17</f>
        <v>8.8132848540304273E-2</v>
      </c>
      <c r="E36" s="9">
        <f>'Monthly Analysis'!N17</f>
        <v>8.8325470702675171E-2</v>
      </c>
    </row>
    <row r="37" spans="1:6">
      <c r="A37" t="s">
        <v>238</v>
      </c>
      <c r="B37" s="9">
        <f>'Monthly Analysis'!K18</f>
        <v>9.672785480365037E-2</v>
      </c>
      <c r="C37" s="9">
        <f>'Monthly Analysis'!L18</f>
        <v>9.5540314673762811E-2</v>
      </c>
      <c r="D37" s="9">
        <f>'Monthly Analysis'!M18</f>
        <v>9.6304596058644443E-2</v>
      </c>
      <c r="E37" s="9">
        <f>'Monthly Analysis'!N18</f>
        <v>9.6190921845352537E-2</v>
      </c>
    </row>
    <row r="38" spans="1:6">
      <c r="A38" t="s">
        <v>344</v>
      </c>
      <c r="B38" s="9">
        <f>SUM(B26:B37)</f>
        <v>0.99999999999999978</v>
      </c>
      <c r="C38" s="9">
        <f>SUM(C26:C37)</f>
        <v>1.0000000000000002</v>
      </c>
      <c r="D38" s="9">
        <f>SUM(D26:D37)</f>
        <v>1</v>
      </c>
      <c r="E38" s="9">
        <f>SUM(E26:E37)</f>
        <v>1</v>
      </c>
    </row>
    <row r="41" spans="1:6">
      <c r="A41" s="29" t="s">
        <v>369</v>
      </c>
      <c r="B41" s="18"/>
      <c r="C41" s="19"/>
      <c r="D41" s="20"/>
      <c r="E41" s="20"/>
      <c r="F41" s="20"/>
    </row>
    <row r="42" spans="1:6">
      <c r="A42" t="s">
        <v>370</v>
      </c>
    </row>
    <row r="43" spans="1:6">
      <c r="A43" t="s">
        <v>371</v>
      </c>
    </row>
    <row r="44" spans="1:6">
      <c r="A44" t="s">
        <v>372</v>
      </c>
    </row>
    <row r="45" spans="1:6">
      <c r="A45" t="s">
        <v>373</v>
      </c>
    </row>
    <row r="46" spans="1:6">
      <c r="A46" t="s">
        <v>374</v>
      </c>
    </row>
    <row r="47" spans="1:6">
      <c r="A47" t="s">
        <v>375</v>
      </c>
    </row>
    <row r="48" spans="1:6">
      <c r="A48" t="s">
        <v>376</v>
      </c>
    </row>
    <row r="51" spans="1:6">
      <c r="A51" t="s">
        <v>377</v>
      </c>
      <c r="B51" s="9">
        <v>0.13900000000000001</v>
      </c>
      <c r="C51" s="9">
        <v>0.13900000000000001</v>
      </c>
      <c r="D51" s="9">
        <v>0.13900000000000001</v>
      </c>
      <c r="E51" s="9">
        <v>0.13900000000000001</v>
      </c>
      <c r="F51" t="s">
        <v>378</v>
      </c>
    </row>
  </sheetData>
  <mergeCells count="7">
    <mergeCell ref="A1:F1"/>
    <mergeCell ref="A2:F2"/>
    <mergeCell ref="A9:F9"/>
    <mergeCell ref="A12:F12"/>
    <mergeCell ref="A15:F15"/>
    <mergeCell ref="A18:E18"/>
    <mergeCell ref="A24:E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77A3-A6D8-45CC-9257-29A69D8511AA}">
  <dimension ref="A1:F40"/>
  <sheetViews>
    <sheetView workbookViewId="0">
      <selection activeCell="G7" sqref="G7"/>
    </sheetView>
  </sheetViews>
  <sheetFormatPr defaultRowHeight="15"/>
  <cols>
    <col min="1" max="1" width="34.5703125" style="13" customWidth="1"/>
    <col min="3" max="3" width="15" customWidth="1"/>
    <col min="4" max="4" width="10.5703125" customWidth="1"/>
    <col min="6" max="6" width="12.28515625" customWidth="1"/>
  </cols>
  <sheetData>
    <row r="1" spans="1:6">
      <c r="A1" s="41" t="s">
        <v>0</v>
      </c>
      <c r="B1" s="41"/>
      <c r="C1" s="41"/>
      <c r="D1" s="41"/>
      <c r="E1" s="41"/>
      <c r="F1" s="41"/>
    </row>
    <row r="2" spans="1:6">
      <c r="A2" s="41" t="s">
        <v>379</v>
      </c>
      <c r="B2" s="41"/>
      <c r="C2" s="41"/>
      <c r="D2" s="41"/>
      <c r="E2" s="41"/>
      <c r="F2" s="41"/>
    </row>
    <row r="4" spans="1:6">
      <c r="A4" s="13" t="s">
        <v>380</v>
      </c>
      <c r="B4" t="s">
        <v>381</v>
      </c>
      <c r="C4" t="s">
        <v>338</v>
      </c>
      <c r="D4" t="s">
        <v>333</v>
      </c>
      <c r="E4" t="s">
        <v>382</v>
      </c>
      <c r="F4" t="s">
        <v>383</v>
      </c>
    </row>
    <row r="5" spans="1:6">
      <c r="A5" s="13">
        <f>DATE(2026,1,1)</f>
        <v>46023</v>
      </c>
      <c r="B5">
        <f>YEAR(A5)</f>
        <v>2026</v>
      </c>
      <c r="C5">
        <f>MONTH(A5)</f>
        <v>1</v>
      </c>
      <c r="D5" t="str">
        <f>TEXT(A5,"mmmm")</f>
        <v>January</v>
      </c>
      <c r="E5" t="str">
        <f>"Q"&amp;ROUNDUP(MONTH(A5)/3,0)</f>
        <v>Q1</v>
      </c>
      <c r="F5" t="str">
        <f>"FY"&amp;YEAR(A5)</f>
        <v>FY2026</v>
      </c>
    </row>
    <row r="6" spans="1:6">
      <c r="A6" s="13">
        <f>EDATE(A5,1)</f>
        <v>46054</v>
      </c>
      <c r="B6">
        <f>YEAR(A6)</f>
        <v>2026</v>
      </c>
      <c r="C6">
        <f>MONTH(A6)</f>
        <v>2</v>
      </c>
      <c r="D6" t="str">
        <f>TEXT(A6,"mmmm")</f>
        <v>February</v>
      </c>
      <c r="E6" t="str">
        <f>"Q"&amp;ROUNDUP(MONTH(A6)/3,0)</f>
        <v>Q1</v>
      </c>
      <c r="F6" t="str">
        <f>"FY"&amp;YEAR(A6)</f>
        <v>FY2026</v>
      </c>
    </row>
    <row r="7" spans="1:6">
      <c r="A7" s="13">
        <f>EDATE(A6,1)</f>
        <v>46082</v>
      </c>
      <c r="B7">
        <f>YEAR(A7)</f>
        <v>2026</v>
      </c>
      <c r="C7">
        <f>MONTH(A7)</f>
        <v>3</v>
      </c>
      <c r="D7" t="str">
        <f>TEXT(A7,"mmmm")</f>
        <v>March</v>
      </c>
      <c r="E7" t="str">
        <f>"Q"&amp;ROUNDUP(MONTH(A7)/3,0)</f>
        <v>Q1</v>
      </c>
      <c r="F7" t="str">
        <f>"FY"&amp;YEAR(A7)</f>
        <v>FY2026</v>
      </c>
    </row>
    <row r="8" spans="1:6">
      <c r="A8" s="13">
        <f>EDATE(A7,1)</f>
        <v>46113</v>
      </c>
      <c r="B8">
        <f>YEAR(A8)</f>
        <v>2026</v>
      </c>
      <c r="C8">
        <f>MONTH(A8)</f>
        <v>4</v>
      </c>
      <c r="D8" t="str">
        <f>TEXT(A8,"mmmm")</f>
        <v>April</v>
      </c>
      <c r="E8" t="str">
        <f>"Q"&amp;ROUNDUP(MONTH(A8)/3,0)</f>
        <v>Q2</v>
      </c>
      <c r="F8" t="str">
        <f>"FY"&amp;YEAR(A8)</f>
        <v>FY2026</v>
      </c>
    </row>
    <row r="9" spans="1:6">
      <c r="A9" s="13">
        <f>EDATE(A8,1)</f>
        <v>46143</v>
      </c>
      <c r="B9">
        <f>YEAR(A9)</f>
        <v>2026</v>
      </c>
      <c r="C9">
        <f>MONTH(A9)</f>
        <v>5</v>
      </c>
      <c r="D9" t="str">
        <f>TEXT(A9,"mmmm")</f>
        <v>May</v>
      </c>
      <c r="E9" t="str">
        <f>"Q"&amp;ROUNDUP(MONTH(A9)/3,0)</f>
        <v>Q2</v>
      </c>
      <c r="F9" t="str">
        <f>"FY"&amp;YEAR(A9)</f>
        <v>FY2026</v>
      </c>
    </row>
    <row r="10" spans="1:6">
      <c r="A10" s="13">
        <f>EDATE(A9,1)</f>
        <v>46174</v>
      </c>
      <c r="B10">
        <f>YEAR(A10)</f>
        <v>2026</v>
      </c>
      <c r="C10">
        <f>MONTH(A10)</f>
        <v>6</v>
      </c>
      <c r="D10" t="str">
        <f>TEXT(A10,"mmmm")</f>
        <v>June</v>
      </c>
      <c r="E10" t="str">
        <f>"Q"&amp;ROUNDUP(MONTH(A10)/3,0)</f>
        <v>Q2</v>
      </c>
      <c r="F10" t="str">
        <f>"FY"&amp;YEAR(A10)</f>
        <v>FY2026</v>
      </c>
    </row>
    <row r="11" spans="1:6">
      <c r="A11" s="13">
        <f>EDATE(A10,1)</f>
        <v>46204</v>
      </c>
      <c r="B11">
        <f>YEAR(A11)</f>
        <v>2026</v>
      </c>
      <c r="C11">
        <f>MONTH(A11)</f>
        <v>7</v>
      </c>
      <c r="D11" t="str">
        <f>TEXT(A11,"mmmm")</f>
        <v>July</v>
      </c>
      <c r="E11" t="str">
        <f>"Q"&amp;ROUNDUP(MONTH(A11)/3,0)</f>
        <v>Q3</v>
      </c>
      <c r="F11" t="str">
        <f>"FY"&amp;YEAR(A11)</f>
        <v>FY2026</v>
      </c>
    </row>
    <row r="12" spans="1:6">
      <c r="A12" s="13">
        <f>EDATE(A11,1)</f>
        <v>46235</v>
      </c>
      <c r="B12">
        <f>YEAR(A12)</f>
        <v>2026</v>
      </c>
      <c r="C12">
        <f>MONTH(A12)</f>
        <v>8</v>
      </c>
      <c r="D12" t="str">
        <f>TEXT(A12,"mmmm")</f>
        <v>August</v>
      </c>
      <c r="E12" t="str">
        <f>"Q"&amp;ROUNDUP(MONTH(A12)/3,0)</f>
        <v>Q3</v>
      </c>
      <c r="F12" t="str">
        <f>"FY"&amp;YEAR(A12)</f>
        <v>FY2026</v>
      </c>
    </row>
    <row r="13" spans="1:6">
      <c r="A13" s="13">
        <f>EDATE(A12,1)</f>
        <v>46266</v>
      </c>
      <c r="B13">
        <f>YEAR(A13)</f>
        <v>2026</v>
      </c>
      <c r="C13">
        <f>MONTH(A13)</f>
        <v>9</v>
      </c>
      <c r="D13" t="str">
        <f>TEXT(A13,"mmmm")</f>
        <v>September</v>
      </c>
      <c r="E13" t="str">
        <f>"Q"&amp;ROUNDUP(MONTH(A13)/3,0)</f>
        <v>Q3</v>
      </c>
      <c r="F13" t="str">
        <f>"FY"&amp;YEAR(A13)</f>
        <v>FY2026</v>
      </c>
    </row>
    <row r="14" spans="1:6">
      <c r="A14" s="13">
        <f>EDATE(A13,1)</f>
        <v>46296</v>
      </c>
      <c r="B14">
        <f>YEAR(A14)</f>
        <v>2026</v>
      </c>
      <c r="C14">
        <f>MONTH(A14)</f>
        <v>10</v>
      </c>
      <c r="D14" t="str">
        <f>TEXT(A14,"mmmm")</f>
        <v>October</v>
      </c>
      <c r="E14" t="str">
        <f>"Q"&amp;ROUNDUP(MONTH(A14)/3,0)</f>
        <v>Q4</v>
      </c>
      <c r="F14" t="str">
        <f>"FY"&amp;YEAR(A14)</f>
        <v>FY2026</v>
      </c>
    </row>
    <row r="15" spans="1:6">
      <c r="A15" s="13">
        <f>EDATE(A14,1)</f>
        <v>46327</v>
      </c>
      <c r="B15">
        <f>YEAR(A15)</f>
        <v>2026</v>
      </c>
      <c r="C15">
        <f>MONTH(A15)</f>
        <v>11</v>
      </c>
      <c r="D15" t="str">
        <f>TEXT(A15,"mmmm")</f>
        <v>November</v>
      </c>
      <c r="E15" t="str">
        <f>"Q"&amp;ROUNDUP(MONTH(A15)/3,0)</f>
        <v>Q4</v>
      </c>
      <c r="F15" t="str">
        <f>"FY"&amp;YEAR(A15)</f>
        <v>FY2026</v>
      </c>
    </row>
    <row r="16" spans="1:6">
      <c r="A16" s="13">
        <f>EDATE(A15,1)</f>
        <v>46357</v>
      </c>
      <c r="B16">
        <f>YEAR(A16)</f>
        <v>2026</v>
      </c>
      <c r="C16">
        <f>MONTH(A16)</f>
        <v>12</v>
      </c>
      <c r="D16" t="str">
        <f>TEXT(A16,"mmmm")</f>
        <v>December</v>
      </c>
      <c r="E16" t="str">
        <f>"Q"&amp;ROUNDUP(MONTH(A16)/3,0)</f>
        <v>Q4</v>
      </c>
      <c r="F16" t="str">
        <f>"FY"&amp;YEAR(A16)</f>
        <v>FY2026</v>
      </c>
    </row>
    <row r="17" spans="1:6">
      <c r="A17" s="13">
        <f>EDATE(A16,1)</f>
        <v>46388</v>
      </c>
      <c r="B17">
        <f>YEAR(A17)</f>
        <v>2027</v>
      </c>
      <c r="C17">
        <f>MONTH(A17)</f>
        <v>1</v>
      </c>
      <c r="D17" t="str">
        <f>TEXT(A17,"mmmm")</f>
        <v>January</v>
      </c>
      <c r="E17" t="str">
        <f>"Q"&amp;ROUNDUP(MONTH(A17)/3,0)</f>
        <v>Q1</v>
      </c>
      <c r="F17" t="str">
        <f>"FY"&amp;YEAR(A17)</f>
        <v>FY2027</v>
      </c>
    </row>
    <row r="18" spans="1:6">
      <c r="A18" s="13">
        <f>EDATE(A17,1)</f>
        <v>46419</v>
      </c>
      <c r="B18">
        <f>YEAR(A18)</f>
        <v>2027</v>
      </c>
      <c r="C18">
        <f>MONTH(A18)</f>
        <v>2</v>
      </c>
      <c r="D18" t="str">
        <f>TEXT(A18,"mmmm")</f>
        <v>February</v>
      </c>
      <c r="E18" t="str">
        <f>"Q"&amp;ROUNDUP(MONTH(A18)/3,0)</f>
        <v>Q1</v>
      </c>
      <c r="F18" t="str">
        <f>"FY"&amp;YEAR(A18)</f>
        <v>FY2027</v>
      </c>
    </row>
    <row r="19" spans="1:6">
      <c r="A19" s="13">
        <f>EDATE(A18,1)</f>
        <v>46447</v>
      </c>
      <c r="B19">
        <f>YEAR(A19)</f>
        <v>2027</v>
      </c>
      <c r="C19">
        <f>MONTH(A19)</f>
        <v>3</v>
      </c>
      <c r="D19" t="str">
        <f>TEXT(A19,"mmmm")</f>
        <v>March</v>
      </c>
      <c r="E19" t="str">
        <f>"Q"&amp;ROUNDUP(MONTH(A19)/3,0)</f>
        <v>Q1</v>
      </c>
      <c r="F19" t="str">
        <f>"FY"&amp;YEAR(A19)</f>
        <v>FY2027</v>
      </c>
    </row>
    <row r="20" spans="1:6">
      <c r="A20" s="13">
        <f>EDATE(A19,1)</f>
        <v>46478</v>
      </c>
      <c r="B20">
        <f>YEAR(A20)</f>
        <v>2027</v>
      </c>
      <c r="C20">
        <f>MONTH(A20)</f>
        <v>4</v>
      </c>
      <c r="D20" t="str">
        <f>TEXT(A20,"mmmm")</f>
        <v>April</v>
      </c>
      <c r="E20" t="str">
        <f>"Q"&amp;ROUNDUP(MONTH(A20)/3,0)</f>
        <v>Q2</v>
      </c>
      <c r="F20" t="str">
        <f>"FY"&amp;YEAR(A20)</f>
        <v>FY2027</v>
      </c>
    </row>
    <row r="21" spans="1:6">
      <c r="A21" s="13">
        <f>EDATE(A20,1)</f>
        <v>46508</v>
      </c>
      <c r="B21">
        <f>YEAR(A21)</f>
        <v>2027</v>
      </c>
      <c r="C21">
        <f>MONTH(A21)</f>
        <v>5</v>
      </c>
      <c r="D21" t="str">
        <f>TEXT(A21,"mmmm")</f>
        <v>May</v>
      </c>
      <c r="E21" t="str">
        <f>"Q"&amp;ROUNDUP(MONTH(A21)/3,0)</f>
        <v>Q2</v>
      </c>
      <c r="F21" t="str">
        <f>"FY"&amp;YEAR(A21)</f>
        <v>FY2027</v>
      </c>
    </row>
    <row r="22" spans="1:6">
      <c r="A22" s="13">
        <f>EDATE(A21,1)</f>
        <v>46539</v>
      </c>
      <c r="B22">
        <f>YEAR(A22)</f>
        <v>2027</v>
      </c>
      <c r="C22">
        <f>MONTH(A22)</f>
        <v>6</v>
      </c>
      <c r="D22" t="str">
        <f>TEXT(A22,"mmmm")</f>
        <v>June</v>
      </c>
      <c r="E22" t="str">
        <f>"Q"&amp;ROUNDUP(MONTH(A22)/3,0)</f>
        <v>Q2</v>
      </c>
      <c r="F22" t="str">
        <f>"FY"&amp;YEAR(A22)</f>
        <v>FY2027</v>
      </c>
    </row>
    <row r="23" spans="1:6">
      <c r="A23" s="13">
        <f>EDATE(A22,1)</f>
        <v>46569</v>
      </c>
      <c r="B23">
        <f>YEAR(A23)</f>
        <v>2027</v>
      </c>
      <c r="C23">
        <f>MONTH(A23)</f>
        <v>7</v>
      </c>
      <c r="D23" t="str">
        <f>TEXT(A23,"mmmm")</f>
        <v>July</v>
      </c>
      <c r="E23" t="str">
        <f>"Q"&amp;ROUNDUP(MONTH(A23)/3,0)</f>
        <v>Q3</v>
      </c>
      <c r="F23" t="str">
        <f>"FY"&amp;YEAR(A23)</f>
        <v>FY2027</v>
      </c>
    </row>
    <row r="24" spans="1:6">
      <c r="A24" s="13">
        <f>EDATE(A23,1)</f>
        <v>46600</v>
      </c>
      <c r="B24">
        <f>YEAR(A24)</f>
        <v>2027</v>
      </c>
      <c r="C24">
        <f>MONTH(A24)</f>
        <v>8</v>
      </c>
      <c r="D24" t="str">
        <f>TEXT(A24,"mmmm")</f>
        <v>August</v>
      </c>
      <c r="E24" t="str">
        <f>"Q"&amp;ROUNDUP(MONTH(A24)/3,0)</f>
        <v>Q3</v>
      </c>
      <c r="F24" t="str">
        <f>"FY"&amp;YEAR(A24)</f>
        <v>FY2027</v>
      </c>
    </row>
    <row r="25" spans="1:6">
      <c r="A25" s="13">
        <f>EDATE(A24,1)</f>
        <v>46631</v>
      </c>
      <c r="B25">
        <f>YEAR(A25)</f>
        <v>2027</v>
      </c>
      <c r="C25">
        <f>MONTH(A25)</f>
        <v>9</v>
      </c>
      <c r="D25" t="str">
        <f>TEXT(A25,"mmmm")</f>
        <v>September</v>
      </c>
      <c r="E25" t="str">
        <f>"Q"&amp;ROUNDUP(MONTH(A25)/3,0)</f>
        <v>Q3</v>
      </c>
      <c r="F25" t="str">
        <f>"FY"&amp;YEAR(A25)</f>
        <v>FY2027</v>
      </c>
    </row>
    <row r="26" spans="1:6">
      <c r="A26" s="13">
        <f>EDATE(A25,1)</f>
        <v>46661</v>
      </c>
      <c r="B26">
        <f>YEAR(A26)</f>
        <v>2027</v>
      </c>
      <c r="C26">
        <f>MONTH(A26)</f>
        <v>10</v>
      </c>
      <c r="D26" t="str">
        <f>TEXT(A26,"mmmm")</f>
        <v>October</v>
      </c>
      <c r="E26" t="str">
        <f>"Q"&amp;ROUNDUP(MONTH(A26)/3,0)</f>
        <v>Q4</v>
      </c>
      <c r="F26" t="str">
        <f>"FY"&amp;YEAR(A26)</f>
        <v>FY2027</v>
      </c>
    </row>
    <row r="27" spans="1:6">
      <c r="A27" s="13">
        <f>EDATE(A26,1)</f>
        <v>46692</v>
      </c>
      <c r="B27">
        <f>YEAR(A27)</f>
        <v>2027</v>
      </c>
      <c r="C27">
        <f>MONTH(A27)</f>
        <v>11</v>
      </c>
      <c r="D27" t="str">
        <f>TEXT(A27,"mmmm")</f>
        <v>November</v>
      </c>
      <c r="E27" t="str">
        <f>"Q"&amp;ROUNDUP(MONTH(A27)/3,0)</f>
        <v>Q4</v>
      </c>
      <c r="F27" t="str">
        <f>"FY"&amp;YEAR(A27)</f>
        <v>FY2027</v>
      </c>
    </row>
    <row r="28" spans="1:6">
      <c r="A28" s="13">
        <f>EDATE(A27,1)</f>
        <v>46722</v>
      </c>
      <c r="B28">
        <f>YEAR(A28)</f>
        <v>2027</v>
      </c>
      <c r="C28">
        <f>MONTH(A28)</f>
        <v>12</v>
      </c>
      <c r="D28" t="str">
        <f>TEXT(A28,"mmmm")</f>
        <v>December</v>
      </c>
      <c r="E28" t="str">
        <f>"Q"&amp;ROUNDUP(MONTH(A28)/3,0)</f>
        <v>Q4</v>
      </c>
      <c r="F28" t="str">
        <f>"FY"&amp;YEAR(A28)</f>
        <v>FY2027</v>
      </c>
    </row>
    <row r="29" spans="1:6">
      <c r="A29" s="13">
        <f>EDATE(A28,1)</f>
        <v>46753</v>
      </c>
      <c r="B29">
        <f>YEAR(A29)</f>
        <v>2028</v>
      </c>
      <c r="C29">
        <f>MONTH(A29)</f>
        <v>1</v>
      </c>
      <c r="D29" t="str">
        <f>TEXT(A29,"mmmm")</f>
        <v>January</v>
      </c>
      <c r="E29" t="str">
        <f>"Q"&amp;ROUNDUP(MONTH(A29)/3,0)</f>
        <v>Q1</v>
      </c>
      <c r="F29" t="str">
        <f>"FY"&amp;YEAR(A29)</f>
        <v>FY2028</v>
      </c>
    </row>
    <row r="30" spans="1:6">
      <c r="A30" s="13">
        <f>EDATE(A29,1)</f>
        <v>46784</v>
      </c>
      <c r="B30">
        <f>YEAR(A30)</f>
        <v>2028</v>
      </c>
      <c r="C30">
        <f>MONTH(A30)</f>
        <v>2</v>
      </c>
      <c r="D30" t="str">
        <f>TEXT(A30,"mmmm")</f>
        <v>February</v>
      </c>
      <c r="E30" t="str">
        <f>"Q"&amp;ROUNDUP(MONTH(A30)/3,0)</f>
        <v>Q1</v>
      </c>
      <c r="F30" t="str">
        <f>"FY"&amp;YEAR(A30)</f>
        <v>FY2028</v>
      </c>
    </row>
    <row r="31" spans="1:6">
      <c r="A31" s="13">
        <f>EDATE(A30,1)</f>
        <v>46813</v>
      </c>
      <c r="B31">
        <f>YEAR(A31)</f>
        <v>2028</v>
      </c>
      <c r="C31">
        <f>MONTH(A31)</f>
        <v>3</v>
      </c>
      <c r="D31" t="str">
        <f>TEXT(A31,"mmmm")</f>
        <v>March</v>
      </c>
      <c r="E31" t="str">
        <f>"Q"&amp;ROUNDUP(MONTH(A31)/3,0)</f>
        <v>Q1</v>
      </c>
      <c r="F31" t="str">
        <f>"FY"&amp;YEAR(A31)</f>
        <v>FY2028</v>
      </c>
    </row>
    <row r="32" spans="1:6">
      <c r="A32" s="13">
        <f>EDATE(A31,1)</f>
        <v>46844</v>
      </c>
      <c r="B32">
        <f>YEAR(A32)</f>
        <v>2028</v>
      </c>
      <c r="C32">
        <f>MONTH(A32)</f>
        <v>4</v>
      </c>
      <c r="D32" t="str">
        <f>TEXT(A32,"mmmm")</f>
        <v>April</v>
      </c>
      <c r="E32" t="str">
        <f>"Q"&amp;ROUNDUP(MONTH(A32)/3,0)</f>
        <v>Q2</v>
      </c>
      <c r="F32" t="str">
        <f>"FY"&amp;YEAR(A32)</f>
        <v>FY2028</v>
      </c>
    </row>
    <row r="33" spans="1:6">
      <c r="A33" s="13">
        <f>EDATE(A32,1)</f>
        <v>46874</v>
      </c>
      <c r="B33">
        <f>YEAR(A33)</f>
        <v>2028</v>
      </c>
      <c r="C33">
        <f>MONTH(A33)</f>
        <v>5</v>
      </c>
      <c r="D33" t="str">
        <f>TEXT(A33,"mmmm")</f>
        <v>May</v>
      </c>
      <c r="E33" t="str">
        <f>"Q"&amp;ROUNDUP(MONTH(A33)/3,0)</f>
        <v>Q2</v>
      </c>
      <c r="F33" t="str">
        <f>"FY"&amp;YEAR(A33)</f>
        <v>FY2028</v>
      </c>
    </row>
    <row r="34" spans="1:6">
      <c r="A34" s="13">
        <f>EDATE(A33,1)</f>
        <v>46905</v>
      </c>
      <c r="B34">
        <f>YEAR(A34)</f>
        <v>2028</v>
      </c>
      <c r="C34">
        <f>MONTH(A34)</f>
        <v>6</v>
      </c>
      <c r="D34" t="str">
        <f>TEXT(A34,"mmmm")</f>
        <v>June</v>
      </c>
      <c r="E34" t="str">
        <f>"Q"&amp;ROUNDUP(MONTH(A34)/3,0)</f>
        <v>Q2</v>
      </c>
      <c r="F34" t="str">
        <f>"FY"&amp;YEAR(A34)</f>
        <v>FY2028</v>
      </c>
    </row>
    <row r="35" spans="1:6">
      <c r="A35" s="13">
        <f>EDATE(A34,1)</f>
        <v>46935</v>
      </c>
      <c r="B35">
        <f>YEAR(A35)</f>
        <v>2028</v>
      </c>
      <c r="C35">
        <f>MONTH(A35)</f>
        <v>7</v>
      </c>
      <c r="D35" t="str">
        <f>TEXT(A35,"mmmm")</f>
        <v>July</v>
      </c>
      <c r="E35" t="str">
        <f>"Q"&amp;ROUNDUP(MONTH(A35)/3,0)</f>
        <v>Q3</v>
      </c>
      <c r="F35" t="str">
        <f>"FY"&amp;YEAR(A35)</f>
        <v>FY2028</v>
      </c>
    </row>
    <row r="36" spans="1:6">
      <c r="A36" s="13">
        <f>EDATE(A35,1)</f>
        <v>46966</v>
      </c>
      <c r="B36">
        <f>YEAR(A36)</f>
        <v>2028</v>
      </c>
      <c r="C36">
        <f>MONTH(A36)</f>
        <v>8</v>
      </c>
      <c r="D36" t="str">
        <f>TEXT(A36,"mmmm")</f>
        <v>August</v>
      </c>
      <c r="E36" t="str">
        <f>"Q"&amp;ROUNDUP(MONTH(A36)/3,0)</f>
        <v>Q3</v>
      </c>
      <c r="F36" t="str">
        <f>"FY"&amp;YEAR(A36)</f>
        <v>FY2028</v>
      </c>
    </row>
    <row r="37" spans="1:6">
      <c r="A37" s="13">
        <f>EDATE(A36,1)</f>
        <v>46997</v>
      </c>
      <c r="B37">
        <f>YEAR(A37)</f>
        <v>2028</v>
      </c>
      <c r="C37">
        <f>MONTH(A37)</f>
        <v>9</v>
      </c>
      <c r="D37" t="str">
        <f>TEXT(A37,"mmmm")</f>
        <v>September</v>
      </c>
      <c r="E37" t="str">
        <f>"Q"&amp;ROUNDUP(MONTH(A37)/3,0)</f>
        <v>Q3</v>
      </c>
      <c r="F37" t="str">
        <f>"FY"&amp;YEAR(A37)</f>
        <v>FY2028</v>
      </c>
    </row>
    <row r="38" spans="1:6">
      <c r="A38" s="13">
        <f>EDATE(A37,1)</f>
        <v>47027</v>
      </c>
      <c r="B38">
        <f>YEAR(A38)</f>
        <v>2028</v>
      </c>
      <c r="C38">
        <f>MONTH(A38)</f>
        <v>10</v>
      </c>
      <c r="D38" t="str">
        <f>TEXT(A38,"mmmm")</f>
        <v>October</v>
      </c>
      <c r="E38" t="str">
        <f>"Q"&amp;ROUNDUP(MONTH(A38)/3,0)</f>
        <v>Q4</v>
      </c>
      <c r="F38" t="str">
        <f>"FY"&amp;YEAR(A38)</f>
        <v>FY2028</v>
      </c>
    </row>
    <row r="39" spans="1:6">
      <c r="A39" s="13">
        <f>EDATE(A38,1)</f>
        <v>47058</v>
      </c>
      <c r="B39">
        <f>YEAR(A39)</f>
        <v>2028</v>
      </c>
      <c r="C39">
        <f>MONTH(A39)</f>
        <v>11</v>
      </c>
      <c r="D39" t="str">
        <f>TEXT(A39,"mmmm")</f>
        <v>November</v>
      </c>
      <c r="E39" t="str">
        <f>"Q"&amp;ROUNDUP(MONTH(A39)/3,0)</f>
        <v>Q4</v>
      </c>
      <c r="F39" t="str">
        <f>"FY"&amp;YEAR(A39)</f>
        <v>FY2028</v>
      </c>
    </row>
    <row r="40" spans="1:6">
      <c r="A40" s="13">
        <f>EDATE(A39,1)</f>
        <v>47088</v>
      </c>
      <c r="B40">
        <f>YEAR(A40)</f>
        <v>2028</v>
      </c>
      <c r="C40">
        <f>MONTH(A40)</f>
        <v>12</v>
      </c>
      <c r="D40" t="str">
        <f>TEXT(A40,"mmmm")</f>
        <v>December</v>
      </c>
      <c r="E40" t="str">
        <f>"Q"&amp;ROUNDUP(MONTH(A40)/3,0)</f>
        <v>Q4</v>
      </c>
      <c r="F40" t="str">
        <f>"FY"&amp;YEAR(A40)</f>
        <v>FY2028</v>
      </c>
    </row>
  </sheetData>
  <mergeCells count="2">
    <mergeCell ref="A1:F1"/>
    <mergeCell ref="A2:F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C7B1-1530-4876-AC74-297777545665}">
  <dimension ref="A1:K278"/>
  <sheetViews>
    <sheetView topLeftCell="A268" workbookViewId="0">
      <selection activeCell="B23" sqref="B23"/>
    </sheetView>
  </sheetViews>
  <sheetFormatPr defaultRowHeight="15"/>
  <cols>
    <col min="1" max="1" width="44.28515625" bestFit="1" customWidth="1"/>
    <col min="2" max="2" width="18.5703125" customWidth="1"/>
    <col min="3" max="3" width="14.85546875" bestFit="1" customWidth="1"/>
    <col min="4" max="4" width="29.5703125" customWidth="1"/>
    <col min="5" max="5" width="18.28515625" customWidth="1"/>
    <col min="6" max="6" width="16" customWidth="1"/>
    <col min="7" max="7" width="17.85546875" customWidth="1"/>
    <col min="8" max="8" width="16.85546875" customWidth="1"/>
    <col min="9" max="9" width="15" customWidth="1"/>
    <col min="10" max="10" width="11" customWidth="1"/>
    <col min="11" max="11" width="11.42578125" customWidth="1"/>
  </cols>
  <sheetData>
    <row r="1" spans="1:5">
      <c r="A1" s="40" t="s">
        <v>0</v>
      </c>
      <c r="B1" s="40"/>
      <c r="C1" s="40"/>
      <c r="D1" s="40"/>
      <c r="E1" s="40"/>
    </row>
    <row r="2" spans="1:5">
      <c r="A2" s="40" t="s">
        <v>1</v>
      </c>
      <c r="B2" s="40"/>
      <c r="C2" s="40"/>
      <c r="D2" s="40"/>
      <c r="E2" s="40"/>
    </row>
    <row r="4" spans="1:5">
      <c r="A4" t="s">
        <v>384</v>
      </c>
      <c r="B4" t="s">
        <v>385</v>
      </c>
    </row>
    <row r="5" spans="1:5">
      <c r="B5" s="10"/>
    </row>
    <row r="6" spans="1:5">
      <c r="B6" s="10"/>
    </row>
    <row r="7" spans="1:5">
      <c r="A7" s="40" t="s">
        <v>386</v>
      </c>
      <c r="B7" s="40"/>
      <c r="C7" s="40"/>
      <c r="D7" s="40"/>
      <c r="E7" s="40"/>
    </row>
    <row r="9" spans="1:5">
      <c r="A9" t="s">
        <v>32</v>
      </c>
      <c r="B9" t="s">
        <v>60</v>
      </c>
      <c r="C9" t="s">
        <v>33</v>
      </c>
      <c r="D9" t="s">
        <v>34</v>
      </c>
      <c r="E9" t="s">
        <v>35</v>
      </c>
    </row>
    <row r="10" spans="1:5">
      <c r="A10" t="s">
        <v>36</v>
      </c>
      <c r="B10" s="10">
        <f>'Historical Trends'!D5</f>
        <v>4864066.09</v>
      </c>
      <c r="C10" s="10">
        <f>B10*(1+C11)</f>
        <v>5247701.1413294654</v>
      </c>
      <c r="D10" s="10">
        <f>C10*(1+D11)</f>
        <v>5661593.9749105209</v>
      </c>
      <c r="E10" s="10">
        <f>D10*(1+E11)</f>
        <v>6108131.0603413219</v>
      </c>
    </row>
    <row r="11" spans="1:5">
      <c r="A11" t="s">
        <v>37</v>
      </c>
      <c r="C11" s="9">
        <f>Assumptions!C7</f>
        <v>7.8871266185749134E-2</v>
      </c>
      <c r="D11" s="9">
        <f>C11</f>
        <v>7.8871266185749134E-2</v>
      </c>
      <c r="E11" s="9">
        <f>D11</f>
        <v>7.8871266185749134E-2</v>
      </c>
    </row>
    <row r="12" spans="1:5">
      <c r="A12" t="s">
        <v>38</v>
      </c>
      <c r="B12" s="10">
        <f>'Historical Trends'!D7</f>
        <v>2018587.4099999992</v>
      </c>
      <c r="C12" s="10">
        <f>C10*C13</f>
        <v>2177795.9549333109</v>
      </c>
      <c r="D12" s="10">
        <f>D10*D13</f>
        <v>2349561.4793931036</v>
      </c>
      <c r="E12" s="10">
        <f>E10*E13</f>
        <v>2534874.3682540995</v>
      </c>
    </row>
    <row r="13" spans="1:5">
      <c r="A13" t="s">
        <v>39</v>
      </c>
      <c r="B13" s="9">
        <f>'Historical Trends'!D8</f>
        <v>0.41499999643302526</v>
      </c>
      <c r="C13" s="9">
        <f>Assumptions!C10</f>
        <v>0.41499999643302526</v>
      </c>
      <c r="D13" s="9">
        <f>C13</f>
        <v>0.41499999643302526</v>
      </c>
      <c r="E13" s="9">
        <f>D13</f>
        <v>0.41499999643302526</v>
      </c>
    </row>
    <row r="14" spans="1:5">
      <c r="A14" t="s">
        <v>40</v>
      </c>
      <c r="B14" s="10">
        <f>'Historical Trends'!D9</f>
        <v>-1001506.71</v>
      </c>
      <c r="C14" s="10">
        <f>B14*(1+C15)</f>
        <v>-1051600.1910721555</v>
      </c>
      <c r="D14" s="10">
        <f>C14*(1+D15)</f>
        <v>-1104199.2538052928</v>
      </c>
      <c r="E14" s="10">
        <f>D14*(1+E15)</f>
        <v>-1159429.2226792742</v>
      </c>
    </row>
    <row r="15" spans="1:5">
      <c r="A15" t="s">
        <v>312</v>
      </c>
      <c r="C15" s="9">
        <f>Assumptions!C13</f>
        <v>5.0018118273172041E-2</v>
      </c>
      <c r="D15" s="9">
        <f>C15</f>
        <v>5.0018118273172041E-2</v>
      </c>
      <c r="E15" s="9">
        <f>D15</f>
        <v>5.0018118273172041E-2</v>
      </c>
    </row>
    <row r="16" spans="1:5">
      <c r="A16" t="s">
        <v>41</v>
      </c>
      <c r="B16" s="10">
        <f>'Historical Trends'!D11</f>
        <v>1017080.6999999993</v>
      </c>
      <c r="C16" s="10">
        <f>C12+C14</f>
        <v>1126195.7638611554</v>
      </c>
      <c r="D16" s="10">
        <f>D12+D14</f>
        <v>1245362.2255878109</v>
      </c>
      <c r="E16" s="10">
        <f>E12+E14</f>
        <v>1375445.1455748254</v>
      </c>
    </row>
    <row r="17" spans="1:5">
      <c r="A17" t="s">
        <v>42</v>
      </c>
      <c r="B17" s="9">
        <f>'Historical Trends'!D12</f>
        <v>0.20910092115956411</v>
      </c>
      <c r="C17" s="9">
        <f>IFERROR(C16/C10,0)</f>
        <v>0.21460745067807771</v>
      </c>
      <c r="D17" s="9">
        <f>IFERROR(D16/D10,0)</f>
        <v>0.21996671451655861</v>
      </c>
      <c r="E17" s="9">
        <f>IFERROR(E16/E10,0)</f>
        <v>0.22518265112306965</v>
      </c>
    </row>
    <row r="18" spans="1:5">
      <c r="A18" t="s">
        <v>43</v>
      </c>
      <c r="B18" s="10">
        <f>'Historical Trends'!D13</f>
        <v>875531.8899999992</v>
      </c>
      <c r="C18" s="10">
        <f>H272</f>
        <v>969654.55268445448</v>
      </c>
      <c r="D18" s="10">
        <f>D16*(1-Assumptions!$C$51)</f>
        <v>1072256.8762311051</v>
      </c>
      <c r="E18" s="10">
        <f>E16*(1-Assumptions!$D$51)</f>
        <v>1184258.2703399246</v>
      </c>
    </row>
    <row r="19" spans="1:5">
      <c r="A19" t="s">
        <v>313</v>
      </c>
      <c r="B19" s="9">
        <f>IFERROR(B18/B10,0)</f>
        <v>0.17999999872534611</v>
      </c>
      <c r="C19" s="9">
        <f>IFERROR(C18/C10,0)</f>
        <v>0.18477701503382485</v>
      </c>
      <c r="D19" s="9">
        <f>IFERROR(D18/D10,0)</f>
        <v>0.18939134119875695</v>
      </c>
      <c r="E19" s="9">
        <f>IFERROR(E18/E10,0)</f>
        <v>0.19388226261696295</v>
      </c>
    </row>
    <row r="20" spans="1:5">
      <c r="A20" s="21"/>
      <c r="B20" s="21"/>
      <c r="C20" s="21"/>
      <c r="D20" s="21"/>
    </row>
    <row r="21" spans="1:5">
      <c r="A21" s="42" t="s">
        <v>387</v>
      </c>
      <c r="B21" s="42"/>
      <c r="C21" s="42"/>
      <c r="D21" s="42"/>
    </row>
    <row r="22" spans="1:5">
      <c r="A22" t="s">
        <v>32</v>
      </c>
      <c r="B22" t="s">
        <v>72</v>
      </c>
      <c r="C22" t="s">
        <v>73</v>
      </c>
      <c r="D22" t="s">
        <v>74</v>
      </c>
    </row>
    <row r="23" spans="1:5">
      <c r="A23" t="s">
        <v>37</v>
      </c>
      <c r="B23" s="9">
        <f>Assumptions!C7</f>
        <v>7.8871266185749134E-2</v>
      </c>
      <c r="C23" s="9">
        <f>Assumptions!D7</f>
        <v>0.10887126618574913</v>
      </c>
      <c r="D23" s="9">
        <f>Assumptions!E7</f>
        <v>4.8871266185749135E-2</v>
      </c>
    </row>
    <row r="24" spans="1:5">
      <c r="A24" t="s">
        <v>39</v>
      </c>
      <c r="B24" s="9">
        <f>Assumptions!C10</f>
        <v>0.41499999643302526</v>
      </c>
      <c r="C24" s="9">
        <f>Assumptions!D10</f>
        <v>0.42499999643302527</v>
      </c>
      <c r="D24" s="9">
        <f>Assumptions!E10</f>
        <v>0.40499999643302526</v>
      </c>
    </row>
    <row r="25" spans="1:5">
      <c r="A25" t="s">
        <v>312</v>
      </c>
      <c r="B25" s="9">
        <f>Assumptions!C13</f>
        <v>5.0018118273172041E-2</v>
      </c>
      <c r="C25" s="9">
        <f>Assumptions!D13</f>
        <v>3.001811827317204E-2</v>
      </c>
      <c r="D25" s="9">
        <f>Assumptions!E13</f>
        <v>7.0018118273172045E-2</v>
      </c>
    </row>
    <row r="26" spans="1:5">
      <c r="A26" t="s">
        <v>42</v>
      </c>
      <c r="B26" s="9">
        <f>Assumptions!C16</f>
        <v>0.20910092115956411</v>
      </c>
      <c r="C26" s="9">
        <f>Assumptions!D16</f>
        <v>0.22410092115956409</v>
      </c>
      <c r="D26" s="9">
        <f>Assumptions!E16</f>
        <v>0.19410092115956412</v>
      </c>
    </row>
    <row r="27" spans="1:5">
      <c r="B27" s="9"/>
      <c r="C27" s="9"/>
      <c r="D27" s="9"/>
    </row>
    <row r="28" spans="1:5">
      <c r="A28" s="40" t="s">
        <v>388</v>
      </c>
      <c r="B28" s="40"/>
      <c r="C28" s="40"/>
      <c r="D28" s="40"/>
    </row>
    <row r="29" spans="1:5">
      <c r="B29" s="9"/>
      <c r="C29" s="9"/>
      <c r="D29" s="9"/>
    </row>
    <row r="30" spans="1:5">
      <c r="A30" t="s">
        <v>32</v>
      </c>
      <c r="B30" s="8">
        <v>2026</v>
      </c>
      <c r="C30" s="8">
        <v>2027</v>
      </c>
      <c r="D30" s="8">
        <v>2028</v>
      </c>
    </row>
    <row r="31" spans="1:5">
      <c r="A31" t="s">
        <v>36</v>
      </c>
      <c r="B31" s="10">
        <f>C10</f>
        <v>5247701.1413294654</v>
      </c>
      <c r="C31" s="10">
        <f>D10</f>
        <v>5661593.9749105209</v>
      </c>
      <c r="D31" s="10">
        <f>E10</f>
        <v>6108131.0603413219</v>
      </c>
    </row>
    <row r="32" spans="1:5">
      <c r="A32" t="s">
        <v>38</v>
      </c>
      <c r="B32" s="10">
        <f>C12</f>
        <v>2177795.9549333109</v>
      </c>
      <c r="C32" s="10">
        <f>D12</f>
        <v>2349561.4793931036</v>
      </c>
      <c r="D32" s="10">
        <f>E12</f>
        <v>2534874.3682540995</v>
      </c>
    </row>
    <row r="33" spans="1:5">
      <c r="A33" t="s">
        <v>40</v>
      </c>
      <c r="B33" s="10">
        <f>C14</f>
        <v>-1051600.1910721555</v>
      </c>
      <c r="C33" s="10">
        <f>D14</f>
        <v>-1104199.2538052928</v>
      </c>
      <c r="D33" s="10">
        <f>E14</f>
        <v>-1159429.2226792742</v>
      </c>
    </row>
    <row r="34" spans="1:5">
      <c r="A34" t="s">
        <v>41</v>
      </c>
      <c r="B34" s="10">
        <f>C16</f>
        <v>1126195.7638611554</v>
      </c>
      <c r="C34" s="10">
        <f>D16</f>
        <v>1245362.2255878109</v>
      </c>
      <c r="D34" s="10">
        <f>E16</f>
        <v>1375445.1455748254</v>
      </c>
    </row>
    <row r="35" spans="1:5">
      <c r="A35" t="s">
        <v>43</v>
      </c>
      <c r="B35" s="10">
        <f>C18</f>
        <v>969654.55268445448</v>
      </c>
      <c r="C35" s="10">
        <f>D18</f>
        <v>1072256.8762311051</v>
      </c>
      <c r="D35" s="10">
        <f>E18</f>
        <v>1184258.2703399246</v>
      </c>
    </row>
    <row r="36" spans="1:5">
      <c r="A36" t="s">
        <v>42</v>
      </c>
      <c r="B36" s="9">
        <f>C17</f>
        <v>0.21460745067807771</v>
      </c>
      <c r="C36" s="9">
        <f>D17</f>
        <v>0.21996671451655861</v>
      </c>
      <c r="D36" s="9">
        <f>E17</f>
        <v>0.22518265112306965</v>
      </c>
    </row>
    <row r="37" spans="1:5">
      <c r="A37" t="s">
        <v>313</v>
      </c>
      <c r="B37" s="9">
        <f>C19</f>
        <v>0.18477701503382485</v>
      </c>
      <c r="C37" s="9">
        <f>D19</f>
        <v>0.18939134119875695</v>
      </c>
      <c r="D37" s="9">
        <f>E19</f>
        <v>0.19388226261696295</v>
      </c>
    </row>
    <row r="38" spans="1:5">
      <c r="B38" s="9"/>
      <c r="C38" s="9"/>
      <c r="D38" s="9"/>
    </row>
    <row r="39" spans="1:5">
      <c r="A39" s="40" t="s">
        <v>389</v>
      </c>
      <c r="B39" s="40"/>
      <c r="C39" s="40"/>
      <c r="D39" s="9"/>
    </row>
    <row r="40" spans="1:5">
      <c r="B40" s="9"/>
      <c r="C40" s="9"/>
      <c r="D40" s="9"/>
    </row>
    <row r="41" spans="1:5">
      <c r="A41" t="s">
        <v>390</v>
      </c>
      <c r="B41" s="10">
        <f>B31-C10</f>
        <v>0</v>
      </c>
      <c r="C41" s="9"/>
      <c r="D41" s="9"/>
    </row>
    <row r="42" spans="1:5">
      <c r="A42" t="s">
        <v>391</v>
      </c>
      <c r="B42" s="10">
        <f>C31-D10</f>
        <v>0</v>
      </c>
      <c r="C42" s="9"/>
      <c r="D42" s="9"/>
    </row>
    <row r="43" spans="1:5">
      <c r="A43" t="s">
        <v>67</v>
      </c>
      <c r="B43" s="10">
        <f>D31-E10</f>
        <v>0</v>
      </c>
      <c r="C43" s="9"/>
      <c r="D43" s="9"/>
    </row>
    <row r="45" spans="1:5">
      <c r="A45" s="40" t="s">
        <v>392</v>
      </c>
      <c r="B45" s="40"/>
      <c r="C45" s="40"/>
      <c r="D45" s="40"/>
      <c r="E45" s="40"/>
    </row>
    <row r="47" spans="1:5">
      <c r="A47" t="s">
        <v>333</v>
      </c>
      <c r="B47" t="s">
        <v>60</v>
      </c>
      <c r="C47" t="s">
        <v>33</v>
      </c>
      <c r="D47" t="s">
        <v>37</v>
      </c>
      <c r="E47" t="s">
        <v>393</v>
      </c>
    </row>
    <row r="48" spans="1:5">
      <c r="A48" t="s">
        <v>215</v>
      </c>
      <c r="B48" s="10">
        <f>'Monthly Analysis'!D5</f>
        <v>353732.04</v>
      </c>
      <c r="C48" s="10">
        <f>$C$10*E48</f>
        <v>382363.44345770392</v>
      </c>
      <c r="D48" s="9">
        <f>Assumptions!$C$7</f>
        <v>7.8871266185749134E-2</v>
      </c>
      <c r="E48" s="9">
        <f>Assumptions!E26</f>
        <v>7.2863037196671421E-2</v>
      </c>
    </row>
    <row r="49" spans="1:5">
      <c r="A49" t="s">
        <v>218</v>
      </c>
      <c r="B49" s="10">
        <f>'Monthly Analysis'!D6</f>
        <v>339053.14</v>
      </c>
      <c r="C49" s="10">
        <f>$C$10*E49</f>
        <v>366000.46111223643</v>
      </c>
      <c r="D49" s="9">
        <f>Assumptions!$C$7</f>
        <v>7.8871266185749134E-2</v>
      </c>
      <c r="E49" s="9">
        <f>Assumptions!E27</f>
        <v>6.9744913297313457E-2</v>
      </c>
    </row>
    <row r="50" spans="1:5">
      <c r="A50" t="s">
        <v>220</v>
      </c>
      <c r="B50" s="10">
        <f>'Monthly Analysis'!D7</f>
        <v>373615.06</v>
      </c>
      <c r="C50" s="10">
        <f>$C$10*E50</f>
        <v>401586.66986522404</v>
      </c>
      <c r="D50" s="9">
        <f>Assumptions!$C$7</f>
        <v>7.8871266185749134E-2</v>
      </c>
      <c r="E50" s="9">
        <f>Assumptions!E28</f>
        <v>7.6526208152830344E-2</v>
      </c>
    </row>
    <row r="51" spans="1:5">
      <c r="A51" t="s">
        <v>222</v>
      </c>
      <c r="B51" s="10">
        <f>'Monthly Analysis'!D8</f>
        <v>398451.02</v>
      </c>
      <c r="C51" s="10">
        <f>$C$10*E51</f>
        <v>431347.4702974594</v>
      </c>
      <c r="D51" s="9">
        <f>Assumptions!$C$7</f>
        <v>7.8871266185749134E-2</v>
      </c>
      <c r="E51" s="9">
        <f>Assumptions!E29</f>
        <v>8.2197415340649671E-2</v>
      </c>
    </row>
    <row r="52" spans="1:5">
      <c r="A52" t="s">
        <v>224</v>
      </c>
      <c r="B52" s="10">
        <f>'Monthly Analysis'!D9</f>
        <v>419822.64999999997</v>
      </c>
      <c r="C52" s="10">
        <f>$C$10*E52</f>
        <v>451288.63782015326</v>
      </c>
      <c r="D52" s="9">
        <f>Assumptions!$C$7</f>
        <v>7.8871266185749134E-2</v>
      </c>
      <c r="E52" s="9">
        <f>Assumptions!E30</f>
        <v>8.5997396891741185E-2</v>
      </c>
    </row>
    <row r="53" spans="1:5">
      <c r="A53" t="s">
        <v>226</v>
      </c>
      <c r="B53" s="10">
        <f>'Monthly Analysis'!D10</f>
        <v>426140.54000000004</v>
      </c>
      <c r="C53" s="10">
        <f>$C$10*E53</f>
        <v>464201.56986337609</v>
      </c>
      <c r="D53" s="9">
        <f>Assumptions!$C$7</f>
        <v>7.8871266185749134E-2</v>
      </c>
      <c r="E53" s="9">
        <f>Assumptions!E31</f>
        <v>8.8458080474029074E-2</v>
      </c>
    </row>
    <row r="54" spans="1:5">
      <c r="A54" t="s">
        <v>228</v>
      </c>
      <c r="B54" s="10">
        <f>'Monthly Analysis'!D11</f>
        <v>441078.15</v>
      </c>
      <c r="C54" s="10">
        <f>$C$10*E54</f>
        <v>470303.81642487983</v>
      </c>
      <c r="D54" s="9">
        <f>Assumptions!$C$7</f>
        <v>7.8871266185749134E-2</v>
      </c>
      <c r="E54" s="9">
        <f>Assumptions!E32</f>
        <v>8.9620922335095457E-2</v>
      </c>
    </row>
    <row r="55" spans="1:5">
      <c r="A55" t="s">
        <v>230</v>
      </c>
      <c r="B55" s="10">
        <f>'Monthly Analysis'!D12</f>
        <v>423481.68</v>
      </c>
      <c r="C55" s="10">
        <f>$C$10*E55</f>
        <v>458193.85617306997</v>
      </c>
      <c r="D55" s="9">
        <f>Assumptions!$C$7</f>
        <v>7.8871266185749134E-2</v>
      </c>
      <c r="E55" s="9">
        <f>Assumptions!E33</f>
        <v>8.7313252762139956E-2</v>
      </c>
    </row>
    <row r="56" spans="1:5">
      <c r="A56" t="s">
        <v>232</v>
      </c>
      <c r="B56" s="10">
        <f>'Monthly Analysis'!D13</f>
        <v>393858.51000000007</v>
      </c>
      <c r="C56" s="10">
        <f>$C$10*E56</f>
        <v>421959.90907537926</v>
      </c>
      <c r="D56" s="9">
        <f>Assumptions!$C$7</f>
        <v>7.8871266185749134E-2</v>
      </c>
      <c r="E56" s="9">
        <f>Assumptions!E34</f>
        <v>8.0408525125818975E-2</v>
      </c>
    </row>
    <row r="57" spans="1:5">
      <c r="A57" t="s">
        <v>234</v>
      </c>
      <c r="B57" s="10">
        <f>'Monthly Analysis'!D14</f>
        <v>397717.38000000006</v>
      </c>
      <c r="C57" s="10">
        <f>$C$10*E57</f>
        <v>432168.42347170261</v>
      </c>
      <c r="D57" s="9">
        <f>Assumptions!$C$7</f>
        <v>7.8871266185749134E-2</v>
      </c>
      <c r="E57" s="9">
        <f>Assumptions!E35</f>
        <v>8.2353855875682738E-2</v>
      </c>
    </row>
    <row r="58" spans="1:5">
      <c r="A58" t="s">
        <v>236</v>
      </c>
      <c r="B58" s="10">
        <f>'Monthly Analysis'!D15</f>
        <v>428684</v>
      </c>
      <c r="C58" s="10">
        <f>$C$10*E58</f>
        <v>463505.67341489077</v>
      </c>
      <c r="D58" s="9">
        <f>Assumptions!$C$7</f>
        <v>7.8871266185749134E-2</v>
      </c>
      <c r="E58" s="9">
        <f>Assumptions!E36</f>
        <v>8.8325470702675171E-2</v>
      </c>
    </row>
    <row r="59" spans="1:5">
      <c r="A59" t="s">
        <v>238</v>
      </c>
      <c r="B59" s="10">
        <f>'Monthly Analysis'!D16</f>
        <v>468431.92000000004</v>
      </c>
      <c r="C59" s="10">
        <f>$C$10*E59</f>
        <v>504781.21035338991</v>
      </c>
      <c r="D59" s="9">
        <f>Assumptions!$C$7</f>
        <v>7.8871266185749134E-2</v>
      </c>
      <c r="E59" s="9">
        <f>Assumptions!E37</f>
        <v>9.6190921845352537E-2</v>
      </c>
    </row>
    <row r="60" spans="1:5">
      <c r="A60" t="s">
        <v>344</v>
      </c>
      <c r="B60" s="10">
        <f>SUM(B48:B59)</f>
        <v>4864066.09</v>
      </c>
      <c r="C60" s="10">
        <f>SUM(C48:C59)</f>
        <v>5247701.1413294654</v>
      </c>
      <c r="D60" s="9">
        <f>AVERAGE(D48:D59)</f>
        <v>7.8871266185749134E-2</v>
      </c>
      <c r="E60" s="9">
        <f>SUM(E48:E59)</f>
        <v>1</v>
      </c>
    </row>
    <row r="62" spans="1:5">
      <c r="A62" s="9" t="s">
        <v>394</v>
      </c>
      <c r="B62" s="10">
        <f>C60-C10</f>
        <v>0</v>
      </c>
    </row>
    <row r="63" spans="1:5">
      <c r="A63" s="9"/>
      <c r="B63" s="10"/>
    </row>
    <row r="64" spans="1:5">
      <c r="A64" s="9"/>
      <c r="B64" s="10"/>
    </row>
    <row r="65" spans="1:5">
      <c r="A65" s="43" t="s">
        <v>395</v>
      </c>
      <c r="B65" s="43"/>
      <c r="C65" s="43"/>
      <c r="D65" s="43"/>
      <c r="E65" s="43"/>
    </row>
    <row r="67" spans="1:5">
      <c r="A67" t="s">
        <v>333</v>
      </c>
      <c r="B67" t="s">
        <v>33</v>
      </c>
      <c r="C67" t="s">
        <v>34</v>
      </c>
      <c r="D67" t="s">
        <v>35</v>
      </c>
      <c r="E67" t="s">
        <v>393</v>
      </c>
    </row>
    <row r="68" spans="1:5">
      <c r="A68" t="s">
        <v>215</v>
      </c>
      <c r="B68" s="10">
        <f>C48</f>
        <v>382363.44345770392</v>
      </c>
      <c r="C68" s="10">
        <f>$D$10*E68</f>
        <v>412520.93238635611</v>
      </c>
      <c r="D68" s="10">
        <f>$E$10*E68</f>
        <v>445056.98065179377</v>
      </c>
      <c r="E68" s="9">
        <f>Assumptions!$E$26</f>
        <v>7.2863037196671421E-2</v>
      </c>
    </row>
    <row r="69" spans="1:5">
      <c r="A69" t="s">
        <v>218</v>
      </c>
      <c r="B69" s="10">
        <f>C49</f>
        <v>366000.46111223643</v>
      </c>
      <c r="C69" s="10">
        <f>$D$10*E69</f>
        <v>394867.38090472657</v>
      </c>
      <c r="D69" s="10">
        <f>$E$10*E69</f>
        <v>426011.07121213281</v>
      </c>
      <c r="E69" s="9">
        <f>Assumptions!$E$27</f>
        <v>6.9744913297313457E-2</v>
      </c>
    </row>
    <row r="70" spans="1:5">
      <c r="A70" t="s">
        <v>220</v>
      </c>
      <c r="B70" s="10">
        <f>C50</f>
        <v>401586.66986522404</v>
      </c>
      <c r="C70" s="10">
        <f>$D$10*E70</f>
        <v>433260.31900081265</v>
      </c>
      <c r="D70" s="10">
        <f>$E$10*E70</f>
        <v>467432.10894844832</v>
      </c>
      <c r="E70" s="9">
        <f>Assumptions!$E$28</f>
        <v>7.6526208152830344E-2</v>
      </c>
    </row>
    <row r="71" spans="1:5">
      <c r="A71" t="s">
        <v>222</v>
      </c>
      <c r="B71" s="10">
        <f>C51</f>
        <v>431347.4702974594</v>
      </c>
      <c r="C71" s="10">
        <f>$D$10*E71</f>
        <v>465368.39144583978</v>
      </c>
      <c r="D71" s="10">
        <f>$E$10*E71</f>
        <v>502072.58572199853</v>
      </c>
      <c r="E71" s="9">
        <f>Assumptions!$E$29</f>
        <v>8.2197415340649671E-2</v>
      </c>
    </row>
    <row r="72" spans="1:5">
      <c r="A72" t="s">
        <v>224</v>
      </c>
      <c r="B72" s="10">
        <f>C52</f>
        <v>451288.63782015326</v>
      </c>
      <c r="C72" s="10">
        <f>$D$10*E72</f>
        <v>486882.34410027065</v>
      </c>
      <c r="D72" s="10">
        <f>$E$10*E72</f>
        <v>525283.37106294453</v>
      </c>
      <c r="E72" s="9">
        <f>Assumptions!$E$30</f>
        <v>8.5997396891741185E-2</v>
      </c>
    </row>
    <row r="73" spans="1:5">
      <c r="A73" t="s">
        <v>226</v>
      </c>
      <c r="B73" s="10">
        <f>C53</f>
        <v>464201.56986337609</v>
      </c>
      <c r="C73" s="10">
        <f>$D$10*E73</f>
        <v>500813.73544391303</v>
      </c>
      <c r="D73" s="10">
        <f>$E$10*E73</f>
        <v>540313.5488815892</v>
      </c>
      <c r="E73" s="9">
        <f>Assumptions!$E$31</f>
        <v>8.8458080474029074E-2</v>
      </c>
    </row>
    <row r="74" spans="1:5">
      <c r="A74" t="s">
        <v>228</v>
      </c>
      <c r="B74" s="10">
        <f>C54</f>
        <v>470303.81642487983</v>
      </c>
      <c r="C74" s="10">
        <f>$D$10*E74</f>
        <v>507397.27391830017</v>
      </c>
      <c r="D74" s="10">
        <f>$E$10*E74</f>
        <v>547416.33937143383</v>
      </c>
      <c r="E74" s="9">
        <f>Assumptions!$E$32</f>
        <v>8.9620922335095457E-2</v>
      </c>
    </row>
    <row r="75" spans="1:5">
      <c r="A75" t="s">
        <v>230</v>
      </c>
      <c r="B75" s="10">
        <f>C55</f>
        <v>458193.85617306997</v>
      </c>
      <c r="C75" s="10">
        <f>$D$10*E75</f>
        <v>494332.18576797098</v>
      </c>
      <c r="D75" s="10">
        <f>$E$10*E75</f>
        <v>533320.79117585975</v>
      </c>
      <c r="E75" s="9">
        <f>Assumptions!$E$33</f>
        <v>8.7313252762139956E-2</v>
      </c>
    </row>
    <row r="76" spans="1:5">
      <c r="A76" t="s">
        <v>232</v>
      </c>
      <c r="B76" s="10">
        <f>C56</f>
        <v>421959.90907537926</v>
      </c>
      <c r="C76" s="10">
        <f>$D$10*E76</f>
        <v>455240.42138377792</v>
      </c>
      <c r="D76" s="10">
        <f>$E$10*E76</f>
        <v>491145.8098372505</v>
      </c>
      <c r="E76" s="9">
        <f>Assumptions!$E$34</f>
        <v>8.0408525125818975E-2</v>
      </c>
    </row>
    <row r="77" spans="1:5">
      <c r="A77" t="s">
        <v>234</v>
      </c>
      <c r="B77" s="10">
        <f>C57</f>
        <v>432168.42347170261</v>
      </c>
      <c r="C77" s="10">
        <f>$D$10*E77</f>
        <v>466254.09423641482</v>
      </c>
      <c r="D77" s="10">
        <f>$E$10*E77</f>
        <v>503028.14501313039</v>
      </c>
      <c r="E77" s="9">
        <f>Assumptions!$E$35</f>
        <v>8.2353855875682738E-2</v>
      </c>
    </row>
    <row r="78" spans="1:5">
      <c r="A78" t="s">
        <v>236</v>
      </c>
      <c r="B78" s="10">
        <f>C58</f>
        <v>463505.67341489077</v>
      </c>
      <c r="C78" s="10">
        <f>$D$10*E78</f>
        <v>500062.95276140148</v>
      </c>
      <c r="D78" s="10">
        <f>$E$10*E78</f>
        <v>539503.55101827765</v>
      </c>
      <c r="E78" s="9">
        <f>Assumptions!$E$36</f>
        <v>8.8325470702675171E-2</v>
      </c>
    </row>
    <row r="79" spans="1:5">
      <c r="A79" t="s">
        <v>238</v>
      </c>
      <c r="B79" s="10">
        <f>C59</f>
        <v>504781.21035338991</v>
      </c>
      <c r="C79" s="10">
        <f>$D$10*E79</f>
        <v>544593.94356073672</v>
      </c>
      <c r="D79" s="10">
        <f>$E$10*E79</f>
        <v>587546.7574464624</v>
      </c>
      <c r="E79" s="9">
        <f>Assumptions!$E$37</f>
        <v>9.6190921845352537E-2</v>
      </c>
    </row>
    <row r="80" spans="1:5">
      <c r="A80" t="s">
        <v>344</v>
      </c>
      <c r="B80" s="10">
        <f>SUM(B68:B79)</f>
        <v>5247701.1413294654</v>
      </c>
      <c r="C80" s="10">
        <f>SUM(C68:C79)</f>
        <v>5661593.97491052</v>
      </c>
      <c r="D80" s="10">
        <f>SUM(D68:D79)</f>
        <v>6108131.0603413209</v>
      </c>
      <c r="E80" s="9">
        <f>SUM(E68:E79)</f>
        <v>1</v>
      </c>
    </row>
    <row r="81" spans="1:11">
      <c r="B81" s="10"/>
      <c r="C81" s="10"/>
      <c r="D81" s="10"/>
      <c r="E81" s="9"/>
    </row>
    <row r="82" spans="1:11">
      <c r="A82" t="s">
        <v>396</v>
      </c>
      <c r="B82" s="10">
        <f>C80-D10</f>
        <v>0</v>
      </c>
      <c r="C82" s="10"/>
      <c r="D82" s="10"/>
      <c r="E82" s="9"/>
    </row>
    <row r="83" spans="1:11">
      <c r="A83" t="s">
        <v>397</v>
      </c>
      <c r="B83" s="10">
        <f>D80-E10</f>
        <v>0</v>
      </c>
      <c r="C83" s="10"/>
      <c r="D83" s="10"/>
      <c r="E83" s="9"/>
    </row>
    <row r="84" spans="1:11">
      <c r="B84" s="10"/>
      <c r="C84" s="10"/>
      <c r="D84" s="10"/>
      <c r="E84" s="9"/>
    </row>
    <row r="85" spans="1:11">
      <c r="B85" s="10"/>
      <c r="C85" s="10"/>
      <c r="D85" s="10"/>
      <c r="E85" s="9"/>
    </row>
    <row r="86" spans="1:11">
      <c r="A86" s="40" t="s">
        <v>398</v>
      </c>
      <c r="B86" s="40"/>
      <c r="C86" s="40"/>
      <c r="D86" s="40"/>
      <c r="E86" s="40"/>
      <c r="F86" s="40"/>
      <c r="G86" s="40"/>
      <c r="H86" s="40"/>
      <c r="I86" s="40"/>
      <c r="J86" s="40"/>
      <c r="K86" s="40"/>
    </row>
    <row r="87" spans="1:11">
      <c r="B87" s="10"/>
      <c r="C87" s="10"/>
      <c r="D87" s="10"/>
      <c r="E87" s="9"/>
    </row>
    <row r="88" spans="1:11">
      <c r="A88" t="s">
        <v>333</v>
      </c>
      <c r="B88" s="10" t="s">
        <v>381</v>
      </c>
      <c r="C88" s="10" t="s">
        <v>36</v>
      </c>
      <c r="D88" s="10" t="s">
        <v>39</v>
      </c>
      <c r="E88" s="9" t="s">
        <v>38</v>
      </c>
      <c r="F88" t="s">
        <v>182</v>
      </c>
      <c r="G88" t="s">
        <v>40</v>
      </c>
      <c r="H88" t="s">
        <v>41</v>
      </c>
      <c r="I88" t="s">
        <v>195</v>
      </c>
      <c r="J88" t="s">
        <v>43</v>
      </c>
      <c r="K88" t="s">
        <v>399</v>
      </c>
    </row>
    <row r="89" spans="1:11">
      <c r="A89" t="s">
        <v>215</v>
      </c>
      <c r="B89" s="8">
        <v>2026</v>
      </c>
      <c r="C89" s="10">
        <f>B68</f>
        <v>382363.44345770392</v>
      </c>
      <c r="D89" s="9">
        <f>Assumptions!$C$10</f>
        <v>0.41499999643302526</v>
      </c>
      <c r="E89" s="10">
        <f>C89*D89</f>
        <v>158680.82767106639</v>
      </c>
      <c r="F89" s="10">
        <f>-(C89-E89)</f>
        <v>-223682.61578663753</v>
      </c>
      <c r="G89" s="10">
        <f>$C$14*E68</f>
        <v>-76622.783838117233</v>
      </c>
      <c r="H89" s="10">
        <f>E89+G89</f>
        <v>82058.043832949159</v>
      </c>
      <c r="I89" s="10">
        <f>-H89*Assumptions!$C$51</f>
        <v>-11406.068092779935</v>
      </c>
      <c r="J89" s="10">
        <f>H89+I89</f>
        <v>70651.975740169219</v>
      </c>
      <c r="K89" s="9">
        <f>IFERROR(J89/C89,0)</f>
        <v>0.1847770150338249</v>
      </c>
    </row>
    <row r="90" spans="1:11">
      <c r="A90" t="s">
        <v>218</v>
      </c>
      <c r="B90" s="8">
        <v>2026</v>
      </c>
      <c r="C90" s="10">
        <f>B69</f>
        <v>366000.46111223643</v>
      </c>
      <c r="D90" s="9">
        <f>Assumptions!$C$10</f>
        <v>0.41499999643302526</v>
      </c>
      <c r="E90" s="10">
        <f>C90*D90</f>
        <v>151890.19005606373</v>
      </c>
      <c r="F90" s="10">
        <f>-(C90-E90)</f>
        <v>-214110.2710561727</v>
      </c>
      <c r="G90" s="10">
        <f>$C$14*E69</f>
        <v>-73343.764149765746</v>
      </c>
      <c r="H90" s="10">
        <f>E90+G90</f>
        <v>78546.425906297984</v>
      </c>
      <c r="I90" s="10">
        <f>-H90*Assumptions!$C$51</f>
        <v>-10917.95320097542</v>
      </c>
      <c r="J90" s="10">
        <f>H90+I90</f>
        <v>67628.472705322565</v>
      </c>
      <c r="K90" s="9">
        <f>IFERROR(J90/C90,0)</f>
        <v>0.18477701503382493</v>
      </c>
    </row>
    <row r="91" spans="1:11">
      <c r="A91" t="s">
        <v>220</v>
      </c>
      <c r="B91" s="8">
        <v>2026</v>
      </c>
      <c r="C91" s="10">
        <f>B70</f>
        <v>401586.66986522404</v>
      </c>
      <c r="D91" s="9">
        <f>Assumptions!$C$10</f>
        <v>0.41499999643302526</v>
      </c>
      <c r="E91" s="10">
        <f>C91*D91</f>
        <v>166658.46656161846</v>
      </c>
      <c r="F91" s="10">
        <f>-(C91-E91)</f>
        <v>-234928.20330360558</v>
      </c>
      <c r="G91" s="10">
        <f>$C$14*E70</f>
        <v>-80474.97511554393</v>
      </c>
      <c r="H91" s="10">
        <f>E91+G91</f>
        <v>86183.491446074535</v>
      </c>
      <c r="I91" s="10">
        <f>-H91*Assumptions!$C$51</f>
        <v>-11979.505311004361</v>
      </c>
      <c r="J91" s="10">
        <f>H91+I91</f>
        <v>74203.986135070169</v>
      </c>
      <c r="K91" s="9">
        <f>IFERROR(J91/C91,0)</f>
        <v>0.18477701503382488</v>
      </c>
    </row>
    <row r="92" spans="1:11">
      <c r="A92" t="s">
        <v>222</v>
      </c>
      <c r="B92" s="8">
        <v>2026</v>
      </c>
      <c r="C92" s="10">
        <f>B71</f>
        <v>431347.4702974594</v>
      </c>
      <c r="D92" s="9">
        <f>Assumptions!$C$10</f>
        <v>0.41499999643302526</v>
      </c>
      <c r="E92" s="10">
        <f>C92*D92</f>
        <v>179009.19863484011</v>
      </c>
      <c r="F92" s="10">
        <f>-(C92-E92)</f>
        <v>-252338.27166261929</v>
      </c>
      <c r="G92" s="10">
        <f>$C$14*E71</f>
        <v>-86438.817677864514</v>
      </c>
      <c r="H92" s="10">
        <f>E92+G92</f>
        <v>92570.380956975598</v>
      </c>
      <c r="I92" s="10">
        <f>-H92*Assumptions!$C$51</f>
        <v>-12867.282953019609</v>
      </c>
      <c r="J92" s="10">
        <f>H92+I92</f>
        <v>79703.098003955994</v>
      </c>
      <c r="K92" s="9">
        <f>IFERROR(J92/C92,0)</f>
        <v>0.1847770150338249</v>
      </c>
    </row>
    <row r="93" spans="1:11">
      <c r="A93" t="s">
        <v>224</v>
      </c>
      <c r="B93" s="8">
        <v>2026</v>
      </c>
      <c r="C93" s="10">
        <f>B72</f>
        <v>451288.63782015326</v>
      </c>
      <c r="D93" s="9">
        <f>Assumptions!$C$10</f>
        <v>0.41499999643302526</v>
      </c>
      <c r="E93" s="10">
        <f>C93*D93</f>
        <v>187284.78308562844</v>
      </c>
      <c r="F93" s="10">
        <f>-(C93-E93)</f>
        <v>-264003.85473452485</v>
      </c>
      <c r="G93" s="10">
        <f>$C$14*E72</f>
        <v>-90434.879003063019</v>
      </c>
      <c r="H93" s="10">
        <f>E93+G93</f>
        <v>96849.904082565423</v>
      </c>
      <c r="I93" s="10">
        <f>-H93*Assumptions!$C$51</f>
        <v>-13462.136667476594</v>
      </c>
      <c r="J93" s="10">
        <f>H93+I93</f>
        <v>83387.767415088834</v>
      </c>
      <c r="K93" s="9">
        <f>IFERROR(J93/C93,0)</f>
        <v>0.18477701503382493</v>
      </c>
    </row>
    <row r="94" spans="1:11">
      <c r="A94" t="s">
        <v>226</v>
      </c>
      <c r="B94" s="8">
        <v>2026</v>
      </c>
      <c r="C94" s="10">
        <f>B73</f>
        <v>464201.56986337609</v>
      </c>
      <c r="D94" s="9">
        <f>Assumptions!$C$10</f>
        <v>0.41499999643302526</v>
      </c>
      <c r="E94" s="10">
        <f>C94*D94</f>
        <v>192643.6498375058</v>
      </c>
      <c r="F94" s="10">
        <f>-(C94-E94)</f>
        <v>-271557.92002587032</v>
      </c>
      <c r="G94" s="10">
        <f>$C$14*E73</f>
        <v>-93022.534328365087</v>
      </c>
      <c r="H94" s="10">
        <f>E94+G94</f>
        <v>99621.115509140713</v>
      </c>
      <c r="I94" s="10">
        <f>-H94*Assumptions!$C$51</f>
        <v>-13847.33505577056</v>
      </c>
      <c r="J94" s="10">
        <f>H94+I94</f>
        <v>85773.780453370156</v>
      </c>
      <c r="K94" s="9">
        <f>IFERROR(J94/C94,0)</f>
        <v>0.18477701503382488</v>
      </c>
    </row>
    <row r="95" spans="1:11">
      <c r="A95" t="s">
        <v>228</v>
      </c>
      <c r="B95" s="8">
        <v>2026</v>
      </c>
      <c r="C95" s="10">
        <f>B74</f>
        <v>470303.81642487983</v>
      </c>
      <c r="D95" s="9">
        <f>Assumptions!$C$10</f>
        <v>0.41499999643302526</v>
      </c>
      <c r="E95" s="10">
        <f>C95*D95</f>
        <v>195176.0821387633</v>
      </c>
      <c r="F95" s="10">
        <f>-(C95-E95)</f>
        <v>-275127.73428611655</v>
      </c>
      <c r="G95" s="10">
        <f>$C$14*E74</f>
        <v>-94245.379051649186</v>
      </c>
      <c r="H95" s="10">
        <f>E95+G95</f>
        <v>100930.70308711412</v>
      </c>
      <c r="I95" s="10">
        <f>-H95*Assumptions!$C$51</f>
        <v>-14029.367729108864</v>
      </c>
      <c r="J95" s="10">
        <f>H95+I95</f>
        <v>86901.33535800525</v>
      </c>
      <c r="K95" s="9">
        <f>IFERROR(J95/C95,0)</f>
        <v>0.1847770150338249</v>
      </c>
    </row>
    <row r="96" spans="1:11">
      <c r="A96" t="s">
        <v>230</v>
      </c>
      <c r="B96" s="8">
        <v>2026</v>
      </c>
      <c r="C96" s="10">
        <f>B75</f>
        <v>458193.85617306997</v>
      </c>
      <c r="D96" s="9">
        <f>Assumptions!$C$10</f>
        <v>0.41499999643302526</v>
      </c>
      <c r="E96" s="10">
        <f>C96*D96</f>
        <v>190150.44867745813</v>
      </c>
      <c r="F96" s="10">
        <f>-(C96-E96)</f>
        <v>-268043.40749561181</v>
      </c>
      <c r="G96" s="10">
        <f>$C$14*E75</f>
        <v>-91818.633287797784</v>
      </c>
      <c r="H96" s="10">
        <f>E96+G96</f>
        <v>98331.815389660347</v>
      </c>
      <c r="I96" s="10">
        <f>-H96*Assumptions!$C$51</f>
        <v>-13668.12233916279</v>
      </c>
      <c r="J96" s="10">
        <f>H96+I96</f>
        <v>84663.693050497561</v>
      </c>
      <c r="K96" s="9">
        <f>IFERROR(J96/C96,0)</f>
        <v>0.1847770150338249</v>
      </c>
    </row>
    <row r="97" spans="1:11">
      <c r="A97" t="s">
        <v>232</v>
      </c>
      <c r="B97" s="8">
        <v>2026</v>
      </c>
      <c r="C97" s="10">
        <f>B76</f>
        <v>421959.90907537926</v>
      </c>
      <c r="D97" s="9">
        <f>Assumptions!$C$10</f>
        <v>0.41499999643302526</v>
      </c>
      <c r="E97" s="10">
        <f>C97*D97</f>
        <v>175113.36076116207</v>
      </c>
      <c r="F97" s="10">
        <f>-(C97-E97)</f>
        <v>-246846.54831421719</v>
      </c>
      <c r="G97" s="10">
        <f>$C$14*E76</f>
        <v>-84557.620386141454</v>
      </c>
      <c r="H97" s="10">
        <f>E97+G97</f>
        <v>90555.740375020614</v>
      </c>
      <c r="I97" s="10">
        <f>-H97*Assumptions!$C$51</f>
        <v>-12587.247912127867</v>
      </c>
      <c r="J97" s="10">
        <f>H97+I97</f>
        <v>77968.492462892755</v>
      </c>
      <c r="K97" s="9">
        <f>IFERROR(J97/C97,0)</f>
        <v>0.18477701503382493</v>
      </c>
    </row>
    <row r="98" spans="1:11">
      <c r="A98" t="s">
        <v>234</v>
      </c>
      <c r="B98" s="8">
        <v>2026</v>
      </c>
      <c r="C98" s="10">
        <f>B77</f>
        <v>432168.42347170261</v>
      </c>
      <c r="D98" s="9">
        <f>Assumptions!$C$10</f>
        <v>0.41499999643302526</v>
      </c>
      <c r="E98" s="10">
        <f>C98*D98</f>
        <v>179349.89419922273</v>
      </c>
      <c r="F98" s="10">
        <f>-(C98-E98)</f>
        <v>-252818.52927247988</v>
      </c>
      <c r="G98" s="10">
        <f>$C$14*E77</f>
        <v>-86603.330574396721</v>
      </c>
      <c r="H98" s="10">
        <f>E98+G98</f>
        <v>92746.563624826013</v>
      </c>
      <c r="I98" s="10">
        <f>-H98*Assumptions!$C$51</f>
        <v>-12891.772343850816</v>
      </c>
      <c r="J98" s="10">
        <f>H98+I98</f>
        <v>79854.791280975202</v>
      </c>
      <c r="K98" s="9">
        <f>IFERROR(J98/C98,0)</f>
        <v>0.1847770150338249</v>
      </c>
    </row>
    <row r="99" spans="1:11">
      <c r="A99" t="s">
        <v>236</v>
      </c>
      <c r="B99" s="8">
        <v>2026</v>
      </c>
      <c r="C99" s="10">
        <f>B78</f>
        <v>463505.67341489077</v>
      </c>
      <c r="D99" s="9">
        <f>Assumptions!$C$10</f>
        <v>0.41499999643302526</v>
      </c>
      <c r="E99" s="10">
        <f>C99*D99</f>
        <v>192354.85281386663</v>
      </c>
      <c r="F99" s="10">
        <f>-(C99-E99)</f>
        <v>-271150.82060102414</v>
      </c>
      <c r="G99" s="10">
        <f>$C$14*E78</f>
        <v>-92883.081867471279</v>
      </c>
      <c r="H99" s="10">
        <f>E99+G99</f>
        <v>99471.770946395351</v>
      </c>
      <c r="I99" s="10">
        <f>-H99*Assumptions!$C$51</f>
        <v>-13826.576161548955</v>
      </c>
      <c r="J99" s="10">
        <f>H99+I99</f>
        <v>85645.19478484639</v>
      </c>
      <c r="K99" s="9">
        <f>IFERROR(J99/C99,0)</f>
        <v>0.18477701503382488</v>
      </c>
    </row>
    <row r="100" spans="1:11">
      <c r="A100" t="s">
        <v>238</v>
      </c>
      <c r="B100" s="8">
        <v>2026</v>
      </c>
      <c r="C100" s="10">
        <f>B79</f>
        <v>504781.21035338991</v>
      </c>
      <c r="D100" s="9">
        <f>Assumptions!$C$10</f>
        <v>0.41499999643302526</v>
      </c>
      <c r="E100" s="10">
        <f>C100*D100</f>
        <v>209484.20049611499</v>
      </c>
      <c r="F100" s="10">
        <f>-(C100-E100)</f>
        <v>-295297.00985727494</v>
      </c>
      <c r="G100" s="10">
        <f>$C$14*E79</f>
        <v>-101154.39179197951</v>
      </c>
      <c r="H100" s="10">
        <f>E100+G100</f>
        <v>108329.80870413549</v>
      </c>
      <c r="I100" s="10">
        <f>-H100*Assumptions!$C$51</f>
        <v>-15057.843409874835</v>
      </c>
      <c r="J100" s="10">
        <f>H100+I100</f>
        <v>93271.965294260648</v>
      </c>
      <c r="K100" s="9">
        <f>IFERROR(J100/C100,0)</f>
        <v>0.18477701503382488</v>
      </c>
    </row>
    <row r="101" spans="1:11">
      <c r="A101" t="s">
        <v>215</v>
      </c>
      <c r="B101" s="8">
        <v>2027</v>
      </c>
      <c r="C101" s="10">
        <f>C68</f>
        <v>412520.93238635611</v>
      </c>
      <c r="D101" s="9">
        <f>Assumptions!$C$10</f>
        <v>0.41499999643302526</v>
      </c>
      <c r="E101" s="10">
        <f>C101*D101</f>
        <v>171196.18546888605</v>
      </c>
      <c r="F101" s="10">
        <f>-(C101-E101)</f>
        <v>-241324.74691747007</v>
      </c>
      <c r="G101" s="10">
        <f>$D$14*E68</f>
        <v>-80455.311302551869</v>
      </c>
      <c r="H101" s="10">
        <f>E101+G101</f>
        <v>90740.874166334179</v>
      </c>
      <c r="I101" s="10">
        <f>-H101*Assumptions!$C$51</f>
        <v>-12612.981509120453</v>
      </c>
      <c r="J101" s="10">
        <f>H101+I101</f>
        <v>78127.892657213728</v>
      </c>
      <c r="K101" s="9">
        <f>IFERROR(J101/C101,0)</f>
        <v>0.18939134119875697</v>
      </c>
    </row>
    <row r="102" spans="1:11">
      <c r="A102" t="s">
        <v>218</v>
      </c>
      <c r="B102" s="8">
        <v>2027</v>
      </c>
      <c r="C102" s="10">
        <f>C69</f>
        <v>394867.38090472657</v>
      </c>
      <c r="D102" s="9">
        <f>Assumptions!$C$10</f>
        <v>0.41499999643302526</v>
      </c>
      <c r="E102" s="10">
        <f>C102*D102</f>
        <v>163869.96166697957</v>
      </c>
      <c r="F102" s="10">
        <f>-(C102-E102)</f>
        <v>-230997.419237747</v>
      </c>
      <c r="G102" s="10">
        <f>$D$14*E69</f>
        <v>-77012.281219608354</v>
      </c>
      <c r="H102" s="10">
        <f>E102+G102</f>
        <v>86857.680447371211</v>
      </c>
      <c r="I102" s="10">
        <f>-H102*Assumptions!$C$51</f>
        <v>-12073.217582184599</v>
      </c>
      <c r="J102" s="10">
        <f>H102+I102</f>
        <v>74784.462865186608</v>
      </c>
      <c r="K102" s="9">
        <f>IFERROR(J102/C102,0)</f>
        <v>0.18939134119875697</v>
      </c>
    </row>
    <row r="103" spans="1:11">
      <c r="A103" t="s">
        <v>220</v>
      </c>
      <c r="B103" s="8">
        <v>2027</v>
      </c>
      <c r="C103" s="10">
        <f>C70</f>
        <v>433260.31900081265</v>
      </c>
      <c r="D103" s="9">
        <f>Assumptions!$C$10</f>
        <v>0.41499999643302526</v>
      </c>
      <c r="E103" s="10">
        <f>C103*D103</f>
        <v>179803.03083990864</v>
      </c>
      <c r="F103" s="10">
        <f>-(C103-E103)</f>
        <v>-253457.28816090402</v>
      </c>
      <c r="G103" s="10">
        <f>$D$14*E70</f>
        <v>-84500.181938903785</v>
      </c>
      <c r="H103" s="10">
        <f>E103+G103</f>
        <v>95302.848901004851</v>
      </c>
      <c r="I103" s="10">
        <f>-H103*Assumptions!$C$51</f>
        <v>-13247.095997239676</v>
      </c>
      <c r="J103" s="10">
        <f>H103+I103</f>
        <v>82055.752903765169</v>
      </c>
      <c r="K103" s="9">
        <f>IFERROR(J103/C103,0)</f>
        <v>0.18939134119875692</v>
      </c>
    </row>
    <row r="104" spans="1:11">
      <c r="A104" t="s">
        <v>222</v>
      </c>
      <c r="B104" s="8">
        <v>2027</v>
      </c>
      <c r="C104" s="10">
        <f>C71</f>
        <v>465368.39144583978</v>
      </c>
      <c r="D104" s="9">
        <f>Assumptions!$C$10</f>
        <v>0.41499999643302526</v>
      </c>
      <c r="E104" s="10">
        <f>C104*D104</f>
        <v>193127.88079006621</v>
      </c>
      <c r="F104" s="10">
        <f>-(C104-E104)</f>
        <v>-272240.51065577357</v>
      </c>
      <c r="G104" s="10">
        <f>$D$14*E71</f>
        <v>-90762.324683869097</v>
      </c>
      <c r="H104" s="10">
        <f>E104+G104</f>
        <v>102365.55610619711</v>
      </c>
      <c r="I104" s="10">
        <f>-H104*Assumptions!$C$51</f>
        <v>-14228.812298761399</v>
      </c>
      <c r="J104" s="10">
        <f>H104+I104</f>
        <v>88136.743807435705</v>
      </c>
      <c r="K104" s="9">
        <f>IFERROR(J104/C104,0)</f>
        <v>0.18939134119875689</v>
      </c>
    </row>
    <row r="105" spans="1:11">
      <c r="A105" t="s">
        <v>224</v>
      </c>
      <c r="B105" s="8">
        <v>2027</v>
      </c>
      <c r="C105" s="10">
        <f>C72</f>
        <v>486882.34410027065</v>
      </c>
      <c r="D105" s="9">
        <f>Assumptions!$C$10</f>
        <v>0.41499999643302526</v>
      </c>
      <c r="E105" s="10">
        <f>C105*D105</f>
        <v>202056.17106491531</v>
      </c>
      <c r="F105" s="10">
        <f>-(C105-E105)</f>
        <v>-284826.17303535534</v>
      </c>
      <c r="G105" s="10">
        <f>$D$14*E72</f>
        <v>-94958.261477058215</v>
      </c>
      <c r="H105" s="10">
        <f>E105+G105</f>
        <v>107097.9095878571</v>
      </c>
      <c r="I105" s="10">
        <f>-H105*Assumptions!$C$51</f>
        <v>-14886.609432712137</v>
      </c>
      <c r="J105" s="10">
        <f>H105+I105</f>
        <v>92211.300155144956</v>
      </c>
      <c r="K105" s="9">
        <f>IFERROR(J105/C105,0)</f>
        <v>0.18939134119875697</v>
      </c>
    </row>
    <row r="106" spans="1:11">
      <c r="A106" t="s">
        <v>226</v>
      </c>
      <c r="B106" s="8">
        <v>2027</v>
      </c>
      <c r="C106" s="10">
        <f>C73</f>
        <v>500813.73544391303</v>
      </c>
      <c r="D106" s="9">
        <f>Assumptions!$C$10</f>
        <v>0.41499999643302526</v>
      </c>
      <c r="E106" s="10">
        <f>C106*D106</f>
        <v>207837.69842283396</v>
      </c>
      <c r="F106" s="10">
        <f>-(C106-E106)</f>
        <v>-292976.0370210791</v>
      </c>
      <c r="G106" s="10">
        <f>$D$14*E73</f>
        <v>-97675.346452471436</v>
      </c>
      <c r="H106" s="10">
        <f>E106+G106</f>
        <v>110162.35197036252</v>
      </c>
      <c r="I106" s="10">
        <f>-H106*Assumptions!$C$51</f>
        <v>-15312.566923880391</v>
      </c>
      <c r="J106" s="10">
        <f>H106+I106</f>
        <v>94849.785046482124</v>
      </c>
      <c r="K106" s="9">
        <f>IFERROR(J106/C106,0)</f>
        <v>0.18939134119875695</v>
      </c>
    </row>
    <row r="107" spans="1:11">
      <c r="A107" t="s">
        <v>228</v>
      </c>
      <c r="B107" s="8">
        <v>2027</v>
      </c>
      <c r="C107" s="10">
        <f>C74</f>
        <v>507397.27391830017</v>
      </c>
      <c r="D107" s="9">
        <f>Assumptions!$C$10</f>
        <v>0.41499999643302526</v>
      </c>
      <c r="E107" s="10">
        <f>C107*D107</f>
        <v>210569.8668662213</v>
      </c>
      <c r="F107" s="10">
        <f>-(C107-E107)</f>
        <v>-296827.40705207887</v>
      </c>
      <c r="G107" s="10">
        <f>$D$14*E74</f>
        <v>-98959.355567754494</v>
      </c>
      <c r="H107" s="10">
        <f>E107+G107</f>
        <v>111610.51129846681</v>
      </c>
      <c r="I107" s="10">
        <f>-H107*Assumptions!$C$51</f>
        <v>-15513.861070486888</v>
      </c>
      <c r="J107" s="10">
        <f>H107+I107</f>
        <v>96096.650227979917</v>
      </c>
      <c r="K107" s="9">
        <f>IFERROR(J107/C107,0)</f>
        <v>0.18939134119875692</v>
      </c>
    </row>
    <row r="108" spans="1:11">
      <c r="A108" t="s">
        <v>230</v>
      </c>
      <c r="B108" s="8">
        <v>2027</v>
      </c>
      <c r="C108" s="10">
        <f>C75</f>
        <v>494332.18576797098</v>
      </c>
      <c r="D108" s="9">
        <f>Assumptions!$C$10</f>
        <v>0.41499999643302526</v>
      </c>
      <c r="E108" s="10">
        <f>C108*D108</f>
        <v>205147.85533043754</v>
      </c>
      <c r="F108" s="10">
        <f>-(C108-E108)</f>
        <v>-289184.33043753344</v>
      </c>
      <c r="G108" s="10">
        <f>$D$14*E75</f>
        <v>-96411.228547267863</v>
      </c>
      <c r="H108" s="10">
        <f>E108+G108</f>
        <v>108736.62678316968</v>
      </c>
      <c r="I108" s="10">
        <f>-H108*Assumptions!$C$51</f>
        <v>-15114.391122860587</v>
      </c>
      <c r="J108" s="10">
        <f>H108+I108</f>
        <v>93622.235660309088</v>
      </c>
      <c r="K108" s="9">
        <f>IFERROR(J108/C108,0)</f>
        <v>0.18939134119875695</v>
      </c>
    </row>
    <row r="109" spans="1:11">
      <c r="A109" t="s">
        <v>232</v>
      </c>
      <c r="B109" s="8">
        <v>2027</v>
      </c>
      <c r="C109" s="10">
        <f>C76</f>
        <v>455240.42138377792</v>
      </c>
      <c r="D109" s="9">
        <f>Assumptions!$C$10</f>
        <v>0.41499999643302526</v>
      </c>
      <c r="E109" s="10">
        <f>C109*D109</f>
        <v>188924.77325043676</v>
      </c>
      <c r="F109" s="10">
        <f>-(C109-E109)</f>
        <v>-266315.64813334116</v>
      </c>
      <c r="G109" s="10">
        <f>$D$14*E76</f>
        <v>-88787.033443513443</v>
      </c>
      <c r="H109" s="10">
        <f>E109+G109</f>
        <v>100137.73980692332</v>
      </c>
      <c r="I109" s="10">
        <f>-H109*Assumptions!$C$51</f>
        <v>-13919.145833162342</v>
      </c>
      <c r="J109" s="10">
        <f>H109+I109</f>
        <v>86218.593973760973</v>
      </c>
      <c r="K109" s="9">
        <f>IFERROR(J109/C109,0)</f>
        <v>0.18939134119875695</v>
      </c>
    </row>
    <row r="110" spans="1:11">
      <c r="A110" t="s">
        <v>234</v>
      </c>
      <c r="B110" s="8">
        <v>2027</v>
      </c>
      <c r="C110" s="10">
        <f>C77</f>
        <v>466254.09423641482</v>
      </c>
      <c r="D110" s="9">
        <f>Assumptions!$C$10</f>
        <v>0.41499999643302526</v>
      </c>
      <c r="E110" s="10">
        <f>C110*D110</f>
        <v>193495.44744499557</v>
      </c>
      <c r="F110" s="10">
        <f>-(C110-E110)</f>
        <v>-272758.64679141925</v>
      </c>
      <c r="G110" s="10">
        <f>$D$14*E77</f>
        <v>-90935.066205917508</v>
      </c>
      <c r="H110" s="10">
        <f>E110+G110</f>
        <v>102560.38123907807</v>
      </c>
      <c r="I110" s="10">
        <f>-H110*Assumptions!$C$51</f>
        <v>-14255.892992231853</v>
      </c>
      <c r="J110" s="10">
        <f>H110+I110</f>
        <v>88304.488246846216</v>
      </c>
      <c r="K110" s="9">
        <f>IFERROR(J110/C110,0)</f>
        <v>0.18939134119875695</v>
      </c>
    </row>
    <row r="111" spans="1:11">
      <c r="A111" t="s">
        <v>236</v>
      </c>
      <c r="B111" s="8">
        <v>2027</v>
      </c>
      <c r="C111" s="10">
        <f>C78</f>
        <v>500062.95276140148</v>
      </c>
      <c r="D111" s="9">
        <f>Assumptions!$C$10</f>
        <v>0.41499999643302526</v>
      </c>
      <c r="E111" s="10">
        <f>C111*D111</f>
        <v>207526.1236122697</v>
      </c>
      <c r="F111" s="10">
        <f>-(C111-E111)</f>
        <v>-292536.82914913178</v>
      </c>
      <c r="G111" s="10">
        <f>$D$14*E78</f>
        <v>-97528.918841895167</v>
      </c>
      <c r="H111" s="10">
        <f>E111+G111</f>
        <v>109997.20477037453</v>
      </c>
      <c r="I111" s="10">
        <f>-H111*Assumptions!$C$51</f>
        <v>-15289.611463082061</v>
      </c>
      <c r="J111" s="10">
        <f>H111+I111</f>
        <v>94707.593307292467</v>
      </c>
      <c r="K111" s="9">
        <f>IFERROR(J111/C111,0)</f>
        <v>0.18939134119875695</v>
      </c>
    </row>
    <row r="112" spans="1:11">
      <c r="A112" t="s">
        <v>238</v>
      </c>
      <c r="B112" s="8">
        <v>2027</v>
      </c>
      <c r="C112" s="10">
        <f>C79</f>
        <v>544593.94356073672</v>
      </c>
      <c r="D112" s="9">
        <f>Assumptions!$C$10</f>
        <v>0.41499999643302526</v>
      </c>
      <c r="E112" s="10">
        <f>C112*D112</f>
        <v>226006.48463515291</v>
      </c>
      <c r="F112" s="10">
        <f>-(C112-E112)</f>
        <v>-318587.45892558381</v>
      </c>
      <c r="G112" s="10">
        <f>$D$14*E79</f>
        <v>-106213.94412448151</v>
      </c>
      <c r="H112" s="10">
        <f>E112+G112</f>
        <v>119792.5405106714</v>
      </c>
      <c r="I112" s="10">
        <f>-H112*Assumptions!$C$51</f>
        <v>-16651.163130983325</v>
      </c>
      <c r="J112" s="10">
        <f>H112+I112</f>
        <v>103141.37737968809</v>
      </c>
      <c r="K112" s="9">
        <f>IFERROR(J112/C112,0)</f>
        <v>0.18939134119875697</v>
      </c>
    </row>
    <row r="113" spans="1:11">
      <c r="A113" t="s">
        <v>215</v>
      </c>
      <c r="B113" s="8">
        <v>2028</v>
      </c>
      <c r="C113" s="10">
        <f>D68</f>
        <v>445056.98065179377</v>
      </c>
      <c r="D113" s="9">
        <f>Assumptions!$C$10</f>
        <v>0.41499999643302526</v>
      </c>
      <c r="E113" s="10">
        <f>C113*D113</f>
        <v>184698.64538298742</v>
      </c>
      <c r="F113" s="10">
        <f>-(C113-E113)</f>
        <v>-260358.33526880635</v>
      </c>
      <c r="G113" s="10">
        <f>$E$14*E68</f>
        <v>-84479.53457898779</v>
      </c>
      <c r="H113" s="10">
        <f>E113+G113</f>
        <v>100219.11080399963</v>
      </c>
      <c r="I113" s="10">
        <f>-H113*Assumptions!$C$51</f>
        <v>-13930.45640175595</v>
      </c>
      <c r="J113" s="10">
        <f>H113+I113</f>
        <v>86288.654402243686</v>
      </c>
      <c r="K113" s="9">
        <f>IFERROR(J113/C113,0)</f>
        <v>0.19388226261696298</v>
      </c>
    </row>
    <row r="114" spans="1:11">
      <c r="A114" t="s">
        <v>218</v>
      </c>
      <c r="B114" s="8">
        <v>2028</v>
      </c>
      <c r="C114" s="10">
        <f>D69</f>
        <v>426011.07121213281</v>
      </c>
      <c r="D114" s="9">
        <f>Assumptions!$C$10</f>
        <v>0.41499999643302526</v>
      </c>
      <c r="E114" s="10">
        <f>C114*D114</f>
        <v>176794.59303346439</v>
      </c>
      <c r="F114" s="10">
        <f>-(C114-E114)</f>
        <v>-249216.47817866842</v>
      </c>
      <c r="G114" s="10">
        <f>$E$14*E69</f>
        <v>-80864.290610137512</v>
      </c>
      <c r="H114" s="10">
        <f>E114+G114</f>
        <v>95930.302423326881</v>
      </c>
      <c r="I114" s="10">
        <f>-H114*Assumptions!$C$51</f>
        <v>-13334.312036842437</v>
      </c>
      <c r="J114" s="10">
        <f>H114+I114</f>
        <v>82595.990386484438</v>
      </c>
      <c r="K114" s="9">
        <f>IFERROR(J114/C114,0)</f>
        <v>0.19388226261696295</v>
      </c>
    </row>
    <row r="115" spans="1:11">
      <c r="A115" t="s">
        <v>220</v>
      </c>
      <c r="B115" s="8">
        <v>2028</v>
      </c>
      <c r="C115" s="10">
        <f>D70</f>
        <v>467432.10894844832</v>
      </c>
      <c r="D115" s="9">
        <f>Assumptions!$C$10</f>
        <v>0.41499999643302526</v>
      </c>
      <c r="E115" s="10">
        <f>C115*D115</f>
        <v>193984.32354628755</v>
      </c>
      <c r="F115" s="10">
        <f>-(C115-E115)</f>
        <v>-273447.78540216078</v>
      </c>
      <c r="G115" s="10">
        <f>$E$14*E70</f>
        <v>-88726.72203322842</v>
      </c>
      <c r="H115" s="10">
        <f>E115+G115</f>
        <v>105257.60151305913</v>
      </c>
      <c r="I115" s="10">
        <f>-H115*Assumptions!$C$51</f>
        <v>-14630.80661031522</v>
      </c>
      <c r="J115" s="10">
        <f>H115+I115</f>
        <v>90626.794902743903</v>
      </c>
      <c r="K115" s="9">
        <f>IFERROR(J115/C115,0)</f>
        <v>0.19388226261696295</v>
      </c>
    </row>
    <row r="116" spans="1:11">
      <c r="A116" t="s">
        <v>222</v>
      </c>
      <c r="B116" s="8">
        <v>2028</v>
      </c>
      <c r="C116" s="10">
        <f>D71</f>
        <v>502072.58572199853</v>
      </c>
      <c r="D116" s="9">
        <f>Assumptions!$C$10</f>
        <v>0.41499999643302526</v>
      </c>
      <c r="E116" s="10">
        <f>C116*D116</f>
        <v>208360.12128374918</v>
      </c>
      <c r="F116" s="10">
        <f>-(C116-E116)</f>
        <v>-293712.46443824936</v>
      </c>
      <c r="G116" s="10">
        <f>$E$14*E71</f>
        <v>-95302.085374654896</v>
      </c>
      <c r="H116" s="10">
        <f>E116+G116</f>
        <v>113058.03590909428</v>
      </c>
      <c r="I116" s="10">
        <f>-H116*Assumptions!$C$51</f>
        <v>-15715.066991364107</v>
      </c>
      <c r="J116" s="10">
        <f>H116+I116</f>
        <v>97342.968917730177</v>
      </c>
      <c r="K116" s="9">
        <f>IFERROR(J116/C116,0)</f>
        <v>0.19388226261696298</v>
      </c>
    </row>
    <row r="117" spans="1:11">
      <c r="A117" t="s">
        <v>224</v>
      </c>
      <c r="B117" s="8">
        <v>2028</v>
      </c>
      <c r="C117" s="10">
        <f>D72</f>
        <v>525283.37106294453</v>
      </c>
      <c r="D117" s="9">
        <f>Assumptions!$C$10</f>
        <v>0.41499999643302526</v>
      </c>
      <c r="E117" s="10">
        <f>C117*D117</f>
        <v>217992.59711744948</v>
      </c>
      <c r="F117" s="10">
        <f>-(C117-E117)</f>
        <v>-307290.77394549502</v>
      </c>
      <c r="G117" s="10">
        <f>$E$14*E72</f>
        <v>-99707.895030632513</v>
      </c>
      <c r="H117" s="10">
        <f>E117+G117</f>
        <v>118284.70208681696</v>
      </c>
      <c r="I117" s="10">
        <f>-H117*Assumptions!$C$51</f>
        <v>-16441.573590067561</v>
      </c>
      <c r="J117" s="10">
        <f>H117+I117</f>
        <v>101843.1284967494</v>
      </c>
      <c r="K117" s="9">
        <f>IFERROR(J117/C117,0)</f>
        <v>0.19388226261696292</v>
      </c>
    </row>
    <row r="118" spans="1:11">
      <c r="A118" t="s">
        <v>226</v>
      </c>
      <c r="B118" s="8">
        <v>2028</v>
      </c>
      <c r="C118" s="10">
        <f>D73</f>
        <v>540313.5488815892</v>
      </c>
      <c r="D118" s="9">
        <f>Assumptions!$C$10</f>
        <v>0.41499999643302526</v>
      </c>
      <c r="E118" s="10">
        <f>C118*D118</f>
        <v>224230.12085857475</v>
      </c>
      <c r="F118" s="10">
        <f>-(C118-E118)</f>
        <v>-316083.42802301445</v>
      </c>
      <c r="G118" s="10">
        <f>$E$14*E73</f>
        <v>-102560.88348370421</v>
      </c>
      <c r="H118" s="10">
        <f>E118+G118</f>
        <v>121669.23737487054</v>
      </c>
      <c r="I118" s="10">
        <f>-H118*Assumptions!$C$51</f>
        <v>-16912.023995107007</v>
      </c>
      <c r="J118" s="10">
        <f>H118+I118</f>
        <v>104757.21337976353</v>
      </c>
      <c r="K118" s="9">
        <f>IFERROR(J118/C118,0)</f>
        <v>0.19388226261696295</v>
      </c>
    </row>
    <row r="119" spans="1:11">
      <c r="A119" t="s">
        <v>228</v>
      </c>
      <c r="B119" s="8">
        <v>2028</v>
      </c>
      <c r="C119" s="10">
        <f>D74</f>
        <v>547416.33937143383</v>
      </c>
      <c r="D119" s="9">
        <f>Assumptions!$C$10</f>
        <v>0.41499999643302526</v>
      </c>
      <c r="E119" s="10">
        <f>C119*D119</f>
        <v>227177.77888652479</v>
      </c>
      <c r="F119" s="10">
        <f>-(C119-E119)</f>
        <v>-320238.56048490905</v>
      </c>
      <c r="G119" s="10">
        <f>$E$14*E74</f>
        <v>-103909.11631877933</v>
      </c>
      <c r="H119" s="10">
        <f>E119+G119</f>
        <v>123268.66256774546</v>
      </c>
      <c r="I119" s="10">
        <f>-H119*Assumptions!$C$51</f>
        <v>-17134.344096916619</v>
      </c>
      <c r="J119" s="10">
        <f>H119+I119</f>
        <v>106134.31847082885</v>
      </c>
      <c r="K119" s="9">
        <f>IFERROR(J119/C119,0)</f>
        <v>0.19388226261696295</v>
      </c>
    </row>
    <row r="120" spans="1:11">
      <c r="A120" t="s">
        <v>230</v>
      </c>
      <c r="B120" s="8">
        <v>2028</v>
      </c>
      <c r="C120" s="10">
        <f>D75</f>
        <v>533320.79117585975</v>
      </c>
      <c r="D120" s="9">
        <f>Assumptions!$C$10</f>
        <v>0.41499999643302526</v>
      </c>
      <c r="E120" s="10">
        <f>C120*D120</f>
        <v>221328.12643564001</v>
      </c>
      <c r="F120" s="10">
        <f>-(C120-E120)</f>
        <v>-311992.66474021971</v>
      </c>
      <c r="G120" s="10">
        <f>$E$14*E75</f>
        <v>-101233.53677960692</v>
      </c>
      <c r="H120" s="10">
        <f>E120+G120</f>
        <v>120094.58965603309</v>
      </c>
      <c r="I120" s="10">
        <f>-H120*Assumptions!$C$51</f>
        <v>-16693.147962188599</v>
      </c>
      <c r="J120" s="10">
        <f>H120+I120</f>
        <v>103401.44169384449</v>
      </c>
      <c r="K120" s="9">
        <f>IFERROR(J120/C120,0)</f>
        <v>0.19388226261696295</v>
      </c>
    </row>
    <row r="121" spans="1:11">
      <c r="A121" t="s">
        <v>232</v>
      </c>
      <c r="B121" s="8">
        <v>2028</v>
      </c>
      <c r="C121" s="10">
        <f>D76</f>
        <v>491145.8098372505</v>
      </c>
      <c r="D121" s="9">
        <f>Assumptions!$C$10</f>
        <v>0.41499999643302526</v>
      </c>
      <c r="E121" s="10">
        <f>C121*D121</f>
        <v>203825.50933055425</v>
      </c>
      <c r="F121" s="10">
        <f>-(C121-E121)</f>
        <v>-287320.30050669622</v>
      </c>
      <c r="G121" s="10">
        <f>$E$14*E76</f>
        <v>-93227.993783415179</v>
      </c>
      <c r="H121" s="10">
        <f>E121+G121</f>
        <v>110597.51554713908</v>
      </c>
      <c r="I121" s="10">
        <f>-H121*Assumptions!$C$51</f>
        <v>-15373.054661052332</v>
      </c>
      <c r="J121" s="10">
        <f>H121+I121</f>
        <v>95224.460886086745</v>
      </c>
      <c r="K121" s="9">
        <f>IFERROR(J121/C121,0)</f>
        <v>0.19388226261696295</v>
      </c>
    </row>
    <row r="122" spans="1:11">
      <c r="A122" t="s">
        <v>234</v>
      </c>
      <c r="B122" s="8">
        <v>2028</v>
      </c>
      <c r="C122" s="10">
        <f>D77</f>
        <v>503028.14501313039</v>
      </c>
      <c r="D122" s="9">
        <f>Assumptions!$C$10</f>
        <v>0.41499999643302526</v>
      </c>
      <c r="E122" s="10">
        <f>C122*D122</f>
        <v>208756.67838616043</v>
      </c>
      <c r="F122" s="10">
        <f>-(C122-E122)</f>
        <v>-294271.46662696998</v>
      </c>
      <c r="G122" s="10">
        <f>$E$14*E77</f>
        <v>-95483.467102583818</v>
      </c>
      <c r="H122" s="10">
        <f>E122+G122</f>
        <v>113273.21128357662</v>
      </c>
      <c r="I122" s="10">
        <f>-H122*Assumptions!$C$51</f>
        <v>-15744.97636841715</v>
      </c>
      <c r="J122" s="10">
        <f>H122+I122</f>
        <v>97528.234915159468</v>
      </c>
      <c r="K122" s="9">
        <f>IFERROR(J122/C122,0)</f>
        <v>0.19388226261696295</v>
      </c>
    </row>
    <row r="123" spans="1:11">
      <c r="A123" t="s">
        <v>236</v>
      </c>
      <c r="B123" s="8">
        <v>2028</v>
      </c>
      <c r="C123" s="10">
        <f>D78</f>
        <v>539503.55101827765</v>
      </c>
      <c r="D123" s="9">
        <f>Assumptions!$C$10</f>
        <v>0.41499999643302526</v>
      </c>
      <c r="E123" s="10">
        <f>C123*D123</f>
        <v>223893.97174818968</v>
      </c>
      <c r="F123" s="10">
        <f>-(C123-E123)</f>
        <v>-315609.579270088</v>
      </c>
      <c r="G123" s="10">
        <f>$E$14*E78</f>
        <v>-102407.13183958367</v>
      </c>
      <c r="H123" s="10">
        <f>E123+G123</f>
        <v>121486.83990860601</v>
      </c>
      <c r="I123" s="10">
        <f>-H123*Assumptions!$C$51</f>
        <v>-16886.670747296237</v>
      </c>
      <c r="J123" s="10">
        <f>H123+I123</f>
        <v>104600.16916130978</v>
      </c>
      <c r="K123" s="9">
        <f>IFERROR(J123/C123,0)</f>
        <v>0.19388226261696295</v>
      </c>
    </row>
    <row r="124" spans="1:11">
      <c r="A124" t="s">
        <v>238</v>
      </c>
      <c r="B124" s="8">
        <v>2028</v>
      </c>
      <c r="C124" s="10">
        <f>D79</f>
        <v>587546.7574464624</v>
      </c>
      <c r="D124" s="9">
        <f>Assumptions!$C$10</f>
        <v>0.41499999643302526</v>
      </c>
      <c r="E124" s="10">
        <f>C124*D124</f>
        <v>243831.90224451746</v>
      </c>
      <c r="F124" s="10">
        <f>-(C124-E124)</f>
        <v>-343714.85520194494</v>
      </c>
      <c r="G124" s="10">
        <f>$E$14*E79</f>
        <v>-111526.5657439599</v>
      </c>
      <c r="H124" s="10">
        <f>E124+G124</f>
        <v>132305.33650055755</v>
      </c>
      <c r="I124" s="10">
        <f>-H124*Assumptions!$C$51</f>
        <v>-18390.441773577502</v>
      </c>
      <c r="J124" s="10">
        <f>H124+I124</f>
        <v>113914.89472698004</v>
      </c>
      <c r="K124" s="9">
        <f>IFERROR(J124/C124,0)</f>
        <v>0.19388226261696292</v>
      </c>
    </row>
    <row r="125" spans="1:11">
      <c r="B125" s="8"/>
      <c r="C125" s="10"/>
      <c r="D125" s="9"/>
      <c r="E125" s="10"/>
      <c r="F125" s="10"/>
      <c r="G125" s="10"/>
      <c r="H125" s="10"/>
      <c r="I125" s="10"/>
      <c r="J125" s="10"/>
      <c r="K125" s="9"/>
    </row>
    <row r="126" spans="1:11">
      <c r="B126" s="8"/>
      <c r="C126" s="10"/>
      <c r="D126" s="9"/>
      <c r="E126" s="10"/>
      <c r="F126" s="10"/>
      <c r="G126" s="10"/>
      <c r="H126" s="10"/>
      <c r="I126" s="10"/>
      <c r="J126" s="10"/>
      <c r="K126" s="9"/>
    </row>
    <row r="127" spans="1:11">
      <c r="A127" t="s">
        <v>400</v>
      </c>
      <c r="B127" s="8"/>
      <c r="C127" s="10">
        <f>SUM(C89:C100)</f>
        <v>5247701.1413294654</v>
      </c>
      <c r="D127" s="9"/>
      <c r="E127" s="10">
        <f>SUM(E89:E100)</f>
        <v>2177795.9549333109</v>
      </c>
      <c r="F127" s="10">
        <f>SUM(F89:F100)</f>
        <v>-3069905.1863961546</v>
      </c>
      <c r="G127" s="10">
        <f>SUM(G89:G100)</f>
        <v>-1051600.1910721557</v>
      </c>
      <c r="H127" s="10">
        <f>SUM(H89:H100)</f>
        <v>1126195.7638611556</v>
      </c>
      <c r="I127" s="10">
        <f>SUM(I89:I100)</f>
        <v>-156541.2111767006</v>
      </c>
      <c r="J127" s="10">
        <f>SUM(J89:J100)</f>
        <v>969654.55268445483</v>
      </c>
      <c r="K127" s="9"/>
    </row>
    <row r="128" spans="1:11">
      <c r="A128" t="s">
        <v>401</v>
      </c>
      <c r="B128" s="8"/>
      <c r="C128" s="10">
        <f>SUM(C101:C112)</f>
        <v>5661593.97491052</v>
      </c>
      <c r="D128" s="9"/>
      <c r="E128" s="10">
        <f>SUM(E101:E112)</f>
        <v>2349561.4793931036</v>
      </c>
      <c r="F128" s="10">
        <f>SUM(F101:F112)</f>
        <v>-3312032.4955174173</v>
      </c>
      <c r="G128" s="10">
        <f>SUM(G101:G112)</f>
        <v>-1104199.2538052928</v>
      </c>
      <c r="H128" s="10">
        <f>SUM(H101:H112)</f>
        <v>1245362.2255878109</v>
      </c>
      <c r="I128" s="10">
        <f>SUM(I101:I112)</f>
        <v>-173105.34935670573</v>
      </c>
      <c r="J128" s="10">
        <f>SUM(J101:J112)</f>
        <v>1072256.8762311051</v>
      </c>
      <c r="K128" s="9"/>
    </row>
    <row r="129" spans="1:11">
      <c r="A129" t="s">
        <v>402</v>
      </c>
      <c r="B129" s="8"/>
      <c r="C129" s="10">
        <f>SUM(C113:C124)</f>
        <v>6108131.0603413209</v>
      </c>
      <c r="D129" s="9"/>
      <c r="E129" s="10">
        <f>SUM(E113:E124)</f>
        <v>2534874.368254099</v>
      </c>
      <c r="F129" s="10">
        <f>SUM(F113:F124)</f>
        <v>-3573256.6920872219</v>
      </c>
      <c r="G129" s="10">
        <f>SUM(G113:G124)</f>
        <v>-1159429.2226792742</v>
      </c>
      <c r="H129" s="10">
        <f>SUM(H113:H124)</f>
        <v>1375445.1455748251</v>
      </c>
      <c r="I129" s="10">
        <f>SUM(I113:I124)</f>
        <v>-191186.87523490074</v>
      </c>
      <c r="J129" s="10">
        <f>SUM(J113:J124)</f>
        <v>1184258.2703399244</v>
      </c>
      <c r="K129" s="9"/>
    </row>
    <row r="130" spans="1:11">
      <c r="B130" s="8"/>
      <c r="C130" s="10"/>
      <c r="D130" s="9"/>
      <c r="E130" s="10"/>
      <c r="F130" s="10"/>
      <c r="G130" s="10"/>
      <c r="H130" s="10"/>
      <c r="I130" s="10"/>
      <c r="J130" s="10"/>
      <c r="K130" s="9"/>
    </row>
    <row r="131" spans="1:11">
      <c r="A131" s="40" t="s">
        <v>403</v>
      </c>
      <c r="B131" s="40"/>
      <c r="C131" s="10"/>
      <c r="D131" s="9"/>
      <c r="E131" s="10"/>
      <c r="F131" s="10"/>
      <c r="G131" s="10"/>
      <c r="H131" s="10"/>
      <c r="I131" s="10"/>
      <c r="J131" s="10"/>
      <c r="K131" s="9"/>
    </row>
    <row r="132" spans="1:11">
      <c r="B132" s="8"/>
      <c r="C132" s="10"/>
      <c r="D132" s="9"/>
      <c r="E132" s="10"/>
      <c r="F132" s="10"/>
      <c r="G132" s="10"/>
      <c r="H132" s="10"/>
      <c r="I132" s="10"/>
      <c r="J132" s="10"/>
      <c r="K132" s="9"/>
    </row>
    <row r="133" spans="1:11">
      <c r="A133" t="s">
        <v>390</v>
      </c>
      <c r="B133" s="10">
        <f>C127-C10</f>
        <v>0</v>
      </c>
      <c r="C133" s="10"/>
      <c r="D133" s="9"/>
      <c r="E133" s="10"/>
      <c r="F133" s="10"/>
      <c r="G133" s="10"/>
      <c r="H133" s="10"/>
      <c r="I133" s="10"/>
      <c r="J133" s="10"/>
      <c r="K133" s="9"/>
    </row>
    <row r="134" spans="1:11">
      <c r="A134" t="s">
        <v>391</v>
      </c>
      <c r="B134" s="10">
        <f>C128-D10</f>
        <v>0</v>
      </c>
      <c r="C134" s="10"/>
      <c r="D134" s="9"/>
      <c r="E134" s="10"/>
      <c r="F134" s="10"/>
      <c r="G134" s="10"/>
      <c r="H134" s="10"/>
      <c r="I134" s="10"/>
      <c r="J134" s="10"/>
      <c r="K134" s="9"/>
    </row>
    <row r="135" spans="1:11">
      <c r="A135" t="s">
        <v>67</v>
      </c>
      <c r="B135" s="10">
        <f>C129-E10</f>
        <v>0</v>
      </c>
      <c r="C135" s="10"/>
      <c r="D135" s="9"/>
      <c r="E135" s="10"/>
      <c r="F135" s="10"/>
      <c r="G135" s="10"/>
      <c r="H135" s="10"/>
      <c r="I135" s="10"/>
      <c r="J135" s="10"/>
      <c r="K135" s="9"/>
    </row>
    <row r="136" spans="1:11">
      <c r="B136" s="8"/>
      <c r="C136" s="10"/>
      <c r="D136" s="9"/>
      <c r="E136" s="10"/>
      <c r="F136" s="10"/>
      <c r="G136" s="10"/>
      <c r="H136" s="10"/>
      <c r="I136" s="10"/>
      <c r="J136" s="10"/>
      <c r="K136" s="9"/>
    </row>
    <row r="137" spans="1:11">
      <c r="A137" t="s">
        <v>404</v>
      </c>
      <c r="B137" s="10">
        <f>H127-C16</f>
        <v>0</v>
      </c>
      <c r="C137" s="10"/>
      <c r="D137" s="9"/>
      <c r="E137" s="10"/>
      <c r="F137" s="10"/>
      <c r="G137" s="10"/>
      <c r="H137" s="10"/>
      <c r="I137" s="10"/>
      <c r="J137" s="10"/>
      <c r="K137" s="9"/>
    </row>
    <row r="138" spans="1:11">
      <c r="A138" t="s">
        <v>405</v>
      </c>
      <c r="B138" s="10">
        <f>H128-D16</f>
        <v>0</v>
      </c>
      <c r="C138" s="10"/>
      <c r="D138" s="9"/>
      <c r="E138" s="10"/>
      <c r="F138" s="10"/>
      <c r="G138" s="10"/>
      <c r="H138" s="10"/>
      <c r="I138" s="10"/>
      <c r="J138" s="10"/>
      <c r="K138" s="9"/>
    </row>
    <row r="139" spans="1:11">
      <c r="A139" t="s">
        <v>68</v>
      </c>
      <c r="B139" s="10">
        <f>H129-E16</f>
        <v>0</v>
      </c>
      <c r="C139" s="10"/>
      <c r="D139" s="9"/>
      <c r="E139" s="10"/>
      <c r="F139" s="10"/>
      <c r="G139" s="10"/>
      <c r="H139" s="10"/>
      <c r="I139" s="10"/>
      <c r="J139" s="10"/>
      <c r="K139" s="9"/>
    </row>
    <row r="140" spans="1:11">
      <c r="B140" s="8"/>
      <c r="C140" s="10"/>
      <c r="D140" s="9"/>
      <c r="E140" s="10"/>
      <c r="F140" s="10"/>
      <c r="G140" s="10"/>
      <c r="H140" s="10"/>
      <c r="I140" s="10"/>
      <c r="J140" s="10"/>
      <c r="K140" s="9"/>
    </row>
    <row r="141" spans="1:11">
      <c r="A141" t="s">
        <v>406</v>
      </c>
      <c r="B141" s="10">
        <f>J127-C18</f>
        <v>0</v>
      </c>
      <c r="C141" s="10"/>
      <c r="D141" s="9"/>
      <c r="E141" s="10"/>
      <c r="F141" s="10"/>
      <c r="G141" s="10"/>
      <c r="H141" s="10"/>
      <c r="I141" s="10"/>
      <c r="J141" s="10"/>
      <c r="K141" s="9"/>
    </row>
    <row r="142" spans="1:11">
      <c r="A142" t="s">
        <v>407</v>
      </c>
      <c r="B142" s="10">
        <f>J128-D18</f>
        <v>0</v>
      </c>
      <c r="C142" s="10"/>
      <c r="D142" s="9"/>
      <c r="E142" s="10"/>
      <c r="F142" s="10"/>
      <c r="G142" s="10"/>
      <c r="H142" s="10"/>
      <c r="I142" s="10"/>
      <c r="J142" s="10"/>
      <c r="K142" s="9"/>
    </row>
    <row r="143" spans="1:11">
      <c r="A143" t="s">
        <v>408</v>
      </c>
      <c r="B143" s="10">
        <f>J129-E18</f>
        <v>0</v>
      </c>
      <c r="C143" s="10"/>
      <c r="D143" s="9"/>
      <c r="E143" s="10"/>
      <c r="F143" s="10"/>
      <c r="G143" s="10"/>
      <c r="H143" s="10"/>
      <c r="I143" s="10"/>
      <c r="J143" s="10"/>
      <c r="K143" s="9"/>
    </row>
    <row r="144" spans="1:11">
      <c r="B144" s="10"/>
      <c r="C144" s="10"/>
      <c r="D144" s="9"/>
      <c r="E144" s="10"/>
      <c r="F144" s="10"/>
      <c r="G144" s="10"/>
      <c r="H144" s="10"/>
      <c r="I144" s="10"/>
      <c r="J144" s="10"/>
      <c r="K144" s="9"/>
    </row>
    <row r="145" spans="1:11">
      <c r="B145" s="10"/>
      <c r="C145" s="10"/>
      <c r="D145" s="9"/>
      <c r="E145" s="10"/>
      <c r="F145" s="10"/>
      <c r="G145" s="10"/>
      <c r="H145" s="10"/>
      <c r="I145" s="10"/>
      <c r="J145" s="10"/>
      <c r="K145" s="9"/>
    </row>
    <row r="146" spans="1:11">
      <c r="A146" s="40" t="s">
        <v>409</v>
      </c>
      <c r="B146" s="40"/>
      <c r="C146" s="40"/>
      <c r="D146" s="40"/>
      <c r="E146" s="40"/>
      <c r="F146" s="10"/>
      <c r="G146" s="10"/>
      <c r="H146" s="10"/>
      <c r="I146" s="10"/>
      <c r="J146" s="10"/>
      <c r="K146" s="9"/>
    </row>
    <row r="147" spans="1:11">
      <c r="B147" s="10"/>
      <c r="C147" s="10"/>
      <c r="D147" s="9"/>
      <c r="E147" s="10"/>
      <c r="F147" s="10"/>
      <c r="G147" s="10"/>
      <c r="H147" s="10"/>
      <c r="I147" s="10"/>
      <c r="J147" s="10"/>
      <c r="K147" s="9"/>
    </row>
    <row r="148" spans="1:11">
      <c r="A148" t="s">
        <v>32</v>
      </c>
      <c r="B148" s="10" t="s">
        <v>60</v>
      </c>
      <c r="C148" s="10" t="s">
        <v>33</v>
      </c>
      <c r="D148" s="9" t="s">
        <v>34</v>
      </c>
      <c r="E148" s="10" t="s">
        <v>35</v>
      </c>
      <c r="F148" s="10"/>
      <c r="G148" s="10"/>
      <c r="H148" s="10"/>
      <c r="I148" s="10"/>
      <c r="J148" s="10"/>
      <c r="K148" s="9"/>
    </row>
    <row r="149" spans="1:11">
      <c r="A149" t="s">
        <v>410</v>
      </c>
      <c r="B149" s="10">
        <f>'Headcount Plan'!B71</f>
        <v>5651520</v>
      </c>
      <c r="C149" s="10">
        <f>'Headcount Plan'!C71</f>
        <v>6171580.7999999989</v>
      </c>
      <c r="D149" s="10">
        <f>'Headcount Plan'!D71</f>
        <v>6721122.743999999</v>
      </c>
      <c r="E149" s="10">
        <f>'Headcount Plan'!E71</f>
        <v>7301572.437599997</v>
      </c>
      <c r="F149" s="10"/>
      <c r="G149" s="10"/>
      <c r="H149" s="10"/>
      <c r="I149" s="10"/>
      <c r="J149" s="10"/>
      <c r="K149" s="9"/>
    </row>
    <row r="150" spans="1:11">
      <c r="A150" t="s">
        <v>46</v>
      </c>
      <c r="B150" s="12">
        <f>'Headcount Plan'!B12</f>
        <v>92</v>
      </c>
      <c r="C150" s="12">
        <f>'Headcount Plan'!C12</f>
        <v>97</v>
      </c>
      <c r="D150" s="12">
        <f>'Headcount Plan'!D12</f>
        <v>102</v>
      </c>
      <c r="E150" s="12">
        <f>'Headcount Plan'!E12</f>
        <v>107</v>
      </c>
      <c r="F150" s="10"/>
      <c r="G150" s="10"/>
      <c r="H150" s="10"/>
      <c r="I150" s="10"/>
      <c r="J150" s="10"/>
      <c r="K150" s="9"/>
    </row>
    <row r="151" spans="1:11">
      <c r="A151" t="s">
        <v>411</v>
      </c>
      <c r="B151" s="10"/>
      <c r="C151" s="10">
        <f>'Headcount Plan'!C76</f>
        <v>54100.011766283147</v>
      </c>
      <c r="D151" s="10">
        <f>'Headcount Plan'!D76</f>
        <v>55505.823283436483</v>
      </c>
      <c r="E151" s="10">
        <f>'Headcount Plan'!E76</f>
        <v>57085.337012535718</v>
      </c>
      <c r="F151" s="10"/>
      <c r="G151" s="10"/>
      <c r="H151" s="10"/>
      <c r="I151" s="10"/>
      <c r="J151" s="10"/>
      <c r="K151" s="9"/>
    </row>
    <row r="152" spans="1:11">
      <c r="A152" t="s">
        <v>412</v>
      </c>
      <c r="B152" s="9">
        <f>'Headcount Plan'!B74</f>
        <v>1.3523996658800945</v>
      </c>
      <c r="C152" s="9">
        <f>'Headcount Plan'!C74</f>
        <v>1.1760541680611933</v>
      </c>
      <c r="D152" s="9">
        <f>'Headcount Plan'!D74</f>
        <v>1.1871431921442623</v>
      </c>
      <c r="E152" s="9">
        <f>'Headcount Plan'!E74</f>
        <v>1.1953856859764214</v>
      </c>
      <c r="F152" s="10"/>
      <c r="G152" s="10"/>
      <c r="H152" s="10"/>
      <c r="I152" s="10"/>
      <c r="J152" s="10"/>
      <c r="K152" s="9"/>
    </row>
    <row r="153" spans="1:11">
      <c r="B153" s="9"/>
      <c r="C153" s="9"/>
      <c r="D153" s="9"/>
      <c r="E153" s="9"/>
      <c r="F153" s="10"/>
      <c r="G153" s="10"/>
      <c r="H153" s="10"/>
      <c r="I153" s="10"/>
      <c r="J153" s="10"/>
      <c r="K153" s="9"/>
    </row>
    <row r="154" spans="1:11">
      <c r="B154" s="9"/>
      <c r="C154" s="9"/>
      <c r="D154" s="9"/>
      <c r="E154" s="9"/>
      <c r="F154" s="10"/>
      <c r="G154" s="10"/>
      <c r="H154" s="10"/>
      <c r="I154" s="10"/>
      <c r="J154" s="10"/>
      <c r="K154" s="9"/>
    </row>
    <row r="155" spans="1:11">
      <c r="A155" s="40" t="s">
        <v>413</v>
      </c>
      <c r="B155" s="40"/>
      <c r="C155" s="40"/>
      <c r="D155" s="40"/>
      <c r="E155" s="40"/>
      <c r="F155" s="10"/>
      <c r="G155" s="10"/>
      <c r="H155" s="10"/>
      <c r="I155" s="10"/>
      <c r="J155" s="10"/>
      <c r="K155" s="9"/>
    </row>
    <row r="156" spans="1:11">
      <c r="B156" s="9"/>
      <c r="C156" s="9"/>
      <c r="D156" s="9"/>
      <c r="E156" s="9"/>
      <c r="F156" s="10"/>
      <c r="G156" s="10"/>
      <c r="H156" s="10"/>
      <c r="I156" s="10"/>
      <c r="J156" s="10"/>
      <c r="K156" s="9"/>
    </row>
    <row r="157" spans="1:11">
      <c r="A157" t="s">
        <v>32</v>
      </c>
      <c r="B157" s="9" t="s">
        <v>60</v>
      </c>
      <c r="C157" s="9" t="s">
        <v>33</v>
      </c>
      <c r="D157" s="9" t="s">
        <v>34</v>
      </c>
      <c r="E157" s="9" t="s">
        <v>35</v>
      </c>
      <c r="F157" s="10"/>
      <c r="G157" s="10"/>
      <c r="H157" s="10"/>
      <c r="I157" s="10"/>
      <c r="J157" s="10"/>
      <c r="K157" s="9"/>
    </row>
    <row r="158" spans="1:11">
      <c r="A158" t="s">
        <v>414</v>
      </c>
      <c r="B158" s="10">
        <f>'CapEx Plan'!B12</f>
        <v>410000</v>
      </c>
      <c r="C158" s="10">
        <f>'CapEx Plan'!C12</f>
        <v>430500</v>
      </c>
      <c r="D158" s="10">
        <f>'CapEx Plan'!D12</f>
        <v>452025</v>
      </c>
      <c r="E158" s="10">
        <f>'CapEx Plan'!E12</f>
        <v>474626.25</v>
      </c>
      <c r="F158" s="10"/>
      <c r="G158" s="10"/>
      <c r="H158" s="10"/>
      <c r="I158" s="10"/>
      <c r="J158" s="10"/>
      <c r="K158" s="9"/>
    </row>
    <row r="159" spans="1:11">
      <c r="A159" t="s">
        <v>415</v>
      </c>
      <c r="B159" s="10">
        <f>'CapEx Plan'!B33</f>
        <v>82000</v>
      </c>
      <c r="C159" s="10">
        <f>'CapEx Plan'!C33</f>
        <v>168100</v>
      </c>
      <c r="D159" s="10">
        <f>'CapEx Plan'!D33</f>
        <v>258505</v>
      </c>
      <c r="E159" s="10">
        <f>'CapEx Plan'!E33</f>
        <v>353430.25</v>
      </c>
      <c r="F159" s="10"/>
      <c r="G159" s="10"/>
      <c r="H159" s="10"/>
      <c r="I159" s="10"/>
      <c r="J159" s="10"/>
      <c r="K159" s="9"/>
    </row>
    <row r="160" spans="1:11">
      <c r="A160" t="s">
        <v>416</v>
      </c>
      <c r="B160" s="9">
        <f>'CapEx Plan'!B16</f>
        <v>8.4291617838605476E-2</v>
      </c>
      <c r="C160" s="9">
        <f>'CapEx Plan'!C16</f>
        <v>8.2035921712366427E-2</v>
      </c>
      <c r="D160" s="9">
        <f>'CapEx Plan'!D16</f>
        <v>7.984058941760197E-2</v>
      </c>
      <c r="E160" s="9">
        <f>'CapEx Plan'!E16</f>
        <v>7.770400558063302E-2</v>
      </c>
      <c r="F160" s="10"/>
      <c r="G160" s="10"/>
      <c r="H160" s="10"/>
      <c r="I160" s="10"/>
      <c r="J160" s="10"/>
      <c r="K160" s="9"/>
    </row>
    <row r="161" spans="1:11">
      <c r="B161" s="9"/>
      <c r="C161" s="9"/>
      <c r="D161" s="9"/>
      <c r="E161" s="9"/>
      <c r="F161" s="10"/>
      <c r="G161" s="10"/>
      <c r="H161" s="10"/>
      <c r="I161" s="10"/>
      <c r="J161" s="10"/>
      <c r="K161" s="9"/>
    </row>
    <row r="162" spans="1:11">
      <c r="B162" s="9"/>
      <c r="C162" s="9"/>
      <c r="D162" s="9"/>
      <c r="E162" s="9"/>
      <c r="F162" s="10"/>
      <c r="G162" s="10"/>
      <c r="H162" s="10"/>
      <c r="I162" s="10"/>
      <c r="J162" s="10"/>
      <c r="K162" s="9"/>
    </row>
    <row r="163" spans="1:11">
      <c r="B163" s="9"/>
      <c r="C163" s="9"/>
      <c r="D163" s="9"/>
      <c r="E163" s="9"/>
      <c r="F163" s="10"/>
      <c r="G163" s="10"/>
      <c r="H163" s="10"/>
      <c r="I163" s="10"/>
      <c r="J163" s="10"/>
      <c r="K163" s="9"/>
    </row>
    <row r="164" spans="1:11">
      <c r="A164" s="40" t="s">
        <v>417</v>
      </c>
      <c r="B164" s="40"/>
      <c r="C164" s="40"/>
      <c r="D164" s="40"/>
      <c r="E164" s="40"/>
      <c r="F164" s="10"/>
      <c r="G164" s="10"/>
      <c r="H164" s="10"/>
      <c r="I164" s="10"/>
      <c r="J164" s="10"/>
      <c r="K164" s="9"/>
    </row>
    <row r="165" spans="1:11">
      <c r="B165" s="9"/>
      <c r="C165" s="9"/>
      <c r="D165" s="9"/>
      <c r="E165" s="9"/>
      <c r="F165" s="10"/>
      <c r="G165" s="10"/>
      <c r="H165" s="10"/>
      <c r="I165" s="10"/>
      <c r="J165" s="10"/>
      <c r="K165" s="9"/>
    </row>
    <row r="166" spans="1:11">
      <c r="A166" t="s">
        <v>32</v>
      </c>
      <c r="B166" s="9" t="s">
        <v>60</v>
      </c>
      <c r="C166" s="9" t="s">
        <v>33</v>
      </c>
      <c r="D166" s="9" t="s">
        <v>34</v>
      </c>
      <c r="E166" s="9" t="s">
        <v>35</v>
      </c>
      <c r="F166" s="10"/>
      <c r="G166" s="10"/>
      <c r="H166" s="10"/>
      <c r="I166" s="10"/>
      <c r="J166" s="10"/>
      <c r="K166" s="9"/>
    </row>
    <row r="167" spans="1:11">
      <c r="A167" t="s">
        <v>418</v>
      </c>
      <c r="B167" s="10">
        <f>'Cash Flow Plan'!B11</f>
        <v>1099080.6999999993</v>
      </c>
      <c r="C167" s="10">
        <f>'Cash Flow Plan'!C11</f>
        <v>1294295.7638611554</v>
      </c>
      <c r="D167" s="10">
        <f>'Cash Flow Plan'!D11</f>
        <v>1503867.2255878109</v>
      </c>
      <c r="E167" s="10">
        <f>'Cash Flow Plan'!E11</f>
        <v>1728875.3955748254</v>
      </c>
      <c r="F167" s="10"/>
      <c r="G167" s="10"/>
      <c r="H167" s="10"/>
      <c r="I167" s="10"/>
      <c r="J167" s="10"/>
      <c r="K167" s="9"/>
    </row>
    <row r="168" spans="1:11">
      <c r="A168" t="s">
        <v>44</v>
      </c>
      <c r="B168" s="10">
        <f>'Cash Flow Plan'!B14</f>
        <v>689080.69999999925</v>
      </c>
      <c r="C168" s="10">
        <f>'Cash Flow Plan'!C14</f>
        <v>863795.76386115537</v>
      </c>
      <c r="D168" s="10">
        <f>'Cash Flow Plan'!D14</f>
        <v>1051842.2255878109</v>
      </c>
      <c r="E168" s="10">
        <f>'Cash Flow Plan'!E14</f>
        <v>1254249.1455748254</v>
      </c>
      <c r="F168" s="10"/>
      <c r="G168" s="10"/>
      <c r="H168" s="10"/>
      <c r="I168" s="10"/>
      <c r="J168" s="10"/>
      <c r="K168" s="9"/>
    </row>
    <row r="169" spans="1:11">
      <c r="A169" t="s">
        <v>45</v>
      </c>
      <c r="B169" s="10">
        <f>'Cash Flow Plan'!B24</f>
        <v>1689080.6999999993</v>
      </c>
      <c r="C169" s="10">
        <f>'Cash Flow Plan'!C24</f>
        <v>2552876.4638611544</v>
      </c>
      <c r="D169" s="10">
        <f>'Cash Flow Plan'!D24</f>
        <v>3604718.6894489652</v>
      </c>
      <c r="E169" s="10">
        <f>'Cash Flow Plan'!E24</f>
        <v>4858967.8350237906</v>
      </c>
      <c r="F169" s="10"/>
      <c r="G169" s="10"/>
      <c r="H169" s="10"/>
      <c r="I169" s="10"/>
      <c r="J169" s="10"/>
      <c r="K169" s="9"/>
    </row>
    <row r="170" spans="1:11">
      <c r="B170" s="9"/>
      <c r="C170" s="9"/>
      <c r="D170" s="9"/>
      <c r="E170" s="9"/>
      <c r="F170" s="10"/>
      <c r="G170" s="10"/>
      <c r="H170" s="10"/>
      <c r="I170" s="10"/>
      <c r="J170" s="10"/>
      <c r="K170" s="9"/>
    </row>
    <row r="171" spans="1:11">
      <c r="B171" s="9"/>
      <c r="C171" s="9"/>
      <c r="D171" s="9"/>
      <c r="E171" s="9"/>
      <c r="F171" s="10"/>
      <c r="G171" s="10"/>
      <c r="H171" s="10"/>
      <c r="I171" s="10"/>
      <c r="J171" s="10"/>
      <c r="K171" s="9"/>
    </row>
    <row r="172" spans="1:11">
      <c r="A172" s="40" t="s">
        <v>419</v>
      </c>
      <c r="B172" s="40"/>
      <c r="C172" s="40"/>
      <c r="D172" s="40"/>
      <c r="E172" s="9"/>
      <c r="F172" s="10"/>
      <c r="G172" s="10"/>
      <c r="H172" s="10"/>
      <c r="I172" s="10"/>
      <c r="J172" s="10"/>
      <c r="K172" s="9"/>
    </row>
    <row r="173" spans="1:11">
      <c r="B173" s="9"/>
      <c r="C173" s="9"/>
      <c r="D173" s="9"/>
      <c r="E173" s="9"/>
      <c r="F173" s="10"/>
      <c r="G173" s="10"/>
      <c r="H173" s="10"/>
      <c r="I173" s="10"/>
      <c r="J173" s="10"/>
      <c r="K173" s="9"/>
    </row>
    <row r="174" spans="1:11">
      <c r="A174" t="s">
        <v>420</v>
      </c>
      <c r="B174" s="10">
        <f>'Cash Flow Plan'!C14</f>
        <v>863795.76386115537</v>
      </c>
      <c r="C174" s="10">
        <f>C168</f>
        <v>863795.76386115537</v>
      </c>
      <c r="D174" s="9" t="str">
        <f>IF(ABS(B174-C174)&lt;1,"PASS","CHECK")</f>
        <v>PASS</v>
      </c>
      <c r="E174" s="9"/>
      <c r="F174" s="10"/>
      <c r="G174" s="10"/>
      <c r="H174" s="10"/>
      <c r="I174" s="10"/>
      <c r="J174" s="10"/>
      <c r="K174" s="9"/>
    </row>
    <row r="175" spans="1:11">
      <c r="A175" t="s">
        <v>421</v>
      </c>
      <c r="B175" s="10">
        <f>'Cash Flow Plan'!D14</f>
        <v>1051842.2255878109</v>
      </c>
      <c r="C175" s="10">
        <f>D168</f>
        <v>1051842.2255878109</v>
      </c>
      <c r="D175" s="9" t="str">
        <f>IF(ABS(B175-C175)&lt;1,"PASS","CHECK")</f>
        <v>PASS</v>
      </c>
      <c r="E175" s="9"/>
      <c r="F175" s="10"/>
      <c r="G175" s="10"/>
      <c r="H175" s="10"/>
      <c r="I175" s="10"/>
      <c r="J175" s="10"/>
      <c r="K175" s="9"/>
    </row>
    <row r="176" spans="1:11">
      <c r="A176" t="s">
        <v>69</v>
      </c>
      <c r="B176" s="10">
        <f>'Cash Flow Plan'!E14</f>
        <v>1254249.1455748254</v>
      </c>
      <c r="C176" s="10">
        <f>E168</f>
        <v>1254249.1455748254</v>
      </c>
      <c r="D176" s="9" t="str">
        <f>IF(ABS(B176-C176)&lt;1,"PASS","CHECK")</f>
        <v>PASS</v>
      </c>
      <c r="E176" s="9"/>
      <c r="F176" s="10"/>
      <c r="G176" s="10"/>
      <c r="H176" s="10"/>
      <c r="I176" s="10"/>
      <c r="J176" s="10"/>
      <c r="K176" s="9"/>
    </row>
    <row r="177" spans="1:11">
      <c r="B177" s="9"/>
      <c r="C177" s="9"/>
      <c r="D177" s="9"/>
      <c r="E177" s="9"/>
      <c r="F177" s="10"/>
      <c r="G177" s="10"/>
      <c r="H177" s="10"/>
      <c r="I177" s="10"/>
      <c r="J177" s="10"/>
      <c r="K177" s="9"/>
    </row>
    <row r="178" spans="1:11">
      <c r="B178" s="9"/>
      <c r="C178" s="9"/>
      <c r="D178" s="9"/>
      <c r="E178" s="9"/>
      <c r="F178" s="10"/>
      <c r="G178" s="10"/>
      <c r="H178" s="10"/>
      <c r="I178" s="10"/>
      <c r="J178" s="10"/>
      <c r="K178" s="9"/>
    </row>
    <row r="179" spans="1:11">
      <c r="A179" s="40" t="s">
        <v>422</v>
      </c>
      <c r="B179" s="40"/>
      <c r="C179" s="40"/>
      <c r="D179" s="40"/>
      <c r="E179" s="9"/>
      <c r="F179" s="10"/>
      <c r="G179" s="10"/>
      <c r="H179" s="10"/>
      <c r="I179" s="10"/>
      <c r="J179" s="10"/>
      <c r="K179" s="9"/>
    </row>
    <row r="180" spans="1:11">
      <c r="B180" s="9"/>
      <c r="C180" s="9"/>
      <c r="D180" s="9"/>
      <c r="E180" s="9"/>
      <c r="F180" s="10"/>
      <c r="G180" s="10"/>
      <c r="H180" s="10"/>
      <c r="I180" s="10"/>
      <c r="J180" s="10"/>
      <c r="K180" s="9"/>
    </row>
    <row r="181" spans="1:11">
      <c r="A181" t="s">
        <v>101</v>
      </c>
      <c r="B181" s="10">
        <f>'CapEx Plan'!C12</f>
        <v>430500</v>
      </c>
      <c r="C181" s="10">
        <f>C158</f>
        <v>430500</v>
      </c>
      <c r="D181" s="9" t="str">
        <f>IF(ABS(B181-C181)&lt;1,"PASS","CHECK")</f>
        <v>PASS</v>
      </c>
      <c r="E181" s="9"/>
      <c r="F181" s="10"/>
      <c r="G181" s="10"/>
      <c r="H181" s="10"/>
      <c r="I181" s="10"/>
      <c r="J181" s="10"/>
      <c r="K181" s="9"/>
    </row>
    <row r="182" spans="1:11">
      <c r="A182" t="s">
        <v>102</v>
      </c>
      <c r="B182" s="10">
        <f>'CapEx Plan'!D12</f>
        <v>452025</v>
      </c>
      <c r="C182" s="10">
        <f>D158</f>
        <v>452025</v>
      </c>
      <c r="D182" s="9" t="str">
        <f>IF(ABS(B182-C182)&lt;1,"PASS","CHECK")</f>
        <v>PASS</v>
      </c>
      <c r="E182" s="9"/>
      <c r="F182" s="10"/>
      <c r="G182" s="10"/>
      <c r="H182" s="10"/>
      <c r="I182" s="10"/>
      <c r="J182" s="10"/>
      <c r="K182" s="9"/>
    </row>
    <row r="183" spans="1:11">
      <c r="A183" t="s">
        <v>103</v>
      </c>
      <c r="B183" s="10">
        <f>'CapEx Plan'!E12</f>
        <v>474626.25</v>
      </c>
      <c r="C183" s="10">
        <f>E158</f>
        <v>474626.25</v>
      </c>
      <c r="D183" s="9" t="str">
        <f>IF(ABS(B183-C183)&lt;1,"PASS","CHECK")</f>
        <v>PASS</v>
      </c>
      <c r="E183" s="9"/>
      <c r="F183" s="10"/>
      <c r="G183" s="10"/>
      <c r="H183" s="10"/>
      <c r="I183" s="10"/>
      <c r="J183" s="10"/>
      <c r="K183" s="9"/>
    </row>
    <row r="184" spans="1:11">
      <c r="B184" s="10"/>
      <c r="C184" s="10"/>
      <c r="D184" s="9"/>
      <c r="E184" s="10"/>
      <c r="F184" s="10"/>
      <c r="G184" s="10"/>
      <c r="H184" s="10"/>
      <c r="I184" s="10"/>
      <c r="J184" s="10"/>
      <c r="K184" s="9"/>
    </row>
    <row r="185" spans="1:11">
      <c r="A185" s="40" t="s">
        <v>423</v>
      </c>
      <c r="B185" s="40"/>
      <c r="C185" s="40"/>
      <c r="D185" s="40"/>
      <c r="E185" s="10"/>
      <c r="F185" s="10"/>
      <c r="G185" s="10"/>
      <c r="H185" s="10"/>
      <c r="I185" s="10"/>
      <c r="J185" s="10"/>
      <c r="K185" s="9"/>
    </row>
    <row r="186" spans="1:11">
      <c r="B186" s="10"/>
      <c r="C186" s="10"/>
      <c r="D186" s="9"/>
      <c r="E186" s="10"/>
      <c r="F186" s="10"/>
      <c r="G186" s="10"/>
      <c r="H186" s="10"/>
      <c r="I186" s="10"/>
      <c r="J186" s="10"/>
      <c r="K186" s="9"/>
    </row>
    <row r="187" spans="1:11">
      <c r="A187" t="s">
        <v>104</v>
      </c>
      <c r="B187" s="10">
        <f>'Headcount Plan'!C71</f>
        <v>6171580.7999999989</v>
      </c>
      <c r="C187" s="10">
        <f>C149</f>
        <v>6171580.7999999989</v>
      </c>
      <c r="D187" s="9" t="str">
        <f>IF(ABS(B187-C187)&lt;1,"PASS","CHECK")</f>
        <v>PASS</v>
      </c>
      <c r="E187" s="10"/>
      <c r="F187" s="10"/>
      <c r="G187" s="10"/>
      <c r="H187" s="10"/>
      <c r="I187" s="10"/>
      <c r="J187" s="10"/>
      <c r="K187" s="9"/>
    </row>
    <row r="188" spans="1:11">
      <c r="A188" t="s">
        <v>105</v>
      </c>
      <c r="B188" s="10">
        <f>'Headcount Plan'!D71</f>
        <v>6721122.743999999</v>
      </c>
      <c r="C188" s="10">
        <f>D149</f>
        <v>6721122.743999999</v>
      </c>
      <c r="D188" s="9" t="str">
        <f>IF(ABS(B188-C188)&lt;1,"PASS","CHECK")</f>
        <v>PASS</v>
      </c>
      <c r="E188" s="10"/>
      <c r="F188" s="10"/>
      <c r="G188" s="10"/>
      <c r="H188" s="10"/>
      <c r="I188" s="10"/>
      <c r="J188" s="10"/>
      <c r="K188" s="9"/>
    </row>
    <row r="189" spans="1:11">
      <c r="A189" t="s">
        <v>106</v>
      </c>
      <c r="B189" s="10">
        <f>'Headcount Plan'!E71</f>
        <v>7301572.437599997</v>
      </c>
      <c r="C189" s="10">
        <f>E149</f>
        <v>7301572.437599997</v>
      </c>
      <c r="D189" s="9" t="str">
        <f>IF(ABS(B189-C189)&lt;1,"PASS","CHECK")</f>
        <v>PASS</v>
      </c>
      <c r="E189" s="10"/>
      <c r="F189" s="10"/>
      <c r="G189" s="10"/>
      <c r="H189" s="10"/>
      <c r="I189" s="10"/>
      <c r="J189" s="10"/>
      <c r="K189" s="9"/>
    </row>
    <row r="190" spans="1:11">
      <c r="B190" s="8"/>
      <c r="C190" s="10"/>
      <c r="D190" s="9"/>
      <c r="E190" s="10"/>
      <c r="F190" s="10"/>
      <c r="G190" s="10"/>
      <c r="H190" s="10"/>
      <c r="I190" s="10"/>
      <c r="J190" s="10"/>
      <c r="K190" s="9"/>
    </row>
    <row r="191" spans="1:11">
      <c r="A191" s="40" t="s">
        <v>424</v>
      </c>
      <c r="B191" s="40"/>
      <c r="C191" s="40"/>
      <c r="D191" s="40"/>
      <c r="E191" s="10"/>
      <c r="F191" s="10"/>
      <c r="G191" s="10"/>
      <c r="H191" s="10"/>
      <c r="I191" s="10"/>
      <c r="J191" s="10"/>
      <c r="K191" s="9"/>
    </row>
    <row r="192" spans="1:11">
      <c r="B192" s="8"/>
      <c r="C192" s="10"/>
      <c r="D192" s="9"/>
      <c r="E192" s="10"/>
      <c r="F192" s="10"/>
      <c r="G192" s="10"/>
      <c r="H192" s="10"/>
      <c r="I192" s="10"/>
      <c r="J192" s="10"/>
      <c r="K192" s="9"/>
    </row>
    <row r="193" spans="1:11">
      <c r="A193" t="s">
        <v>425</v>
      </c>
      <c r="B193" s="8" t="s">
        <v>91</v>
      </c>
      <c r="C193" s="10" t="s">
        <v>92</v>
      </c>
      <c r="D193" s="9" t="s">
        <v>93</v>
      </c>
      <c r="E193" s="10"/>
      <c r="F193" s="10"/>
      <c r="G193" s="10"/>
      <c r="H193" s="10"/>
      <c r="I193" s="10"/>
      <c r="J193" s="10"/>
      <c r="K193" s="9"/>
    </row>
    <row r="194" spans="1:11">
      <c r="A194" t="s">
        <v>336</v>
      </c>
      <c r="B194" s="10">
        <f>'Historical Trends'!D5</f>
        <v>4864066.09</v>
      </c>
      <c r="C194" s="10">
        <f>B10</f>
        <v>4864066.09</v>
      </c>
      <c r="D194" s="9" t="str">
        <f>IF(ABS(B194-C194)&lt;1,"PASS","CHECK")</f>
        <v>PASS</v>
      </c>
      <c r="E194" s="10"/>
      <c r="F194" s="10"/>
      <c r="G194" s="10"/>
      <c r="H194" s="10"/>
      <c r="I194" s="10"/>
      <c r="J194" s="10"/>
      <c r="K194" s="9"/>
    </row>
    <row r="195" spans="1:11">
      <c r="A195" t="s">
        <v>390</v>
      </c>
      <c r="B195" s="10">
        <f>C10</f>
        <v>5247701.1413294654</v>
      </c>
      <c r="C195" s="10">
        <f>C127</f>
        <v>5247701.1413294654</v>
      </c>
      <c r="D195" s="9" t="str">
        <f>IF(ABS(B195-C195)&lt;1,"PASS","CHECK")</f>
        <v>PASS</v>
      </c>
      <c r="E195" s="10"/>
      <c r="F195" s="10"/>
      <c r="G195" s="10"/>
      <c r="H195" s="10"/>
      <c r="I195" s="10"/>
      <c r="J195" s="10"/>
      <c r="K195" s="9"/>
    </row>
    <row r="196" spans="1:11">
      <c r="A196" t="s">
        <v>391</v>
      </c>
      <c r="B196" s="10">
        <f>D10</f>
        <v>5661593.9749105209</v>
      </c>
      <c r="C196" s="10">
        <f>C128</f>
        <v>5661593.97491052</v>
      </c>
      <c r="D196" s="9" t="str">
        <f>IF(ABS(B196-C196)&lt;1,"PASS","CHECK")</f>
        <v>PASS</v>
      </c>
      <c r="E196" s="10"/>
      <c r="F196" s="10"/>
      <c r="G196" s="10"/>
      <c r="H196" s="10"/>
      <c r="I196" s="10"/>
      <c r="J196" s="10"/>
      <c r="K196" s="9"/>
    </row>
    <row r="197" spans="1:11">
      <c r="A197" t="s">
        <v>67</v>
      </c>
      <c r="B197" s="10">
        <f>E10</f>
        <v>6108131.0603413219</v>
      </c>
      <c r="C197" s="10">
        <f>C129</f>
        <v>6108131.0603413209</v>
      </c>
      <c r="D197" s="9" t="str">
        <f>IF(ABS(B197-C197)&lt;1,"PASS","CHECK")</f>
        <v>PASS</v>
      </c>
      <c r="E197" s="10"/>
      <c r="F197" s="10"/>
      <c r="G197" s="10"/>
      <c r="H197" s="10"/>
      <c r="I197" s="10"/>
      <c r="J197" s="10"/>
      <c r="K197" s="9"/>
    </row>
    <row r="198" spans="1:11">
      <c r="A198" t="s">
        <v>426</v>
      </c>
      <c r="B198" s="10">
        <f>C12</f>
        <v>2177795.9549333109</v>
      </c>
      <c r="C198" s="10">
        <f>E127</f>
        <v>2177795.9549333109</v>
      </c>
      <c r="D198" s="9" t="str">
        <f>IF(ABS(B198-C198)&lt;1,"PASS","CHECK")</f>
        <v>PASS</v>
      </c>
      <c r="E198" s="10"/>
      <c r="F198" s="10"/>
      <c r="G198" s="10"/>
      <c r="H198" s="10"/>
      <c r="I198" s="10"/>
      <c r="J198" s="10"/>
      <c r="K198" s="9"/>
    </row>
    <row r="199" spans="1:11">
      <c r="A199" t="s">
        <v>427</v>
      </c>
      <c r="B199" s="10">
        <f>D12</f>
        <v>2349561.4793931036</v>
      </c>
      <c r="C199" s="10">
        <f>E128</f>
        <v>2349561.4793931036</v>
      </c>
      <c r="D199" s="9" t="str">
        <f>IF(ABS(B199-C199)&lt;1,"PASS","CHECK")</f>
        <v>PASS</v>
      </c>
      <c r="E199" s="10"/>
      <c r="F199" s="10"/>
      <c r="G199" s="10"/>
      <c r="H199" s="10"/>
      <c r="I199" s="10"/>
      <c r="J199" s="10"/>
      <c r="K199" s="9"/>
    </row>
    <row r="200" spans="1:11">
      <c r="A200" t="s">
        <v>428</v>
      </c>
      <c r="B200" s="10">
        <f>E12</f>
        <v>2534874.3682540995</v>
      </c>
      <c r="C200" s="10">
        <f>E129</f>
        <v>2534874.368254099</v>
      </c>
      <c r="D200" s="9" t="str">
        <f>IF(ABS(B200-C200)&lt;1,"PASS","CHECK")</f>
        <v>PASS</v>
      </c>
      <c r="E200" s="10"/>
      <c r="F200" s="10"/>
      <c r="G200" s="10"/>
      <c r="H200" s="10"/>
      <c r="I200" s="10"/>
      <c r="J200" s="10"/>
      <c r="K200" s="9"/>
    </row>
    <row r="201" spans="1:11">
      <c r="A201" t="s">
        <v>429</v>
      </c>
      <c r="B201" s="10">
        <f>C14</f>
        <v>-1051600.1910721555</v>
      </c>
      <c r="C201" s="10">
        <f>G127</f>
        <v>-1051600.1910721557</v>
      </c>
      <c r="D201" s="9" t="str">
        <f>IF(ABS(B201-C201)&lt;1,"PASS","CHECK")</f>
        <v>PASS</v>
      </c>
      <c r="E201" s="10"/>
      <c r="F201" s="10"/>
      <c r="G201" s="10"/>
      <c r="H201" s="10"/>
      <c r="I201" s="10"/>
      <c r="J201" s="10"/>
      <c r="K201" s="9"/>
    </row>
    <row r="202" spans="1:11">
      <c r="A202" t="s">
        <v>430</v>
      </c>
      <c r="B202" s="10">
        <f>D14</f>
        <v>-1104199.2538052928</v>
      </c>
      <c r="C202" s="10">
        <f>G128</f>
        <v>-1104199.2538052928</v>
      </c>
      <c r="D202" s="9" t="str">
        <f>IF(ABS(B202-C202)&lt;1,"PASS","CHECK")</f>
        <v>PASS</v>
      </c>
      <c r="E202" s="10"/>
      <c r="F202" s="10"/>
      <c r="G202" s="10"/>
      <c r="H202" s="10"/>
      <c r="I202" s="10"/>
      <c r="J202" s="10"/>
      <c r="K202" s="9"/>
    </row>
    <row r="203" spans="1:11">
      <c r="A203" t="s">
        <v>431</v>
      </c>
      <c r="B203" s="10">
        <f>E14</f>
        <v>-1159429.2226792742</v>
      </c>
      <c r="C203" s="10">
        <f>G129</f>
        <v>-1159429.2226792742</v>
      </c>
      <c r="D203" s="9" t="str">
        <f>IF(ABS(B203-C203)&lt;1,"PASS","CHECK")</f>
        <v>PASS</v>
      </c>
      <c r="E203" s="10"/>
      <c r="F203" s="10"/>
      <c r="G203" s="10"/>
      <c r="H203" s="10"/>
      <c r="I203" s="10"/>
      <c r="J203" s="10"/>
      <c r="K203" s="9"/>
    </row>
    <row r="204" spans="1:11">
      <c r="A204" t="s">
        <v>404</v>
      </c>
      <c r="B204" s="10">
        <f>C16</f>
        <v>1126195.7638611554</v>
      </c>
      <c r="C204" s="10">
        <f>H127</f>
        <v>1126195.7638611556</v>
      </c>
      <c r="D204" s="9" t="str">
        <f>IF(ABS(B204-C204)&lt;1,"PASS","CHECK")</f>
        <v>PASS</v>
      </c>
      <c r="E204" s="10"/>
      <c r="F204" s="10"/>
      <c r="G204" s="10"/>
      <c r="H204" s="10"/>
      <c r="I204" s="10"/>
      <c r="J204" s="10"/>
      <c r="K204" s="9"/>
    </row>
    <row r="205" spans="1:11">
      <c r="A205" t="s">
        <v>405</v>
      </c>
      <c r="B205" s="10">
        <f>D16</f>
        <v>1245362.2255878109</v>
      </c>
      <c r="C205" s="10">
        <f>H128</f>
        <v>1245362.2255878109</v>
      </c>
      <c r="D205" s="9" t="str">
        <f>IF(ABS(B205-C205)&lt;1,"PASS","CHECK")</f>
        <v>PASS</v>
      </c>
      <c r="E205" s="10"/>
      <c r="F205" s="10"/>
      <c r="G205" s="10"/>
      <c r="H205" s="10"/>
      <c r="I205" s="10"/>
      <c r="J205" s="10"/>
      <c r="K205" s="9"/>
    </row>
    <row r="206" spans="1:11">
      <c r="A206" t="s">
        <v>68</v>
      </c>
      <c r="B206" s="10">
        <f>E16</f>
        <v>1375445.1455748254</v>
      </c>
      <c r="C206" s="10">
        <f>H129</f>
        <v>1375445.1455748251</v>
      </c>
      <c r="D206" s="9" t="str">
        <f>IF(ABS(B206-C206)&lt;1,"PASS","CHECK")</f>
        <v>PASS</v>
      </c>
      <c r="E206" s="10"/>
      <c r="F206" s="10"/>
      <c r="G206" s="10"/>
      <c r="H206" s="10"/>
      <c r="I206" s="10"/>
      <c r="J206" s="10"/>
      <c r="K206" s="9"/>
    </row>
    <row r="207" spans="1:11">
      <c r="A207" t="s">
        <v>406</v>
      </c>
      <c r="B207" s="10">
        <f>C18</f>
        <v>969654.55268445448</v>
      </c>
      <c r="C207" s="10">
        <f>J127</f>
        <v>969654.55268445483</v>
      </c>
      <c r="D207" s="9" t="str">
        <f>IF(ABS(B207-C207)&lt;1,"PASS","CHECK")</f>
        <v>PASS</v>
      </c>
      <c r="E207" s="10"/>
      <c r="F207" s="10"/>
      <c r="G207" s="10"/>
      <c r="H207" s="10"/>
      <c r="I207" s="10"/>
      <c r="J207" s="10"/>
      <c r="K207" s="9"/>
    </row>
    <row r="208" spans="1:11">
      <c r="A208" t="s">
        <v>407</v>
      </c>
      <c r="B208" s="10">
        <f>D18</f>
        <v>1072256.8762311051</v>
      </c>
      <c r="C208" s="10">
        <f>J128</f>
        <v>1072256.8762311051</v>
      </c>
      <c r="D208" s="9" t="str">
        <f>IF(ABS(B208-C208)&lt;1,"PASS","CHECK")</f>
        <v>PASS</v>
      </c>
      <c r="E208" s="10"/>
      <c r="F208" s="10"/>
      <c r="G208" s="10"/>
      <c r="H208" s="10"/>
      <c r="I208" s="10"/>
      <c r="J208" s="10"/>
      <c r="K208" s="9"/>
    </row>
    <row r="209" spans="1:11">
      <c r="A209" t="s">
        <v>408</v>
      </c>
      <c r="B209" s="10">
        <f>E18</f>
        <v>1184258.2703399246</v>
      </c>
      <c r="C209" s="10">
        <f>J129</f>
        <v>1184258.2703399244</v>
      </c>
      <c r="D209" s="9" t="str">
        <f>IF(ABS(B209-C209)&lt;1,"PASS","CHECK")</f>
        <v>PASS</v>
      </c>
      <c r="E209" s="10"/>
      <c r="F209" s="10"/>
      <c r="G209" s="10"/>
      <c r="H209" s="10"/>
      <c r="I209" s="10"/>
      <c r="J209" s="10"/>
      <c r="K209" s="9"/>
    </row>
    <row r="210" spans="1:11">
      <c r="B210" s="8"/>
      <c r="C210" s="10"/>
      <c r="D210" s="9"/>
      <c r="E210" s="10"/>
      <c r="F210" s="10"/>
      <c r="G210" s="10"/>
      <c r="H210" s="10"/>
      <c r="I210" s="10"/>
      <c r="J210" s="10"/>
      <c r="K210" s="9"/>
    </row>
    <row r="211" spans="1:11">
      <c r="A211" t="s">
        <v>432</v>
      </c>
      <c r="B211" s="9">
        <f>SUM(E68:E79)</f>
        <v>1</v>
      </c>
      <c r="C211" s="9">
        <v>1</v>
      </c>
      <c r="D211" s="9" t="str">
        <f>IF(ABS(B211-C211)&lt;0.0001,"PASS","CHECK")</f>
        <v>PASS</v>
      </c>
      <c r="E211" s="10"/>
      <c r="F211" s="10"/>
      <c r="G211" s="10"/>
      <c r="H211" s="10"/>
      <c r="I211" s="10"/>
      <c r="J211" s="10"/>
      <c r="K211" s="9"/>
    </row>
    <row r="212" spans="1:11">
      <c r="A212" t="s">
        <v>433</v>
      </c>
      <c r="B212" s="9">
        <f>SUM(E68:E79)</f>
        <v>1</v>
      </c>
      <c r="C212" s="9">
        <v>1</v>
      </c>
      <c r="D212" s="9" t="str">
        <f>IF(ABS(B212-C212)&lt;0.0001,"PASS","CHECK")</f>
        <v>PASS</v>
      </c>
      <c r="E212" s="10"/>
      <c r="F212" s="10"/>
      <c r="G212" s="10"/>
      <c r="H212" s="10"/>
      <c r="I212" s="10"/>
      <c r="J212" s="10"/>
      <c r="K212" s="9"/>
    </row>
    <row r="213" spans="1:11">
      <c r="A213" s="23" t="s">
        <v>434</v>
      </c>
      <c r="B213" s="23" t="str">
        <f>IF(COUNTIF(D194:D212,"CHECK")=0,"PASS","CHECK MODEL")</f>
        <v>PASS</v>
      </c>
      <c r="D213" t="str">
        <f>IF(AND(B213="PASS",COUNTIF(D174:D176,"CHECK")=0,COUNTIF(D181:D183,"CHECK")=0,COUNTIF(D187:D189,"CHECK")=0),"READY","REVIEW")</f>
        <v>READY</v>
      </c>
      <c r="G213" s="10"/>
    </row>
    <row r="214" spans="1:11">
      <c r="G214" s="10"/>
    </row>
    <row r="215" spans="1:11">
      <c r="A215" s="40" t="s">
        <v>435</v>
      </c>
      <c r="B215" s="40"/>
      <c r="C215" s="40"/>
      <c r="D215" s="40"/>
      <c r="E215" s="40"/>
      <c r="F215" s="40"/>
      <c r="G215" s="10"/>
    </row>
    <row r="217" spans="1:11">
      <c r="A217" t="s">
        <v>333</v>
      </c>
      <c r="B217" s="14" t="s">
        <v>36</v>
      </c>
      <c r="C217" t="s">
        <v>302</v>
      </c>
      <c r="D217" t="s">
        <v>38</v>
      </c>
      <c r="E217" t="s">
        <v>182</v>
      </c>
      <c r="F217" t="s">
        <v>436</v>
      </c>
    </row>
    <row r="218" spans="1:11">
      <c r="A218" t="s">
        <v>215</v>
      </c>
      <c r="B218" s="10">
        <f>C48</f>
        <v>382363.44345770392</v>
      </c>
      <c r="C218" s="9">
        <f>Assumptions!$C$10</f>
        <v>0.41499999643302526</v>
      </c>
      <c r="D218" s="10">
        <f>B218*C218</f>
        <v>158680.82767106639</v>
      </c>
      <c r="E218" s="10">
        <f>-(B218-D218)</f>
        <v>-223682.61578663753</v>
      </c>
      <c r="F218" s="9">
        <f>ABS(E218)/B218</f>
        <v>0.58500000356697468</v>
      </c>
    </row>
    <row r="219" spans="1:11">
      <c r="A219" t="s">
        <v>218</v>
      </c>
      <c r="B219" s="10">
        <f>C49</f>
        <v>366000.46111223643</v>
      </c>
      <c r="C219" s="9">
        <f>Assumptions!$C$10</f>
        <v>0.41499999643302526</v>
      </c>
      <c r="D219" s="10">
        <f>B219*C219</f>
        <v>151890.19005606373</v>
      </c>
      <c r="E219" s="10">
        <f>-(B219-D219)</f>
        <v>-214110.2710561727</v>
      </c>
      <c r="F219" s="9">
        <f>ABS(E219)/B219</f>
        <v>0.58500000356697468</v>
      </c>
    </row>
    <row r="220" spans="1:11">
      <c r="A220" t="s">
        <v>220</v>
      </c>
      <c r="B220" s="10">
        <f>C50</f>
        <v>401586.66986522404</v>
      </c>
      <c r="C220" s="9">
        <f>Assumptions!$C$10</f>
        <v>0.41499999643302526</v>
      </c>
      <c r="D220" s="10">
        <f>B220*C220</f>
        <v>166658.46656161846</v>
      </c>
      <c r="E220" s="10">
        <f>-(B220-D220)</f>
        <v>-234928.20330360558</v>
      </c>
      <c r="F220" s="9">
        <f>ABS(E220)/B220</f>
        <v>0.58500000356697479</v>
      </c>
    </row>
    <row r="221" spans="1:11">
      <c r="A221" t="s">
        <v>222</v>
      </c>
      <c r="B221" s="10">
        <f>C51</f>
        <v>431347.4702974594</v>
      </c>
      <c r="C221" s="9">
        <f>Assumptions!$C$10</f>
        <v>0.41499999643302526</v>
      </c>
      <c r="D221" s="10">
        <f>B221*C221</f>
        <v>179009.19863484011</v>
      </c>
      <c r="E221" s="10">
        <f>-(B221-D221)</f>
        <v>-252338.27166261929</v>
      </c>
      <c r="F221" s="9">
        <f>ABS(E221)/B221</f>
        <v>0.58500000356697479</v>
      </c>
    </row>
    <row r="222" spans="1:11">
      <c r="A222" t="s">
        <v>224</v>
      </c>
      <c r="B222" s="10">
        <f>C52</f>
        <v>451288.63782015326</v>
      </c>
      <c r="C222" s="9">
        <f>Assumptions!$C$10</f>
        <v>0.41499999643302526</v>
      </c>
      <c r="D222" s="10">
        <f>B222*C222</f>
        <v>187284.78308562844</v>
      </c>
      <c r="E222" s="10">
        <f>-(B222-D222)</f>
        <v>-264003.85473452485</v>
      </c>
      <c r="F222" s="9">
        <f>ABS(E222)/B222</f>
        <v>0.58500000356697479</v>
      </c>
    </row>
    <row r="223" spans="1:11">
      <c r="A223" t="s">
        <v>226</v>
      </c>
      <c r="B223" s="10">
        <f>C53</f>
        <v>464201.56986337609</v>
      </c>
      <c r="C223" s="9">
        <f>Assumptions!$C$10</f>
        <v>0.41499999643302526</v>
      </c>
      <c r="D223" s="10">
        <f>B223*C223</f>
        <v>192643.6498375058</v>
      </c>
      <c r="E223" s="10">
        <f>-(B223-D223)</f>
        <v>-271557.92002587032</v>
      </c>
      <c r="F223" s="9">
        <f>ABS(E223)/B223</f>
        <v>0.58500000356697479</v>
      </c>
    </row>
    <row r="224" spans="1:11">
      <c r="A224" t="s">
        <v>228</v>
      </c>
      <c r="B224" s="10">
        <f>C54</f>
        <v>470303.81642487983</v>
      </c>
      <c r="C224" s="9">
        <f>Assumptions!$C$10</f>
        <v>0.41499999643302526</v>
      </c>
      <c r="D224" s="10">
        <f>B224*C224</f>
        <v>195176.0821387633</v>
      </c>
      <c r="E224" s="10">
        <f>-(B224-D224)</f>
        <v>-275127.73428611655</v>
      </c>
      <c r="F224" s="9">
        <f>ABS(E224)/B224</f>
        <v>0.58500000356697479</v>
      </c>
    </row>
    <row r="225" spans="1:7">
      <c r="A225" t="s">
        <v>230</v>
      </c>
      <c r="B225" s="10">
        <f>C55</f>
        <v>458193.85617306997</v>
      </c>
      <c r="C225" s="9">
        <f>Assumptions!$C$10</f>
        <v>0.41499999643302526</v>
      </c>
      <c r="D225" s="10">
        <f>B225*C225</f>
        <v>190150.44867745813</v>
      </c>
      <c r="E225" s="10">
        <f>-(B225-D225)</f>
        <v>-268043.40749561181</v>
      </c>
      <c r="F225" s="9">
        <f>ABS(E225)/B225</f>
        <v>0.58500000356697468</v>
      </c>
    </row>
    <row r="226" spans="1:7">
      <c r="A226" t="s">
        <v>232</v>
      </c>
      <c r="B226" s="10">
        <f>C56</f>
        <v>421959.90907537926</v>
      </c>
      <c r="C226" s="9">
        <f>Assumptions!$C$10</f>
        <v>0.41499999643302526</v>
      </c>
      <c r="D226" s="10">
        <f>B226*C226</f>
        <v>175113.36076116207</v>
      </c>
      <c r="E226" s="10">
        <f>-(B226-D226)</f>
        <v>-246846.54831421719</v>
      </c>
      <c r="F226" s="9">
        <f>ABS(E226)/B226</f>
        <v>0.58500000356697468</v>
      </c>
    </row>
    <row r="227" spans="1:7">
      <c r="A227" t="s">
        <v>234</v>
      </c>
      <c r="B227" s="10">
        <f>C57</f>
        <v>432168.42347170261</v>
      </c>
      <c r="C227" s="9">
        <f>Assumptions!$C$10</f>
        <v>0.41499999643302526</v>
      </c>
      <c r="D227" s="10">
        <f>B227*C227</f>
        <v>179349.89419922273</v>
      </c>
      <c r="E227" s="10">
        <f>-(B227-D227)</f>
        <v>-252818.52927247988</v>
      </c>
      <c r="F227" s="9">
        <f>ABS(E227)/B227</f>
        <v>0.58500000356697479</v>
      </c>
    </row>
    <row r="228" spans="1:7">
      <c r="A228" t="s">
        <v>236</v>
      </c>
      <c r="B228" s="10">
        <f>C58</f>
        <v>463505.67341489077</v>
      </c>
      <c r="C228" s="9">
        <f>Assumptions!$C$10</f>
        <v>0.41499999643302526</v>
      </c>
      <c r="D228" s="10">
        <f>B228*C228</f>
        <v>192354.85281386663</v>
      </c>
      <c r="E228" s="10">
        <f>-(B228-D228)</f>
        <v>-271150.82060102414</v>
      </c>
      <c r="F228" s="9">
        <f>ABS(E228)/B228</f>
        <v>0.58500000356697479</v>
      </c>
    </row>
    <row r="229" spans="1:7">
      <c r="A229" t="s">
        <v>238</v>
      </c>
      <c r="B229" s="10">
        <f>C59</f>
        <v>504781.21035338991</v>
      </c>
      <c r="C229" s="9">
        <f>Assumptions!$C$10</f>
        <v>0.41499999643302526</v>
      </c>
      <c r="D229" s="10">
        <f>B229*C229</f>
        <v>209484.20049611499</v>
      </c>
      <c r="E229" s="10">
        <f>-(B229-D229)</f>
        <v>-295297.00985727494</v>
      </c>
      <c r="F229" s="9">
        <f>ABS(E229)/B229</f>
        <v>0.58500000356697479</v>
      </c>
    </row>
    <row r="230" spans="1:7">
      <c r="A230" t="s">
        <v>344</v>
      </c>
      <c r="B230" s="10">
        <f>SUM(B218:B229)</f>
        <v>5247701.1413294654</v>
      </c>
      <c r="D230" s="10">
        <f>SUM(D218:D229)</f>
        <v>2177795.9549333109</v>
      </c>
      <c r="E230" s="10">
        <f>SUM(E218:E229)</f>
        <v>-3069905.1863961546</v>
      </c>
      <c r="F230" s="9">
        <f>ABS(E230)/B230</f>
        <v>0.58500000356697468</v>
      </c>
    </row>
    <row r="232" spans="1:7">
      <c r="A232" t="s">
        <v>437</v>
      </c>
      <c r="B232" s="10">
        <f>D230-C12</f>
        <v>0</v>
      </c>
    </row>
    <row r="233" spans="1:7">
      <c r="A233" t="s">
        <v>438</v>
      </c>
      <c r="B233" s="10">
        <f>E230-(C10-C12)*-1</f>
        <v>0</v>
      </c>
    </row>
    <row r="236" spans="1:7">
      <c r="A236" s="40" t="s">
        <v>439</v>
      </c>
      <c r="B236" s="40"/>
      <c r="C236" s="40"/>
      <c r="D236" s="40"/>
      <c r="E236" s="40"/>
      <c r="F236" s="40"/>
      <c r="G236" s="40"/>
    </row>
    <row r="238" spans="1:7">
      <c r="A238" t="s">
        <v>333</v>
      </c>
      <c r="B238" t="s">
        <v>40</v>
      </c>
      <c r="C238" t="s">
        <v>440</v>
      </c>
      <c r="D238" t="s">
        <v>441</v>
      </c>
      <c r="E238" t="s">
        <v>442</v>
      </c>
      <c r="F238" t="s">
        <v>41</v>
      </c>
      <c r="G238" t="s">
        <v>42</v>
      </c>
    </row>
    <row r="239" spans="1:7">
      <c r="A239" t="s">
        <v>215</v>
      </c>
      <c r="B239" s="10">
        <f>$C$14*E239</f>
        <v>-79120.765744677599</v>
      </c>
      <c r="C239" s="9">
        <f>Assumptions!$C$13</f>
        <v>5.0018118273172041E-2</v>
      </c>
      <c r="D239" s="9">
        <f>IFERROR(ABS(B239)/B218,0)</f>
        <v>0.20692554975755609</v>
      </c>
      <c r="E239" s="9">
        <f>ABS('Monthly Analysis'!D23)/ABS('Historical Trends'!$D$9)</f>
        <v>7.5238447478799222E-2</v>
      </c>
      <c r="F239" s="10">
        <f>D218+B239</f>
        <v>79560.061926388793</v>
      </c>
      <c r="G239" s="9">
        <f>IFERROR(F239/B218,0)</f>
        <v>0.20807444667546918</v>
      </c>
    </row>
    <row r="240" spans="1:7">
      <c r="A240" t="s">
        <v>218</v>
      </c>
      <c r="B240" s="10">
        <f>$C$14*E240</f>
        <v>-83662.808118529501</v>
      </c>
      <c r="C240" s="9">
        <f>Assumptions!$C$13</f>
        <v>5.0018118273172041E-2</v>
      </c>
      <c r="D240" s="9">
        <f>IFERROR(ABS(B240)/B219,0)</f>
        <v>0.22858661943836664</v>
      </c>
      <c r="E240" s="9">
        <f>ABS('Monthly Analysis'!D24)/ABS('Historical Trends'!$D$9)</f>
        <v>7.9557619738763422E-2</v>
      </c>
      <c r="F240" s="10">
        <f>D219+B240</f>
        <v>68227.381937534228</v>
      </c>
      <c r="G240" s="9">
        <f>IFERROR(F240/B219,0)</f>
        <v>0.18641337699465865</v>
      </c>
    </row>
    <row r="241" spans="1:7">
      <c r="A241" t="s">
        <v>220</v>
      </c>
      <c r="B241" s="10">
        <f>$C$14*E241</f>
        <v>-77029.003650903251</v>
      </c>
      <c r="C241" s="9">
        <f>Assumptions!$C$13</f>
        <v>5.0018118273172041E-2</v>
      </c>
      <c r="D241" s="9">
        <f>IFERROR(ABS(B241)/B220,0)</f>
        <v>0.19181165469649392</v>
      </c>
      <c r="E241" s="9">
        <f>ABS('Monthly Analysis'!D25)/ABS('Historical Trends'!$D$9)</f>
        <v>7.3249324510267139E-2</v>
      </c>
      <c r="F241" s="10">
        <f>D220+B241</f>
        <v>89629.462910715214</v>
      </c>
      <c r="G241" s="9">
        <f>IFERROR(F241/B220,0)</f>
        <v>0.22318834173653135</v>
      </c>
    </row>
    <row r="242" spans="1:7">
      <c r="A242" t="s">
        <v>222</v>
      </c>
      <c r="B242" s="10">
        <f>$C$14*E242</f>
        <v>-83727.814740231785</v>
      </c>
      <c r="C242" s="9">
        <f>Assumptions!$C$13</f>
        <v>5.0018118273172041E-2</v>
      </c>
      <c r="D242" s="9">
        <f>IFERROR(ABS(B242)/B221,0)</f>
        <v>0.19410758264675265</v>
      </c>
      <c r="E242" s="9">
        <f>ABS('Monthly Analysis'!D26)/ABS('Historical Trends'!$D$9)</f>
        <v>7.9619436598682397E-2</v>
      </c>
      <c r="F242" s="10">
        <f>D221+B242</f>
        <v>95281.383894608327</v>
      </c>
      <c r="G242" s="9">
        <f>IFERROR(F242/B221,0)</f>
        <v>0.22089241378627258</v>
      </c>
    </row>
    <row r="243" spans="1:7">
      <c r="A243" t="s">
        <v>224</v>
      </c>
      <c r="B243" s="10">
        <f>$C$14*E243</f>
        <v>-87929.724745031432</v>
      </c>
      <c r="C243" s="9">
        <f>Assumptions!$C$13</f>
        <v>5.0018118273172041E-2</v>
      </c>
      <c r="D243" s="9">
        <f>IFERROR(ABS(B243)/B222,0)</f>
        <v>0.19484143267988285</v>
      </c>
      <c r="E243" s="9">
        <f>ABS('Monthly Analysis'!D27)/ABS('Historical Trends'!$D$9)</f>
        <v>8.3615166192945414E-2</v>
      </c>
      <c r="F243" s="10">
        <f>D222+B243</f>
        <v>99355.05834059701</v>
      </c>
      <c r="G243" s="9">
        <f>IFERROR(F243/B222,0)</f>
        <v>0.22015856375314241</v>
      </c>
    </row>
    <row r="244" spans="1:7">
      <c r="A244" t="s">
        <v>226</v>
      </c>
      <c r="B244" s="10">
        <f>$C$14*E244</f>
        <v>-78536.441162039759</v>
      </c>
      <c r="C244" s="9">
        <f>Assumptions!$C$13</f>
        <v>5.0018118273172041E-2</v>
      </c>
      <c r="D244" s="9">
        <f>IFERROR(ABS(B244)/B223,0)</f>
        <v>0.16918607402632141</v>
      </c>
      <c r="E244" s="9">
        <f>ABS('Monthly Analysis'!D28)/ABS('Historical Trends'!$D$9)</f>
        <v>7.468279468641803E-2</v>
      </c>
      <c r="F244" s="10">
        <f>D223+B244</f>
        <v>114107.20867546604</v>
      </c>
      <c r="G244" s="9">
        <f>IFERROR(F244/B223,0)</f>
        <v>0.24581392240670383</v>
      </c>
    </row>
    <row r="245" spans="1:7">
      <c r="A245" t="s">
        <v>228</v>
      </c>
      <c r="B245" s="10">
        <f>$C$14*E245</f>
        <v>-90931.527041731984</v>
      </c>
      <c r="C245" s="9">
        <f>Assumptions!$C$13</f>
        <v>5.0018118273172041E-2</v>
      </c>
      <c r="D245" s="9">
        <f>IFERROR(ABS(B245)/B224,0)</f>
        <v>0.19334635158389407</v>
      </c>
      <c r="E245" s="9">
        <f>ABS('Monthly Analysis'!D29)/ABS('Historical Trends'!$D$9)</f>
        <v>8.6469675275565566E-2</v>
      </c>
      <c r="F245" s="10">
        <f>D224+B245</f>
        <v>104244.55509703132</v>
      </c>
      <c r="G245" s="9">
        <f>IFERROR(F245/B224,0)</f>
        <v>0.22165364484913122</v>
      </c>
    </row>
    <row r="246" spans="1:7">
      <c r="A246" t="s">
        <v>230</v>
      </c>
      <c r="B246" s="10">
        <f>$C$14*E246</f>
        <v>-104495.90259775204</v>
      </c>
      <c r="C246" s="9">
        <f>Assumptions!$C$13</f>
        <v>5.0018118273172041E-2</v>
      </c>
      <c r="D246" s="9">
        <f>IFERROR(ABS(B246)/B225,0)</f>
        <v>0.22806046216010722</v>
      </c>
      <c r="E246" s="9">
        <f>ABS('Monthly Analysis'!D30)/ABS('Historical Trends'!$D$9)</f>
        <v>9.9368470531765105E-2</v>
      </c>
      <c r="F246" s="10">
        <f>D225+B246</f>
        <v>85654.546079706095</v>
      </c>
      <c r="G246" s="9">
        <f>IFERROR(F246/B225,0)</f>
        <v>0.18693953427291804</v>
      </c>
    </row>
    <row r="247" spans="1:7">
      <c r="A247" t="s">
        <v>232</v>
      </c>
      <c r="B247" s="10">
        <f>$C$14*E247</f>
        <v>-73140.933561474245</v>
      </c>
      <c r="C247" s="9">
        <f>Assumptions!$C$13</f>
        <v>5.0018118273172041E-2</v>
      </c>
      <c r="D247" s="9">
        <f>IFERROR(ABS(B247)/B226,0)</f>
        <v>0.17333621509622682</v>
      </c>
      <c r="E247" s="9">
        <f>ABS('Monthly Analysis'!D31)/ABS('Historical Trends'!$D$9)</f>
        <v>6.9552035252964009E-2</v>
      </c>
      <c r="F247" s="10">
        <f>D226+B247</f>
        <v>101972.42719968782</v>
      </c>
      <c r="G247" s="9">
        <f>IFERROR(F247/B226,0)</f>
        <v>0.24166378133679847</v>
      </c>
    </row>
    <row r="248" spans="1:7">
      <c r="A248" t="s">
        <v>234</v>
      </c>
      <c r="B248" s="10">
        <f>$C$14*E248</f>
        <v>-71658.097974848875</v>
      </c>
      <c r="C248" s="9">
        <f>Assumptions!$C$13</f>
        <v>5.0018118273172041E-2</v>
      </c>
      <c r="D248" s="9">
        <f>IFERROR(ABS(B248)/B227,0)</f>
        <v>0.16581058236324589</v>
      </c>
      <c r="E248" s="9">
        <f>ABS('Monthly Analysis'!D32)/ABS('Historical Trends'!$D$9)</f>
        <v>6.8141959827708001E-2</v>
      </c>
      <c r="F248" s="10">
        <f>D227+B248</f>
        <v>107691.79622437386</v>
      </c>
      <c r="G248" s="9">
        <f>IFERROR(F248/B227,0)</f>
        <v>0.24918941406977937</v>
      </c>
    </row>
    <row r="249" spans="1:7">
      <c r="A249" t="s">
        <v>236</v>
      </c>
      <c r="B249" s="10">
        <f>$C$14*E249</f>
        <v>-105779.60224824688</v>
      </c>
      <c r="C249" s="9">
        <f>Assumptions!$C$13</f>
        <v>5.0018118273172041E-2</v>
      </c>
      <c r="D249" s="9">
        <f>IFERROR(ABS(B249)/B228,0)</f>
        <v>0.22821641312157576</v>
      </c>
      <c r="E249" s="9">
        <f>ABS('Monthly Analysis'!D33)/ABS('Historical Trends'!$D$9)</f>
        <v>0.10058918127468162</v>
      </c>
      <c r="F249" s="10">
        <f>D228+B249</f>
        <v>86575.250565619746</v>
      </c>
      <c r="G249" s="9">
        <f>IFERROR(F249/B228,0)</f>
        <v>0.18678358331144948</v>
      </c>
    </row>
    <row r="250" spans="1:7">
      <c r="A250" t="s">
        <v>238</v>
      </c>
      <c r="B250" s="10">
        <f>$C$14*E250</f>
        <v>-115587.56948668821</v>
      </c>
      <c r="C250" s="9">
        <f>Assumptions!$C$13</f>
        <v>5.0018118273172041E-2</v>
      </c>
      <c r="D250" s="9">
        <f>IFERROR(ABS(B250)/B229,0)</f>
        <v>0.22898548344493064</v>
      </c>
      <c r="E250" s="9">
        <f>ABS('Monthly Analysis'!D34)/ABS('Historical Trends'!$D$9)</f>
        <v>0.10991588863144014</v>
      </c>
      <c r="F250" s="10">
        <f>D229+B250</f>
        <v>93896.631009426783</v>
      </c>
      <c r="G250" s="9">
        <f>IFERROR(F250/B229,0)</f>
        <v>0.18601451298809465</v>
      </c>
    </row>
    <row r="251" spans="1:7">
      <c r="A251" t="s">
        <v>344</v>
      </c>
      <c r="B251" s="10">
        <f>SUM(B239:B250)</f>
        <v>-1051600.1910721557</v>
      </c>
      <c r="C251" s="9">
        <f>AVERAGE(C239:C250)</f>
        <v>5.0018118273172041E-2</v>
      </c>
      <c r="D251" s="9">
        <f>IFERROR(ABS(B251)/B230,0)</f>
        <v>0.20039254575494761</v>
      </c>
      <c r="E251" s="9">
        <f>SUM(E239:E250)</f>
        <v>1.0000000000000002</v>
      </c>
      <c r="F251" s="10">
        <f>SUM(F239:F250)</f>
        <v>1126195.7638611551</v>
      </c>
      <c r="G251" s="9">
        <f>IFERROR(F251/B230,0)</f>
        <v>0.21460745067807765</v>
      </c>
    </row>
    <row r="253" spans="1:7">
      <c r="A253" t="s">
        <v>443</v>
      </c>
      <c r="B253" s="10">
        <f>B251-C14</f>
        <v>0</v>
      </c>
    </row>
    <row r="254" spans="1:7">
      <c r="A254" t="s">
        <v>444</v>
      </c>
      <c r="B254" s="10">
        <f>F251-C16</f>
        <v>0</v>
      </c>
    </row>
    <row r="257" spans="1:9">
      <c r="A257" s="40" t="s">
        <v>445</v>
      </c>
      <c r="B257" s="40"/>
      <c r="C257" s="40"/>
      <c r="D257" s="40"/>
      <c r="E257" s="40"/>
      <c r="F257" s="40"/>
      <c r="G257" s="40"/>
      <c r="H257" s="40"/>
      <c r="I257" s="40"/>
    </row>
    <row r="259" spans="1:9">
      <c r="A259" t="s">
        <v>333</v>
      </c>
      <c r="B259" t="s">
        <v>36</v>
      </c>
      <c r="C259" t="s">
        <v>182</v>
      </c>
      <c r="D259" t="s">
        <v>38</v>
      </c>
      <c r="E259" t="s">
        <v>40</v>
      </c>
      <c r="F259" t="s">
        <v>41</v>
      </c>
      <c r="G259" t="s">
        <v>194</v>
      </c>
      <c r="H259" t="s">
        <v>43</v>
      </c>
      <c r="I259" t="s">
        <v>399</v>
      </c>
    </row>
    <row r="260" spans="1:9">
      <c r="A260" t="s">
        <v>215</v>
      </c>
      <c r="B260" s="10">
        <f>C48</f>
        <v>382363.44345770392</v>
      </c>
      <c r="C260" s="10">
        <f>E218</f>
        <v>-223682.61578663753</v>
      </c>
      <c r="D260" s="10">
        <f>D218</f>
        <v>158680.82767106639</v>
      </c>
      <c r="E260" s="10">
        <f>B239</f>
        <v>-79120.765744677599</v>
      </c>
      <c r="F260" s="10">
        <f>F239</f>
        <v>79560.061926388793</v>
      </c>
      <c r="G260" s="10">
        <f>-F260*Assumptions!$C$51</f>
        <v>-11058.848607768043</v>
      </c>
      <c r="H260" s="10">
        <f>F260+G260</f>
        <v>68501.21331862075</v>
      </c>
      <c r="I260" s="9">
        <f>IFERROR(H260/B260,0)</f>
        <v>0.17915209858757897</v>
      </c>
    </row>
    <row r="261" spans="1:9">
      <c r="A261" t="s">
        <v>218</v>
      </c>
      <c r="B261" s="10">
        <f>C49</f>
        <v>366000.46111223643</v>
      </c>
      <c r="C261" s="10">
        <f>E219</f>
        <v>-214110.2710561727</v>
      </c>
      <c r="D261" s="10">
        <f>D219</f>
        <v>151890.19005606373</v>
      </c>
      <c r="E261" s="10">
        <f>B240</f>
        <v>-83662.808118529501</v>
      </c>
      <c r="F261" s="10">
        <f>F240</f>
        <v>68227.381937534228</v>
      </c>
      <c r="G261" s="10">
        <f>-F261*Assumptions!$C$51</f>
        <v>-9483.606089317258</v>
      </c>
      <c r="H261" s="10">
        <f>F261+G261</f>
        <v>58743.775848216974</v>
      </c>
      <c r="I261" s="9">
        <f>IFERROR(H261/B261,0)</f>
        <v>0.16050191759240109</v>
      </c>
    </row>
    <row r="262" spans="1:9">
      <c r="A262" t="s">
        <v>220</v>
      </c>
      <c r="B262" s="10">
        <f>C50</f>
        <v>401586.66986522404</v>
      </c>
      <c r="C262" s="10">
        <f>E220</f>
        <v>-234928.20330360558</v>
      </c>
      <c r="D262" s="10">
        <f>D220</f>
        <v>166658.46656161846</v>
      </c>
      <c r="E262" s="10">
        <f>B241</f>
        <v>-77029.003650903251</v>
      </c>
      <c r="F262" s="10">
        <f>F241</f>
        <v>89629.462910715214</v>
      </c>
      <c r="G262" s="10">
        <f>-F262*Assumptions!$C$51</f>
        <v>-12458.495344589415</v>
      </c>
      <c r="H262" s="10">
        <f>F262+G262</f>
        <v>77170.967566125793</v>
      </c>
      <c r="I262" s="9">
        <f>IFERROR(H262/B262,0)</f>
        <v>0.19216516223515345</v>
      </c>
    </row>
    <row r="263" spans="1:9">
      <c r="A263" t="s">
        <v>222</v>
      </c>
      <c r="B263" s="10">
        <f>C51</f>
        <v>431347.4702974594</v>
      </c>
      <c r="C263" s="10">
        <f>E221</f>
        <v>-252338.27166261929</v>
      </c>
      <c r="D263" s="10">
        <f>D221</f>
        <v>179009.19863484011</v>
      </c>
      <c r="E263" s="10">
        <f>B242</f>
        <v>-83727.814740231785</v>
      </c>
      <c r="F263" s="10">
        <f>F242</f>
        <v>95281.383894608327</v>
      </c>
      <c r="G263" s="10">
        <f>-F263*Assumptions!$C$51</f>
        <v>-13244.112361350559</v>
      </c>
      <c r="H263" s="10">
        <f>F263+G263</f>
        <v>82037.271533257765</v>
      </c>
      <c r="I263" s="9">
        <f>IFERROR(H263/B263,0)</f>
        <v>0.1901883682699807</v>
      </c>
    </row>
    <row r="264" spans="1:9">
      <c r="A264" t="s">
        <v>224</v>
      </c>
      <c r="B264" s="10">
        <f>C52</f>
        <v>451288.63782015326</v>
      </c>
      <c r="C264" s="10">
        <f>E222</f>
        <v>-264003.85473452485</v>
      </c>
      <c r="D264" s="10">
        <f>D222</f>
        <v>187284.78308562844</v>
      </c>
      <c r="E264" s="10">
        <f>B243</f>
        <v>-87929.724745031432</v>
      </c>
      <c r="F264" s="10">
        <f>F243</f>
        <v>99355.05834059701</v>
      </c>
      <c r="G264" s="10">
        <f>-F264*Assumptions!$C$51</f>
        <v>-13810.353109342986</v>
      </c>
      <c r="H264" s="10">
        <f>F264+G264</f>
        <v>85544.705231254018</v>
      </c>
      <c r="I264" s="9">
        <f>IFERROR(H264/B264,0)</f>
        <v>0.18955652339145559</v>
      </c>
    </row>
    <row r="265" spans="1:9">
      <c r="A265" t="s">
        <v>226</v>
      </c>
      <c r="B265" s="10">
        <f>C53</f>
        <v>464201.56986337609</v>
      </c>
      <c r="C265" s="10">
        <f>E223</f>
        <v>-271557.92002587032</v>
      </c>
      <c r="D265" s="10">
        <f>D223</f>
        <v>192643.6498375058</v>
      </c>
      <c r="E265" s="10">
        <f>B244</f>
        <v>-78536.441162039759</v>
      </c>
      <c r="F265" s="10">
        <f>F244</f>
        <v>114107.20867546604</v>
      </c>
      <c r="G265" s="10">
        <f>-F265*Assumptions!$C$51</f>
        <v>-15860.90200588978</v>
      </c>
      <c r="H265" s="10">
        <f>F265+G265</f>
        <v>98246.306669576268</v>
      </c>
      <c r="I265" s="9">
        <f>IFERROR(H265/B265,0)</f>
        <v>0.21164578719217203</v>
      </c>
    </row>
    <row r="266" spans="1:9">
      <c r="A266" t="s">
        <v>228</v>
      </c>
      <c r="B266" s="10">
        <f>C54</f>
        <v>470303.81642487983</v>
      </c>
      <c r="C266" s="10">
        <f>E224</f>
        <v>-275127.73428611655</v>
      </c>
      <c r="D266" s="10">
        <f>D224</f>
        <v>195176.0821387633</v>
      </c>
      <c r="E266" s="10">
        <f>B245</f>
        <v>-90931.527041731984</v>
      </c>
      <c r="F266" s="10">
        <f>F245</f>
        <v>104244.55509703132</v>
      </c>
      <c r="G266" s="10">
        <f>-F266*Assumptions!$C$51</f>
        <v>-14489.993158487354</v>
      </c>
      <c r="H266" s="10">
        <f>F266+G266</f>
        <v>89754.561938543964</v>
      </c>
      <c r="I266" s="9">
        <f>IFERROR(H266/B266,0)</f>
        <v>0.19084378821510198</v>
      </c>
    </row>
    <row r="267" spans="1:9">
      <c r="A267" t="s">
        <v>230</v>
      </c>
      <c r="B267" s="10">
        <f>C55</f>
        <v>458193.85617306997</v>
      </c>
      <c r="C267" s="10">
        <f>E225</f>
        <v>-268043.40749561181</v>
      </c>
      <c r="D267" s="10">
        <f>D225</f>
        <v>190150.44867745813</v>
      </c>
      <c r="E267" s="10">
        <f>B246</f>
        <v>-104495.90259775204</v>
      </c>
      <c r="F267" s="10">
        <f>F246</f>
        <v>85654.546079706095</v>
      </c>
      <c r="G267" s="10">
        <f>-F267*Assumptions!$C$51</f>
        <v>-11905.981905079148</v>
      </c>
      <c r="H267" s="10">
        <f>F267+G267</f>
        <v>73748.564174626954</v>
      </c>
      <c r="I267" s="9">
        <f>IFERROR(H267/B267,0)</f>
        <v>0.16095493900898244</v>
      </c>
    </row>
    <row r="268" spans="1:9">
      <c r="A268" t="s">
        <v>232</v>
      </c>
      <c r="B268" s="10">
        <f>C56</f>
        <v>421959.90907537926</v>
      </c>
      <c r="C268" s="10">
        <f>E226</f>
        <v>-246846.54831421719</v>
      </c>
      <c r="D268" s="10">
        <f>D226</f>
        <v>175113.36076116207</v>
      </c>
      <c r="E268" s="10">
        <f>B247</f>
        <v>-73140.933561474245</v>
      </c>
      <c r="F268" s="10">
        <f>F247</f>
        <v>101972.42719968782</v>
      </c>
      <c r="G268" s="10">
        <f>-F268*Assumptions!$C$51</f>
        <v>-14174.167380756609</v>
      </c>
      <c r="H268" s="10">
        <f>F268+G268</f>
        <v>87798.259818931212</v>
      </c>
      <c r="I268" s="9">
        <f>IFERROR(H268/B268,0)</f>
        <v>0.20807251573098348</v>
      </c>
    </row>
    <row r="269" spans="1:9">
      <c r="A269" t="s">
        <v>234</v>
      </c>
      <c r="B269" s="10">
        <f>C57</f>
        <v>432168.42347170261</v>
      </c>
      <c r="C269" s="10">
        <f>E227</f>
        <v>-252818.52927247988</v>
      </c>
      <c r="D269" s="10">
        <f>D227</f>
        <v>179349.89419922273</v>
      </c>
      <c r="E269" s="10">
        <f>B248</f>
        <v>-71658.097974848875</v>
      </c>
      <c r="F269" s="10">
        <f>F248</f>
        <v>107691.79622437386</v>
      </c>
      <c r="G269" s="10">
        <f>-F269*Assumptions!$C$51</f>
        <v>-14969.159675187968</v>
      </c>
      <c r="H269" s="10">
        <f>F269+G269</f>
        <v>92722.636549185889</v>
      </c>
      <c r="I269" s="9">
        <f>IFERROR(H269/B269,0)</f>
        <v>0.21455208551408003</v>
      </c>
    </row>
    <row r="270" spans="1:9">
      <c r="A270" t="s">
        <v>236</v>
      </c>
      <c r="B270" s="10">
        <f>C58</f>
        <v>463505.67341489077</v>
      </c>
      <c r="C270" s="10">
        <f>E228</f>
        <v>-271150.82060102414</v>
      </c>
      <c r="D270" s="10">
        <f>D228</f>
        <v>192354.85281386663</v>
      </c>
      <c r="E270" s="10">
        <f>B249</f>
        <v>-105779.60224824688</v>
      </c>
      <c r="F270" s="10">
        <f>F249</f>
        <v>86575.250565619746</v>
      </c>
      <c r="G270" s="10">
        <f>-F270*Assumptions!$C$51</f>
        <v>-12033.959828621146</v>
      </c>
      <c r="H270" s="10">
        <f>F270+G270</f>
        <v>74541.290736998606</v>
      </c>
      <c r="I270" s="9">
        <f>IFERROR(H270/B270,0)</f>
        <v>0.16082066523115801</v>
      </c>
    </row>
    <row r="271" spans="1:9">
      <c r="A271" t="s">
        <v>238</v>
      </c>
      <c r="B271" s="10">
        <f>C59</f>
        <v>504781.21035338991</v>
      </c>
      <c r="C271" s="10">
        <f>E229</f>
        <v>-295297.00985727494</v>
      </c>
      <c r="D271" s="10">
        <f>D229</f>
        <v>209484.20049611499</v>
      </c>
      <c r="E271" s="10">
        <f>B250</f>
        <v>-115587.56948668821</v>
      </c>
      <c r="F271" s="10">
        <f>F250</f>
        <v>93896.631009426783</v>
      </c>
      <c r="G271" s="10">
        <f>-F271*Assumptions!$C$51</f>
        <v>-13051.631710310325</v>
      </c>
      <c r="H271" s="10">
        <f>F271+G271</f>
        <v>80844.999299116462</v>
      </c>
      <c r="I271" s="9">
        <f>IFERROR(H271/B271,0)</f>
        <v>0.16015849568274951</v>
      </c>
    </row>
    <row r="272" spans="1:9">
      <c r="A272" t="s">
        <v>344</v>
      </c>
      <c r="B272" s="10">
        <f>SUM(B260:B271)</f>
        <v>5247701.1413294654</v>
      </c>
      <c r="C272" s="10">
        <f>SUM(C260:C271)</f>
        <v>-3069905.1863961546</v>
      </c>
      <c r="D272" s="10">
        <f>SUM(D260:D271)</f>
        <v>2177795.9549333109</v>
      </c>
      <c r="E272" s="10">
        <f>SUM(E260:E271)</f>
        <v>-1051600.1910721557</v>
      </c>
      <c r="F272" s="10">
        <f>SUM(F260:F271)</f>
        <v>1126195.7638611551</v>
      </c>
      <c r="G272" s="10">
        <f>SUM(G260:G271)</f>
        <v>-156541.2111767006</v>
      </c>
      <c r="H272" s="10">
        <f>SUM(H260:H271)</f>
        <v>969654.55268445448</v>
      </c>
      <c r="I272" s="9">
        <f>IFERROR(H272/B272,0)</f>
        <v>0.18477701503382485</v>
      </c>
    </row>
    <row r="274" spans="1:2">
      <c r="A274" s="40" t="s">
        <v>446</v>
      </c>
      <c r="B274" s="40"/>
    </row>
    <row r="275" spans="1:2">
      <c r="A275" t="s">
        <v>307</v>
      </c>
      <c r="B275" s="10">
        <f>B272-C10</f>
        <v>0</v>
      </c>
    </row>
    <row r="276" spans="1:2">
      <c r="A276" t="s">
        <v>308</v>
      </c>
      <c r="B276" s="10">
        <f>D272-C12</f>
        <v>0</v>
      </c>
    </row>
    <row r="277" spans="1:2">
      <c r="A277" t="s">
        <v>447</v>
      </c>
      <c r="B277" s="10">
        <f>E272-C14</f>
        <v>0</v>
      </c>
    </row>
    <row r="278" spans="1:2">
      <c r="A278" t="s">
        <v>309</v>
      </c>
      <c r="B278" s="10">
        <f>F272-C16</f>
        <v>0</v>
      </c>
    </row>
  </sheetData>
  <mergeCells count="21">
    <mergeCell ref="A164:E164"/>
    <mergeCell ref="A172:D172"/>
    <mergeCell ref="A185:D185"/>
    <mergeCell ref="A155:E155"/>
    <mergeCell ref="A179:D179"/>
    <mergeCell ref="A257:I257"/>
    <mergeCell ref="A274:B274"/>
    <mergeCell ref="A236:G236"/>
    <mergeCell ref="A215:F215"/>
    <mergeCell ref="A1:E1"/>
    <mergeCell ref="A2:E2"/>
    <mergeCell ref="A7:E7"/>
    <mergeCell ref="A45:E45"/>
    <mergeCell ref="A21:D21"/>
    <mergeCell ref="A28:D28"/>
    <mergeCell ref="A39:C39"/>
    <mergeCell ref="A65:E65"/>
    <mergeCell ref="A86:K86"/>
    <mergeCell ref="A131:B131"/>
    <mergeCell ref="A191:D191"/>
    <mergeCell ref="A146:E1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D70E-EFD7-4302-9780-96EC98D9DE2B}">
  <dimension ref="A1:I86"/>
  <sheetViews>
    <sheetView workbookViewId="0">
      <selection activeCell="H16" sqref="H16"/>
    </sheetView>
  </sheetViews>
  <sheetFormatPr defaultRowHeight="15"/>
  <cols>
    <col min="1" max="1" width="41.140625" customWidth="1"/>
    <col min="2" max="2" width="15.28515625" customWidth="1"/>
    <col min="3" max="3" width="15.140625" customWidth="1"/>
    <col min="4" max="4" width="15.28515625" customWidth="1"/>
    <col min="5" max="5" width="15.42578125" customWidth="1"/>
    <col min="6" max="6" width="13.7109375" customWidth="1"/>
    <col min="8" max="8" width="29.85546875" customWidth="1"/>
  </cols>
  <sheetData>
    <row r="1" spans="1:9">
      <c r="A1" s="40" t="s">
        <v>0</v>
      </c>
      <c r="B1" s="40"/>
      <c r="C1" s="40"/>
      <c r="D1" s="40"/>
      <c r="E1" s="40"/>
      <c r="F1" s="40"/>
    </row>
    <row r="2" spans="1:9">
      <c r="A2" s="40" t="s">
        <v>448</v>
      </c>
      <c r="B2" s="40"/>
      <c r="C2" s="40"/>
      <c r="D2" s="40"/>
      <c r="E2" s="40"/>
      <c r="F2" s="40"/>
    </row>
    <row r="3" spans="1:9">
      <c r="A3" s="40" t="s">
        <v>449</v>
      </c>
      <c r="B3" s="40"/>
      <c r="C3" s="40"/>
      <c r="D3" s="40"/>
      <c r="E3" s="40"/>
      <c r="F3" s="40"/>
    </row>
    <row r="5" spans="1:9">
      <c r="A5" s="40" t="s">
        <v>450</v>
      </c>
      <c r="B5" s="40"/>
      <c r="C5" s="40"/>
      <c r="D5" s="40"/>
      <c r="E5" s="40"/>
      <c r="F5" s="40"/>
      <c r="H5" s="40" t="s">
        <v>451</v>
      </c>
      <c r="I5" s="40"/>
    </row>
    <row r="7" spans="1:9">
      <c r="A7" t="s">
        <v>324</v>
      </c>
      <c r="B7" t="s">
        <v>60</v>
      </c>
      <c r="C7" t="s">
        <v>33</v>
      </c>
      <c r="D7" t="s">
        <v>34</v>
      </c>
      <c r="E7" t="s">
        <v>35</v>
      </c>
      <c r="F7" t="s">
        <v>452</v>
      </c>
      <c r="H7" t="s">
        <v>355</v>
      </c>
      <c r="I7" t="s">
        <v>453</v>
      </c>
    </row>
    <row r="8" spans="1:9">
      <c r="A8" t="s">
        <v>325</v>
      </c>
      <c r="B8" s="12">
        <v>38</v>
      </c>
      <c r="C8" s="12">
        <f>ROUND(B8*(1+$I$8),0)</f>
        <v>40</v>
      </c>
      <c r="D8" s="12">
        <f>ROUND(C8*(1+$I$8),0)</f>
        <v>42</v>
      </c>
      <c r="E8" s="12">
        <f>ROUND(D8*(1+$I$8),0)</f>
        <v>44</v>
      </c>
      <c r="F8" s="9">
        <f>IFERROR((E8/B8)^(1/3)-1,0)</f>
        <v>5.0081546755695205E-2</v>
      </c>
      <c r="H8" t="s">
        <v>454</v>
      </c>
      <c r="I8" s="9">
        <v>0.05</v>
      </c>
    </row>
    <row r="9" spans="1:9">
      <c r="A9" t="s">
        <v>202</v>
      </c>
      <c r="B9" s="12">
        <v>16</v>
      </c>
      <c r="C9" s="12">
        <f>ROUND(B9*(1+$I$8),0)</f>
        <v>17</v>
      </c>
      <c r="D9" s="12">
        <f>ROUND(C9*(1+$I$8),0)</f>
        <v>18</v>
      </c>
      <c r="E9" s="12">
        <f>ROUND(D9*(1+$I$8),0)</f>
        <v>19</v>
      </c>
      <c r="F9" s="9">
        <f>IFERROR((E9/B9)^(1/3)-1,0)</f>
        <v>5.8955896063723312E-2</v>
      </c>
      <c r="H9" t="s">
        <v>455</v>
      </c>
      <c r="I9" s="9">
        <v>0.08</v>
      </c>
    </row>
    <row r="10" spans="1:9">
      <c r="A10" t="s">
        <v>204</v>
      </c>
      <c r="B10" s="12">
        <v>24</v>
      </c>
      <c r="C10" s="12">
        <f>ROUND(B10*(1+$I$8),0)</f>
        <v>25</v>
      </c>
      <c r="D10" s="12">
        <f>ROUND(C10*(1+$I$8),0)</f>
        <v>26</v>
      </c>
      <c r="E10" s="12">
        <f>ROUND(D10*(1+$I$8),0)</f>
        <v>27</v>
      </c>
      <c r="F10" s="9">
        <f>IFERROR((E10/B10)^(1/3)-1,0)</f>
        <v>4.0041911525952045E-2</v>
      </c>
      <c r="H10" t="s">
        <v>456</v>
      </c>
      <c r="I10" s="9">
        <v>3.5000000000000003E-2</v>
      </c>
    </row>
    <row r="11" spans="1:9">
      <c r="A11" t="s">
        <v>206</v>
      </c>
      <c r="B11" s="12">
        <v>14</v>
      </c>
      <c r="C11" s="12">
        <f>ROUND(B11*(1+$I$8),0)</f>
        <v>15</v>
      </c>
      <c r="D11" s="12">
        <f>ROUND(C11*(1+$I$8),0)</f>
        <v>16</v>
      </c>
      <c r="E11" s="12">
        <f>ROUND(D11*(1+$I$8),0)</f>
        <v>17</v>
      </c>
      <c r="F11" s="9">
        <f>IFERROR((E11/B11)^(1/3)-1,0)</f>
        <v>6.6858844342181811E-2</v>
      </c>
      <c r="H11" t="s">
        <v>457</v>
      </c>
      <c r="I11" s="9">
        <v>0.12</v>
      </c>
    </row>
    <row r="12" spans="1:9">
      <c r="A12" t="s">
        <v>46</v>
      </c>
      <c r="B12" s="12">
        <f>SUM(B8:B11)</f>
        <v>92</v>
      </c>
      <c r="C12" s="12">
        <f>SUM(C8:C11)</f>
        <v>97</v>
      </c>
      <c r="D12" s="12">
        <f>SUM(D8:D11)</f>
        <v>102</v>
      </c>
      <c r="E12" s="12">
        <f>SUM(E8:E11)</f>
        <v>107</v>
      </c>
      <c r="F12" s="9">
        <f>IFERROR((E12/B12)^(1/3)-1,0)</f>
        <v>5.1635690434628456E-2</v>
      </c>
    </row>
    <row r="15" spans="1:9">
      <c r="A15" s="40" t="s">
        <v>458</v>
      </c>
      <c r="B15" s="40"/>
      <c r="C15" s="40"/>
      <c r="D15" s="40"/>
      <c r="E15" s="40"/>
      <c r="F15" s="40"/>
    </row>
    <row r="17" spans="1:6">
      <c r="A17" t="s">
        <v>32</v>
      </c>
      <c r="B17" t="s">
        <v>60</v>
      </c>
      <c r="C17" t="s">
        <v>33</v>
      </c>
      <c r="D17" t="s">
        <v>34</v>
      </c>
      <c r="E17" t="s">
        <v>35</v>
      </c>
      <c r="F17" t="s">
        <v>459</v>
      </c>
    </row>
    <row r="18" spans="1:6">
      <c r="A18" t="s">
        <v>460</v>
      </c>
      <c r="B18" s="12">
        <f>B12</f>
        <v>92</v>
      </c>
      <c r="C18" s="12">
        <f>AVERAGE(B12,C12)</f>
        <v>94.5</v>
      </c>
      <c r="D18" s="12">
        <f>AVERAGE(C12,D12)</f>
        <v>99.5</v>
      </c>
      <c r="E18" s="12">
        <f>AVERAGE(D12,E12)</f>
        <v>104.5</v>
      </c>
    </row>
    <row r="19" spans="1:6">
      <c r="A19" t="s">
        <v>461</v>
      </c>
      <c r="B19" s="12">
        <v>0</v>
      </c>
      <c r="C19" s="12">
        <f>MAX(C12-B12,0)</f>
        <v>5</v>
      </c>
      <c r="D19" s="12">
        <f>MAX(D12-C12,0)</f>
        <v>5</v>
      </c>
      <c r="E19" s="12">
        <f>MAX(E12-D12,0)</f>
        <v>5</v>
      </c>
    </row>
    <row r="20" spans="1:6">
      <c r="A20" t="s">
        <v>462</v>
      </c>
      <c r="B20" s="12">
        <v>0</v>
      </c>
      <c r="C20" s="12">
        <f>ROUND(B18*$I$9,0)</f>
        <v>7</v>
      </c>
      <c r="D20" s="12">
        <f>ROUND(C18*$I$9,0)</f>
        <v>8</v>
      </c>
      <c r="E20" s="12">
        <f>ROUND(D18*$I$9,0)</f>
        <v>8</v>
      </c>
    </row>
    <row r="21" spans="1:6">
      <c r="A21" t="s">
        <v>463</v>
      </c>
      <c r="B21" s="12">
        <v>0</v>
      </c>
      <c r="C21" s="12">
        <f>C12-B12</f>
        <v>5</v>
      </c>
      <c r="D21" s="12">
        <f>D12-C12</f>
        <v>5</v>
      </c>
      <c r="E21" s="12">
        <f>E12-D12</f>
        <v>5</v>
      </c>
    </row>
    <row r="24" spans="1:6">
      <c r="A24" s="40" t="s">
        <v>464</v>
      </c>
      <c r="B24" s="40"/>
      <c r="C24" s="40"/>
      <c r="D24" s="40"/>
      <c r="E24" s="40"/>
      <c r="F24" s="40"/>
    </row>
    <row r="26" spans="1:6">
      <c r="A26" t="s">
        <v>324</v>
      </c>
      <c r="B26" t="s">
        <v>465</v>
      </c>
      <c r="C26" t="s">
        <v>466</v>
      </c>
      <c r="D26" t="s">
        <v>467</v>
      </c>
      <c r="E26" t="s">
        <v>468</v>
      </c>
      <c r="F26" t="s">
        <v>469</v>
      </c>
    </row>
    <row r="27" spans="1:6">
      <c r="A27" t="s">
        <v>325</v>
      </c>
      <c r="B27" s="10">
        <v>58000</v>
      </c>
      <c r="C27" s="10">
        <f>B27*(1+$I$10)</f>
        <v>60029.999999999993</v>
      </c>
      <c r="D27" s="10">
        <f>C27*(1+$I$10)</f>
        <v>62131.049999999988</v>
      </c>
      <c r="E27" s="10">
        <f>D27*(1+$I$10)</f>
        <v>64305.636749999983</v>
      </c>
      <c r="F27" s="9">
        <f>IFERROR((E27/B27)^(1/3)-1,0)</f>
        <v>3.499999999999992E-2</v>
      </c>
    </row>
    <row r="28" spans="1:6">
      <c r="A28" t="s">
        <v>202</v>
      </c>
      <c r="B28" s="10">
        <v>62000</v>
      </c>
      <c r="C28" s="10">
        <f>B28*(1+$I$10)</f>
        <v>64169.999999999993</v>
      </c>
      <c r="D28" s="10">
        <f>C28*(1+$I$10)</f>
        <v>66415.949999999983</v>
      </c>
      <c r="E28" s="10">
        <f>D28*(1+$I$10)</f>
        <v>68740.50824999997</v>
      </c>
      <c r="F28" s="9">
        <f>IFERROR((E28/B28)^(1/3)-1,0)</f>
        <v>3.499999999999992E-2</v>
      </c>
    </row>
    <row r="29" spans="1:6">
      <c r="A29" t="s">
        <v>204</v>
      </c>
      <c r="B29" s="10">
        <v>45000</v>
      </c>
      <c r="C29" s="10">
        <f>B29*(1+$I$10)</f>
        <v>46575</v>
      </c>
      <c r="D29" s="10">
        <f>C29*(1+$I$10)</f>
        <v>48205.124999999993</v>
      </c>
      <c r="E29" s="10">
        <f>D29*(1+$I$10)</f>
        <v>49892.304374999985</v>
      </c>
      <c r="F29" s="9">
        <f>IFERROR((E29/B29)^(1/3)-1,0)</f>
        <v>3.499999999999992E-2</v>
      </c>
    </row>
    <row r="30" spans="1:6">
      <c r="A30" t="s">
        <v>206</v>
      </c>
      <c r="B30" s="10">
        <v>55000</v>
      </c>
      <c r="C30" s="10">
        <f>B30*(1+$I$10)</f>
        <v>56924.999999999993</v>
      </c>
      <c r="D30" s="10">
        <f>C30*(1+$I$10)</f>
        <v>58917.374999999985</v>
      </c>
      <c r="E30" s="10">
        <f>D30*(1+$I$10)</f>
        <v>60979.483124999977</v>
      </c>
      <c r="F30" s="9">
        <f>IFERROR((E30/B30)^(1/3)-1,0)</f>
        <v>3.499999999999992E-2</v>
      </c>
    </row>
    <row r="31" spans="1:6">
      <c r="A31" t="s">
        <v>470</v>
      </c>
      <c r="B31" s="10">
        <f>SUMPRODUCT(B27:B30,B8:B11)/B12</f>
        <v>54847.82608695652</v>
      </c>
      <c r="C31" s="10">
        <f>SUMPRODUCT(C27:C30,C8:C11)/C12</f>
        <v>56807.628865979372</v>
      </c>
      <c r="D31" s="10">
        <f>SUMPRODUCT(D27:D30,D8:D11)/D12</f>
        <v>58833.357352941166</v>
      </c>
      <c r="E31" s="10">
        <f>SUMPRODUCT(E27:E30,E8:E11)/E12</f>
        <v>60927.673878504655</v>
      </c>
    </row>
    <row r="34" spans="1:6">
      <c r="A34" s="40" t="s">
        <v>471</v>
      </c>
      <c r="B34" s="40"/>
      <c r="C34" s="40"/>
      <c r="D34" s="40"/>
      <c r="E34" s="40"/>
      <c r="F34" s="40"/>
    </row>
    <row r="36" spans="1:6">
      <c r="A36" t="s">
        <v>324</v>
      </c>
      <c r="B36" t="s">
        <v>60</v>
      </c>
      <c r="C36" t="s">
        <v>33</v>
      </c>
      <c r="D36" t="s">
        <v>34</v>
      </c>
      <c r="E36" t="s">
        <v>35</v>
      </c>
      <c r="F36" t="s">
        <v>120</v>
      </c>
    </row>
    <row r="37" spans="1:6">
      <c r="A37" t="s">
        <v>325</v>
      </c>
      <c r="B37" s="10">
        <f>B8*B27</f>
        <v>2204000</v>
      </c>
      <c r="C37" s="10">
        <f>C8*C27</f>
        <v>2401199.9999999995</v>
      </c>
      <c r="D37" s="10">
        <f>D8*D27</f>
        <v>2609504.0999999996</v>
      </c>
      <c r="E37" s="10">
        <f>E8*E27</f>
        <v>2829448.0169999991</v>
      </c>
      <c r="F37" s="9">
        <f>IFERROR((E37/B37)^(1/3)-1,0)</f>
        <v>8.6834400892144448E-2</v>
      </c>
    </row>
    <row r="38" spans="1:6">
      <c r="A38" t="s">
        <v>202</v>
      </c>
      <c r="B38" s="10">
        <f>B9*B28</f>
        <v>992000</v>
      </c>
      <c r="C38" s="10">
        <f>C9*C28</f>
        <v>1090889.9999999998</v>
      </c>
      <c r="D38" s="10">
        <f>D9*D28</f>
        <v>1195487.0999999996</v>
      </c>
      <c r="E38" s="10">
        <f>E9*E28</f>
        <v>1306069.6567499994</v>
      </c>
      <c r="F38" s="9">
        <f>IFERROR((E38/B38)^(1/3)-1,0)</f>
        <v>9.6019352425953386E-2</v>
      </c>
    </row>
    <row r="39" spans="1:6">
      <c r="A39" t="s">
        <v>204</v>
      </c>
      <c r="B39" s="10">
        <f>B10*B29</f>
        <v>1080000</v>
      </c>
      <c r="C39" s="10">
        <f>C10*C29</f>
        <v>1164375</v>
      </c>
      <c r="D39" s="10">
        <f>D10*D29</f>
        <v>1253333.2499999998</v>
      </c>
      <c r="E39" s="10">
        <f>E10*E29</f>
        <v>1347092.2181249997</v>
      </c>
      <c r="F39" s="9">
        <f>IFERROR((E39/B39)^(1/3)-1,0)</f>
        <v>7.6443378429360331E-2</v>
      </c>
    </row>
    <row r="40" spans="1:6">
      <c r="A40" t="s">
        <v>206</v>
      </c>
      <c r="B40" s="10">
        <f>B11*B30</f>
        <v>770000</v>
      </c>
      <c r="C40" s="10">
        <f>C11*C30</f>
        <v>853874.99999999988</v>
      </c>
      <c r="D40" s="10">
        <f>D11*D30</f>
        <v>942677.99999999977</v>
      </c>
      <c r="E40" s="10">
        <f>E11*E30</f>
        <v>1036651.2131249997</v>
      </c>
      <c r="F40" s="9">
        <f>IFERROR((E40/B40)^(1/3)-1,0)</f>
        <v>0.10419890389415798</v>
      </c>
    </row>
    <row r="41" spans="1:6">
      <c r="A41" t="s">
        <v>472</v>
      </c>
      <c r="B41" s="10">
        <f>SUM(B37:B40)</f>
        <v>5046000</v>
      </c>
      <c r="C41" s="10">
        <f>SUM(C37:C40)</f>
        <v>5510339.9999999991</v>
      </c>
      <c r="D41" s="10">
        <f>SUM(D37:D40)</f>
        <v>6001002.4499999993</v>
      </c>
      <c r="E41" s="10">
        <f>SUM(E37:E40)</f>
        <v>6519261.1049999977</v>
      </c>
      <c r="F41" s="9">
        <f>IFERROR((E41/B41)^(1/3)-1,0)</f>
        <v>8.9140003575574278E-2</v>
      </c>
    </row>
    <row r="44" spans="1:6">
      <c r="A44" s="40" t="s">
        <v>410</v>
      </c>
      <c r="B44" s="40"/>
      <c r="C44" s="40"/>
      <c r="D44" s="40"/>
      <c r="E44" s="40"/>
    </row>
    <row r="46" spans="1:6">
      <c r="A46" t="s">
        <v>32</v>
      </c>
      <c r="B46" t="s">
        <v>60</v>
      </c>
      <c r="C46" t="s">
        <v>33</v>
      </c>
      <c r="D46" t="s">
        <v>34</v>
      </c>
      <c r="E46" t="s">
        <v>35</v>
      </c>
    </row>
    <row r="47" spans="1:6">
      <c r="A47" t="s">
        <v>473</v>
      </c>
      <c r="B47" s="10">
        <f>B41</f>
        <v>5046000</v>
      </c>
      <c r="C47" s="10">
        <f>C41</f>
        <v>5510339.9999999991</v>
      </c>
      <c r="D47" s="10">
        <f>D41</f>
        <v>6001002.4499999993</v>
      </c>
      <c r="E47" s="10">
        <f>E41</f>
        <v>6519261.1049999977</v>
      </c>
    </row>
    <row r="48" spans="1:6">
      <c r="A48" t="s">
        <v>457</v>
      </c>
      <c r="B48" s="10">
        <f>B47*$I$11</f>
        <v>605520</v>
      </c>
      <c r="C48" s="10">
        <f>C47*$I$11</f>
        <v>661240.79999999981</v>
      </c>
      <c r="D48" s="10">
        <f>D47*$I$11</f>
        <v>720120.29399999988</v>
      </c>
      <c r="E48" s="10">
        <f>E47*$I$11</f>
        <v>782311.33259999973</v>
      </c>
    </row>
    <row r="49" spans="1:5">
      <c r="A49" t="s">
        <v>410</v>
      </c>
      <c r="B49" s="10">
        <f>B47+B48</f>
        <v>5651520</v>
      </c>
      <c r="C49" s="10">
        <f>C47+C48</f>
        <v>6171580.7999999989</v>
      </c>
      <c r="D49" s="10">
        <f>D47+D48</f>
        <v>6721122.743999999</v>
      </c>
      <c r="E49" s="10">
        <f>E47+E48</f>
        <v>7301572.437599997</v>
      </c>
    </row>
    <row r="52" spans="1:5">
      <c r="A52" s="40" t="s">
        <v>474</v>
      </c>
      <c r="B52" s="40"/>
    </row>
    <row r="54" spans="1:5">
      <c r="A54" t="s">
        <v>475</v>
      </c>
      <c r="B54">
        <f>B12</f>
        <v>92</v>
      </c>
    </row>
    <row r="55" spans="1:5">
      <c r="A55" t="s">
        <v>476</v>
      </c>
      <c r="B55">
        <f>C12</f>
        <v>97</v>
      </c>
    </row>
    <row r="56" spans="1:5">
      <c r="A56" t="s">
        <v>477</v>
      </c>
      <c r="B56">
        <f>D12</f>
        <v>102</v>
      </c>
    </row>
    <row r="57" spans="1:5">
      <c r="A57" t="s">
        <v>478</v>
      </c>
      <c r="B57">
        <f>E12</f>
        <v>107</v>
      </c>
    </row>
    <row r="59" spans="1:5">
      <c r="A59" t="s">
        <v>479</v>
      </c>
    </row>
    <row r="61" spans="1:5">
      <c r="A61" t="s">
        <v>480</v>
      </c>
      <c r="B61">
        <f>C12-B12</f>
        <v>5</v>
      </c>
    </row>
    <row r="62" spans="1:5">
      <c r="A62" t="s">
        <v>481</v>
      </c>
      <c r="B62">
        <f>D12-C12</f>
        <v>5</v>
      </c>
    </row>
    <row r="63" spans="1:5">
      <c r="A63" t="s">
        <v>482</v>
      </c>
      <c r="B63">
        <f>E12-D12</f>
        <v>5</v>
      </c>
    </row>
    <row r="66" spans="1:5">
      <c r="A66" s="40" t="s">
        <v>483</v>
      </c>
      <c r="B66" s="40"/>
      <c r="C66" s="40"/>
      <c r="D66" s="40"/>
      <c r="E66" s="40"/>
    </row>
    <row r="68" spans="1:5">
      <c r="A68" t="s">
        <v>32</v>
      </c>
      <c r="B68" t="s">
        <v>60</v>
      </c>
      <c r="C68" t="s">
        <v>33</v>
      </c>
      <c r="D68" t="s">
        <v>34</v>
      </c>
      <c r="E68" t="s">
        <v>35</v>
      </c>
    </row>
    <row r="69" spans="1:5">
      <c r="A69" t="s">
        <v>473</v>
      </c>
      <c r="B69" s="10">
        <f>B41</f>
        <v>5046000</v>
      </c>
      <c r="C69" s="10">
        <f>C41</f>
        <v>5510339.9999999991</v>
      </c>
      <c r="D69" s="10">
        <f>D41</f>
        <v>6001002.4499999993</v>
      </c>
      <c r="E69" s="10">
        <f>E41</f>
        <v>6519261.1049999977</v>
      </c>
    </row>
    <row r="70" spans="1:5">
      <c r="A70" t="s">
        <v>457</v>
      </c>
      <c r="B70" s="10">
        <f>B48</f>
        <v>605520</v>
      </c>
      <c r="C70" s="10">
        <f>C48</f>
        <v>661240.79999999981</v>
      </c>
      <c r="D70" s="10">
        <f>D48</f>
        <v>720120.29399999988</v>
      </c>
      <c r="E70" s="10">
        <f>E48</f>
        <v>782311.33259999973</v>
      </c>
    </row>
    <row r="71" spans="1:5">
      <c r="A71" t="s">
        <v>410</v>
      </c>
      <c r="B71" s="10">
        <f>B49</f>
        <v>5651520</v>
      </c>
      <c r="C71" s="10">
        <f>C49</f>
        <v>6171580.7999999989</v>
      </c>
      <c r="D71" s="10">
        <f>D49</f>
        <v>6721122.743999999</v>
      </c>
      <c r="E71" s="10">
        <f>E49</f>
        <v>7301572.437599997</v>
      </c>
    </row>
    <row r="72" spans="1:5">
      <c r="A72" t="s">
        <v>484</v>
      </c>
      <c r="C72" s="9">
        <f>IFERROR(C71/B71-1,0)</f>
        <v>9.2021403091557374E-2</v>
      </c>
      <c r="D72" s="9">
        <f>IFERROR(D71/C71-1,0)</f>
        <v>8.9043951915852793E-2</v>
      </c>
      <c r="E72" s="9">
        <f>IFERROR(E71/D71-1,0)</f>
        <v>8.6362013566583018E-2</v>
      </c>
    </row>
    <row r="74" spans="1:5">
      <c r="A74" t="s">
        <v>412</v>
      </c>
      <c r="B74" s="9">
        <f>B71/'Historical Trends'!B5</f>
        <v>1.3523996658800945</v>
      </c>
      <c r="C74" s="9">
        <f>C71/'Forecast Model'!C10</f>
        <v>1.1760541680611933</v>
      </c>
      <c r="D74" s="9">
        <f>D71/'Forecast Model'!D10</f>
        <v>1.1871431921442623</v>
      </c>
      <c r="E74" s="9">
        <f>E71/'Forecast Model'!E10</f>
        <v>1.1953856859764214</v>
      </c>
    </row>
    <row r="76" spans="1:5">
      <c r="A76" t="s">
        <v>411</v>
      </c>
      <c r="B76" s="11">
        <f>'Historical Trends'!D5/B12</f>
        <v>52870.283586956517</v>
      </c>
      <c r="C76" s="11">
        <f>'Forecast Model'!C10/C12</f>
        <v>54100.011766283147</v>
      </c>
      <c r="D76" s="11">
        <f>'Forecast Model'!D10/D12</f>
        <v>55505.823283436483</v>
      </c>
      <c r="E76" s="11">
        <f>'Forecast Model'!E10/E12</f>
        <v>57085.337012535718</v>
      </c>
    </row>
    <row r="77" spans="1:5">
      <c r="A77" t="s">
        <v>485</v>
      </c>
      <c r="C77" s="9">
        <f>IFERROR(C76/B76-1,0)</f>
        <v>2.3259345248339391E-2</v>
      </c>
      <c r="D77" s="9">
        <f>IFERROR(D76/C76-1,0)</f>
        <v>2.5985419804094745E-2</v>
      </c>
      <c r="E77" s="9">
        <f>IFERROR(E76/D76-1,0)</f>
        <v>2.8456721036882238E-2</v>
      </c>
    </row>
    <row r="80" spans="1:5">
      <c r="A80" s="40" t="s">
        <v>486</v>
      </c>
      <c r="B80" s="40"/>
      <c r="C80" s="40"/>
    </row>
    <row r="82" spans="1:3">
      <c r="A82" t="s">
        <v>118</v>
      </c>
      <c r="B82">
        <v>2025</v>
      </c>
      <c r="C82">
        <v>2028</v>
      </c>
    </row>
    <row r="83" spans="1:3">
      <c r="A83" t="s">
        <v>46</v>
      </c>
      <c r="B83" s="12">
        <f>B12</f>
        <v>92</v>
      </c>
      <c r="C83" s="12">
        <f>B12</f>
        <v>92</v>
      </c>
    </row>
    <row r="84" spans="1:3">
      <c r="A84" t="s">
        <v>410</v>
      </c>
      <c r="B84" s="10">
        <f>B71</f>
        <v>5651520</v>
      </c>
      <c r="C84" s="10">
        <f>E71</f>
        <v>7301572.437599997</v>
      </c>
    </row>
    <row r="85" spans="1:3">
      <c r="A85" t="s">
        <v>487</v>
      </c>
      <c r="B85" s="9">
        <f>B74</f>
        <v>1.3523996658800945</v>
      </c>
      <c r="C85" s="9">
        <f>E74</f>
        <v>1.1953856859764214</v>
      </c>
    </row>
    <row r="86" spans="1:3">
      <c r="A86" t="s">
        <v>411</v>
      </c>
      <c r="B86" s="10">
        <f>B76</f>
        <v>52870.283586956517</v>
      </c>
      <c r="C86" s="10">
        <f>E76</f>
        <v>57085.337012535718</v>
      </c>
    </row>
  </sheetData>
  <mergeCells count="12">
    <mergeCell ref="A80:C80"/>
    <mergeCell ref="A5:F5"/>
    <mergeCell ref="H5:I5"/>
    <mergeCell ref="A15:F15"/>
    <mergeCell ref="A24:F24"/>
    <mergeCell ref="A34:F34"/>
    <mergeCell ref="A44:E44"/>
    <mergeCell ref="A1:F1"/>
    <mergeCell ref="A2:F2"/>
    <mergeCell ref="A3:F3"/>
    <mergeCell ref="A52:B52"/>
    <mergeCell ref="A66:E6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AA1A-ABF4-4F7B-AB83-438F91416411}">
  <dimension ref="A1:H42"/>
  <sheetViews>
    <sheetView topLeftCell="A33" workbookViewId="0">
      <selection activeCell="A3" sqref="A3:E3"/>
    </sheetView>
  </sheetViews>
  <sheetFormatPr defaultRowHeight="15"/>
  <cols>
    <col min="1" max="1" width="48" customWidth="1"/>
    <col min="2" max="2" width="11.140625" customWidth="1"/>
    <col min="3" max="3" width="13.7109375" customWidth="1"/>
    <col min="4" max="4" width="13.42578125" customWidth="1"/>
    <col min="5" max="5" width="13.140625" customWidth="1"/>
    <col min="7" max="7" width="25.28515625" customWidth="1"/>
    <col min="8" max="8" width="12.5703125" customWidth="1"/>
  </cols>
  <sheetData>
    <row r="1" spans="1:8">
      <c r="A1" s="40" t="s">
        <v>0</v>
      </c>
      <c r="B1" s="40"/>
      <c r="C1" s="40"/>
      <c r="D1" s="40"/>
      <c r="E1" s="40"/>
    </row>
    <row r="2" spans="1:8">
      <c r="A2" s="40" t="s">
        <v>488</v>
      </c>
      <c r="B2" s="40"/>
      <c r="C2" s="40"/>
      <c r="D2" s="40"/>
      <c r="E2" s="40"/>
    </row>
    <row r="3" spans="1:8">
      <c r="A3" s="40" t="s">
        <v>449</v>
      </c>
      <c r="B3" s="40"/>
      <c r="C3" s="40"/>
      <c r="D3" s="40"/>
      <c r="E3" s="40"/>
    </row>
    <row r="5" spans="1:8">
      <c r="A5" s="40" t="s">
        <v>489</v>
      </c>
      <c r="B5" s="40"/>
      <c r="C5" s="40"/>
      <c r="D5" s="40"/>
      <c r="E5" s="40"/>
      <c r="G5" s="40" t="s">
        <v>490</v>
      </c>
      <c r="H5" s="40"/>
    </row>
    <row r="7" spans="1:8">
      <c r="A7" t="s">
        <v>324</v>
      </c>
      <c r="B7" t="s">
        <v>60</v>
      </c>
      <c r="C7" t="s">
        <v>33</v>
      </c>
      <c r="D7" t="s">
        <v>34</v>
      </c>
      <c r="E7" t="s">
        <v>35</v>
      </c>
      <c r="G7" t="s">
        <v>355</v>
      </c>
      <c r="H7" t="s">
        <v>453</v>
      </c>
    </row>
    <row r="8" spans="1:8">
      <c r="A8" t="s">
        <v>325</v>
      </c>
      <c r="B8" s="10">
        <v>180000</v>
      </c>
      <c r="C8" s="10">
        <f>B8*(1+$H$8)</f>
        <v>189000</v>
      </c>
      <c r="D8" s="10">
        <f>C8*(1+$H$8)</f>
        <v>198450</v>
      </c>
      <c r="E8" s="10">
        <f>D8*(1+$H$8)</f>
        <v>208372.5</v>
      </c>
      <c r="G8" t="s">
        <v>491</v>
      </c>
      <c r="H8" s="22">
        <v>0.05</v>
      </c>
    </row>
    <row r="9" spans="1:8">
      <c r="A9" t="s">
        <v>202</v>
      </c>
      <c r="B9" s="10">
        <v>65000</v>
      </c>
      <c r="C9" s="10">
        <f>B9*(1+$H$8)</f>
        <v>68250</v>
      </c>
      <c r="D9" s="10">
        <f>C9*(1+$H$8)</f>
        <v>71662.5</v>
      </c>
      <c r="E9" s="10">
        <f>D9*(1+$H$8)</f>
        <v>75245.625</v>
      </c>
      <c r="G9" t="s">
        <v>492</v>
      </c>
      <c r="H9">
        <v>5</v>
      </c>
    </row>
    <row r="10" spans="1:8">
      <c r="A10" t="s">
        <v>204</v>
      </c>
      <c r="B10" s="10">
        <v>90000</v>
      </c>
      <c r="C10" s="10">
        <f>B10*(1+$H$8)</f>
        <v>94500</v>
      </c>
      <c r="D10" s="10">
        <f>C10*(1+$H$8)</f>
        <v>99225</v>
      </c>
      <c r="E10" s="10">
        <f>D10*(1+$H$8)</f>
        <v>104186.25</v>
      </c>
    </row>
    <row r="11" spans="1:8">
      <c r="A11" t="s">
        <v>206</v>
      </c>
      <c r="B11" s="10">
        <v>75000</v>
      </c>
      <c r="C11" s="10">
        <f>B11*(1+$H$8)</f>
        <v>78750</v>
      </c>
      <c r="D11" s="10">
        <f>C11*(1+$H$8)</f>
        <v>82687.5</v>
      </c>
      <c r="E11" s="10">
        <f>D11*(1+$H$8)</f>
        <v>86821.875</v>
      </c>
      <c r="G11" t="s">
        <v>493</v>
      </c>
      <c r="H11" t="s">
        <v>494</v>
      </c>
    </row>
    <row r="12" spans="1:8">
      <c r="A12" t="s">
        <v>414</v>
      </c>
      <c r="B12" s="10">
        <f>SUM(B8:B11)</f>
        <v>410000</v>
      </c>
      <c r="C12" s="10">
        <f>SUM(C8:C11)</f>
        <v>430500</v>
      </c>
      <c r="D12" s="10">
        <f>SUM(D8:D11)</f>
        <v>452025</v>
      </c>
      <c r="E12" s="10">
        <f>SUM(E8:E11)</f>
        <v>474626.25</v>
      </c>
      <c r="G12" t="s">
        <v>495</v>
      </c>
      <c r="H12" s="22">
        <v>0</v>
      </c>
    </row>
    <row r="14" spans="1:8">
      <c r="A14" t="s">
        <v>496</v>
      </c>
      <c r="C14" s="9">
        <f>IFERROR(C12/B12-1,0)</f>
        <v>5.0000000000000044E-2</v>
      </c>
      <c r="D14" s="9">
        <f>IFERROR(D12/C12-1,0)</f>
        <v>5.0000000000000044E-2</v>
      </c>
      <c r="E14" s="9">
        <f>IFERROR(E12/D12-1,0)</f>
        <v>5.0000000000000044E-2</v>
      </c>
    </row>
    <row r="16" spans="1:8">
      <c r="A16" t="s">
        <v>416</v>
      </c>
      <c r="B16" s="9">
        <f>B12/'Historical Trends'!D5</f>
        <v>8.4291617838605476E-2</v>
      </c>
      <c r="C16" s="9">
        <f>C12/'Forecast Model'!C10</f>
        <v>8.2035921712366427E-2</v>
      </c>
      <c r="D16" s="9">
        <f>D12/'Forecast Model'!D10</f>
        <v>7.984058941760197E-2</v>
      </c>
      <c r="E16" s="9">
        <f>E12/'Forecast Model'!E10</f>
        <v>7.770400558063302E-2</v>
      </c>
    </row>
    <row r="19" spans="1:6">
      <c r="A19" s="40" t="s">
        <v>497</v>
      </c>
      <c r="B19" s="40"/>
      <c r="C19" s="40"/>
      <c r="D19" s="40"/>
      <c r="E19" s="40"/>
      <c r="F19" s="40"/>
    </row>
    <row r="21" spans="1:6">
      <c r="A21" t="s">
        <v>498</v>
      </c>
      <c r="B21" t="s">
        <v>60</v>
      </c>
      <c r="C21" t="s">
        <v>33</v>
      </c>
      <c r="D21" t="s">
        <v>34</v>
      </c>
      <c r="E21" t="s">
        <v>35</v>
      </c>
      <c r="F21" t="s">
        <v>499</v>
      </c>
    </row>
    <row r="22" spans="1:6">
      <c r="A22" t="s">
        <v>500</v>
      </c>
      <c r="B22" s="10">
        <v>205000</v>
      </c>
      <c r="C22" s="10">
        <f>B22*(1+$H$8)</f>
        <v>215250</v>
      </c>
      <c r="D22" s="10">
        <f>C22*(1+$H$8)</f>
        <v>226012.5</v>
      </c>
      <c r="E22" s="10">
        <f>D22*(1+$H$8)</f>
        <v>237313.125</v>
      </c>
      <c r="F22" s="9">
        <f>IFERROR(B22/B26,0)</f>
        <v>0.5</v>
      </c>
    </row>
    <row r="23" spans="1:6">
      <c r="A23" t="s">
        <v>501</v>
      </c>
      <c r="B23" s="10">
        <v>82000</v>
      </c>
      <c r="C23" s="10">
        <f>B23*(1+$H$8)</f>
        <v>86100</v>
      </c>
      <c r="D23" s="10">
        <f>C23*(1+$H$8)</f>
        <v>90405</v>
      </c>
      <c r="E23" s="10">
        <f>D23*(1+$H$8)</f>
        <v>94925.25</v>
      </c>
      <c r="F23" s="9">
        <f>IFERROR(B23/B26,0)</f>
        <v>0.2</v>
      </c>
    </row>
    <row r="24" spans="1:6">
      <c r="A24" t="s">
        <v>502</v>
      </c>
      <c r="B24" s="10">
        <v>82000</v>
      </c>
      <c r="C24" s="10">
        <f>B24*(1+$H$8)</f>
        <v>86100</v>
      </c>
      <c r="D24" s="10">
        <f>C24*(1+$H$8)</f>
        <v>90405</v>
      </c>
      <c r="E24" s="10">
        <f>D24*(1+$H$8)</f>
        <v>94925.25</v>
      </c>
      <c r="F24" s="9">
        <f>IFERROR(B24/B26,0)</f>
        <v>0.2</v>
      </c>
    </row>
    <row r="25" spans="1:6">
      <c r="A25" t="s">
        <v>503</v>
      </c>
      <c r="B25" s="10">
        <v>41000</v>
      </c>
      <c r="C25" s="10">
        <f>B25*(1+$H$8)</f>
        <v>43050</v>
      </c>
      <c r="D25" s="10">
        <f>C25*(1+$H$8)</f>
        <v>45202.5</v>
      </c>
      <c r="E25" s="10">
        <f>D25*(1+$H$8)</f>
        <v>47462.625</v>
      </c>
      <c r="F25" s="9">
        <f>IFERROR(B25/B26,0)</f>
        <v>0.1</v>
      </c>
    </row>
    <row r="26" spans="1:6">
      <c r="A26" t="s">
        <v>414</v>
      </c>
      <c r="B26" s="10">
        <f>SUM(B22:B25)</f>
        <v>410000</v>
      </c>
      <c r="C26" s="10">
        <f>SUM(C22:C25)</f>
        <v>430500</v>
      </c>
      <c r="D26" s="10">
        <f>SUM(D22:D25)</f>
        <v>452025</v>
      </c>
      <c r="E26" s="10">
        <f>SUM(E22:E25)</f>
        <v>474626.25</v>
      </c>
      <c r="F26" s="9">
        <f>SUM(F22:F25)</f>
        <v>0.99999999999999989</v>
      </c>
    </row>
    <row r="29" spans="1:6">
      <c r="A29" s="40" t="s">
        <v>504</v>
      </c>
      <c r="B29" s="40"/>
      <c r="C29" s="40"/>
      <c r="D29" s="40"/>
      <c r="E29" s="40"/>
    </row>
    <row r="31" spans="1:6">
      <c r="A31" t="s">
        <v>32</v>
      </c>
      <c r="B31" t="s">
        <v>60</v>
      </c>
      <c r="C31" t="s">
        <v>33</v>
      </c>
      <c r="D31" t="s">
        <v>34</v>
      </c>
      <c r="E31" t="s">
        <v>35</v>
      </c>
    </row>
    <row r="32" spans="1:6">
      <c r="A32" t="s">
        <v>505</v>
      </c>
      <c r="B32" s="10">
        <f>B26/$H$9</f>
        <v>82000</v>
      </c>
      <c r="C32" s="10">
        <f>C26/$H$9</f>
        <v>86100</v>
      </c>
      <c r="D32" s="10">
        <f>D26/$H$9</f>
        <v>90405</v>
      </c>
      <c r="E32" s="10">
        <f>E26/$H$9</f>
        <v>94925.25</v>
      </c>
    </row>
    <row r="33" spans="1:5">
      <c r="A33" t="s">
        <v>506</v>
      </c>
      <c r="B33" s="10">
        <v>82000</v>
      </c>
      <c r="C33" s="10">
        <f>B26/$H$9+C26/$H$9</f>
        <v>168100</v>
      </c>
      <c r="D33" s="10">
        <f>B26/$H$9+C26/$H$9+D26/$H$9</f>
        <v>258505</v>
      </c>
      <c r="E33" s="10">
        <f>B26/$H$9+C26/$H$9+D26/$H$9+E26/$H$9</f>
        <v>353430.25</v>
      </c>
    </row>
    <row r="34" spans="1:5">
      <c r="A34" t="s">
        <v>507</v>
      </c>
      <c r="B34" s="9">
        <f>IFERROR(C33/B33-1,0)</f>
        <v>1.0499999999999998</v>
      </c>
      <c r="C34" s="9">
        <f>IFERROR(D33/C33-1,0)</f>
        <v>0.53780487804878052</v>
      </c>
      <c r="D34" s="9">
        <f>IFERROR(E33/D33-1,0)</f>
        <v>0.36720856463124507</v>
      </c>
    </row>
    <row r="37" spans="1:5">
      <c r="A37" s="40" t="s">
        <v>508</v>
      </c>
      <c r="B37" s="40"/>
      <c r="C37" s="40"/>
    </row>
    <row r="39" spans="1:5">
      <c r="A39" t="s">
        <v>118</v>
      </c>
      <c r="B39">
        <v>2025</v>
      </c>
      <c r="C39">
        <v>2028</v>
      </c>
    </row>
    <row r="40" spans="1:5">
      <c r="A40" t="s">
        <v>414</v>
      </c>
      <c r="B40" s="10">
        <f>B12</f>
        <v>410000</v>
      </c>
      <c r="C40" s="10">
        <f>E12</f>
        <v>474626.25</v>
      </c>
    </row>
    <row r="41" spans="1:5">
      <c r="A41" t="s">
        <v>416</v>
      </c>
      <c r="B41" s="9">
        <f>B16</f>
        <v>8.4291617838605476E-2</v>
      </c>
      <c r="C41" s="9">
        <f>E16</f>
        <v>7.770400558063302E-2</v>
      </c>
    </row>
    <row r="42" spans="1:5">
      <c r="A42" t="s">
        <v>415</v>
      </c>
      <c r="B42" s="10">
        <f>B33</f>
        <v>82000</v>
      </c>
      <c r="C42" s="10">
        <f>E33</f>
        <v>353430.25</v>
      </c>
    </row>
  </sheetData>
  <mergeCells count="8">
    <mergeCell ref="G5:H5"/>
    <mergeCell ref="A5:E5"/>
    <mergeCell ref="A19:F19"/>
    <mergeCell ref="A29:E29"/>
    <mergeCell ref="A37:C37"/>
    <mergeCell ref="A1:E1"/>
    <mergeCell ref="A2:E2"/>
    <mergeCell ref="A3:E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12F7-07D8-4D34-BC05-445CA627665A}">
  <dimension ref="A1:H86"/>
  <sheetViews>
    <sheetView tabSelected="1" topLeftCell="A62" workbookViewId="0">
      <selection activeCell="A69" sqref="A69"/>
    </sheetView>
  </sheetViews>
  <sheetFormatPr defaultRowHeight="15"/>
  <cols>
    <col min="1" max="1" width="40.7109375" customWidth="1"/>
    <col min="2" max="2" width="11.42578125" customWidth="1"/>
    <col min="3" max="3" width="13.140625" customWidth="1"/>
    <col min="4" max="5" width="13.7109375" customWidth="1"/>
    <col min="7" max="7" width="19.42578125" customWidth="1"/>
    <col min="8" max="8" width="80" customWidth="1"/>
  </cols>
  <sheetData>
    <row r="1" spans="1:8">
      <c r="A1" s="40" t="s">
        <v>0</v>
      </c>
      <c r="B1" s="40"/>
      <c r="C1" s="40"/>
      <c r="D1" s="40"/>
      <c r="E1" s="40"/>
    </row>
    <row r="2" spans="1:8">
      <c r="A2" s="40" t="s">
        <v>509</v>
      </c>
      <c r="B2" s="40"/>
      <c r="C2" s="40"/>
      <c r="D2" s="40"/>
      <c r="E2" s="40"/>
    </row>
    <row r="3" spans="1:8">
      <c r="A3" s="40" t="s">
        <v>449</v>
      </c>
      <c r="B3" s="40"/>
      <c r="C3" s="40"/>
      <c r="D3" s="40"/>
      <c r="E3" s="40"/>
    </row>
    <row r="5" spans="1:8">
      <c r="A5" s="40" t="s">
        <v>449</v>
      </c>
      <c r="B5" s="40"/>
      <c r="C5" s="40"/>
      <c r="D5" s="40"/>
      <c r="E5" s="40"/>
    </row>
    <row r="7" spans="1:8">
      <c r="A7" t="s">
        <v>32</v>
      </c>
      <c r="B7" t="s">
        <v>60</v>
      </c>
      <c r="C7" t="s">
        <v>33</v>
      </c>
      <c r="D7" t="s">
        <v>34</v>
      </c>
      <c r="E7" t="s">
        <v>35</v>
      </c>
    </row>
    <row r="8" spans="1:8">
      <c r="A8" t="s">
        <v>36</v>
      </c>
      <c r="B8" s="10">
        <f>'Historical Trends'!D5</f>
        <v>4864066.09</v>
      </c>
      <c r="C8" s="10">
        <f>'Forecast Model'!C10</f>
        <v>5247701.1413294654</v>
      </c>
      <c r="D8" s="10">
        <f>'Forecast Model'!D10</f>
        <v>5661593.9749105209</v>
      </c>
      <c r="E8" s="10">
        <f>'Forecast Model'!E10</f>
        <v>6108131.0603413219</v>
      </c>
    </row>
    <row r="9" spans="1:8">
      <c r="A9" t="s">
        <v>41</v>
      </c>
      <c r="B9" s="10">
        <f>'Historical Trends'!D11</f>
        <v>1017080.6999999993</v>
      </c>
      <c r="C9" s="10">
        <f>'Forecast Model'!C16</f>
        <v>1126195.7638611554</v>
      </c>
      <c r="D9" s="10">
        <f>'Forecast Model'!D16</f>
        <v>1245362.2255878109</v>
      </c>
      <c r="E9" s="10">
        <f>'Forecast Model'!E16</f>
        <v>1375445.1455748254</v>
      </c>
    </row>
    <row r="10" spans="1:8">
      <c r="A10" t="s">
        <v>415</v>
      </c>
      <c r="B10" s="10">
        <f>'CapEx Plan'!B33</f>
        <v>82000</v>
      </c>
      <c r="C10" s="10">
        <f>'CapEx Plan'!C33</f>
        <v>168100</v>
      </c>
      <c r="D10" s="10">
        <f>'CapEx Plan'!D33</f>
        <v>258505</v>
      </c>
      <c r="E10" s="10">
        <f>'CapEx Plan'!E33</f>
        <v>353430.25</v>
      </c>
    </row>
    <row r="11" spans="1:8">
      <c r="A11" t="s">
        <v>418</v>
      </c>
      <c r="B11" s="10">
        <f>B9+B10</f>
        <v>1099080.6999999993</v>
      </c>
      <c r="C11" s="10">
        <f>C9+C10</f>
        <v>1294295.7638611554</v>
      </c>
      <c r="D11" s="10">
        <f>D9+D10</f>
        <v>1503867.2255878109</v>
      </c>
      <c r="E11" s="10">
        <f>E9+E10</f>
        <v>1728875.3955748254</v>
      </c>
    </row>
    <row r="13" spans="1:8">
      <c r="A13" t="s">
        <v>48</v>
      </c>
      <c r="B13" s="10">
        <f>'CapEx Plan'!B12</f>
        <v>410000</v>
      </c>
      <c r="C13" s="10">
        <f>'CapEx Plan'!C12</f>
        <v>430500</v>
      </c>
      <c r="D13" s="10">
        <f>'CapEx Plan'!D12</f>
        <v>452025</v>
      </c>
      <c r="E13" s="10">
        <f>'CapEx Plan'!E12</f>
        <v>474626.25</v>
      </c>
    </row>
    <row r="14" spans="1:8">
      <c r="A14" t="s">
        <v>44</v>
      </c>
      <c r="B14" s="10">
        <f>B11-B13</f>
        <v>689080.69999999925</v>
      </c>
      <c r="C14" s="10">
        <f>C11-C13</f>
        <v>863795.76386115537</v>
      </c>
      <c r="D14" s="10">
        <f>D11-D13</f>
        <v>1051842.2255878109</v>
      </c>
      <c r="E14" s="10">
        <f>E11-E13</f>
        <v>1254249.1455748254</v>
      </c>
      <c r="G14" t="s">
        <v>510</v>
      </c>
      <c r="H14" s="10">
        <v>1000000</v>
      </c>
    </row>
    <row r="15" spans="1:8">
      <c r="G15" t="s">
        <v>357</v>
      </c>
      <c r="H15" t="s">
        <v>511</v>
      </c>
    </row>
    <row r="16" spans="1:8">
      <c r="A16" t="s">
        <v>512</v>
      </c>
      <c r="B16" s="9">
        <f>IFERROR(B14/B8,0)</f>
        <v>0.14166762688867973</v>
      </c>
      <c r="C16" s="9">
        <f>IFERROR(C14/C8,0)</f>
        <v>0.16460460315815911</v>
      </c>
      <c r="D16" s="9">
        <f>IFERROR(D14/D8,0)</f>
        <v>0.18578552793596168</v>
      </c>
      <c r="E16" s="9">
        <f>IFERROR(E14/E8,0)</f>
        <v>0.20534090267289354</v>
      </c>
    </row>
    <row r="19" spans="1:5">
      <c r="A19" s="40" t="s">
        <v>513</v>
      </c>
      <c r="B19" s="40"/>
      <c r="C19" s="40"/>
      <c r="D19" s="40"/>
      <c r="E19" s="40"/>
    </row>
    <row r="21" spans="1:5">
      <c r="A21" t="s">
        <v>32</v>
      </c>
      <c r="B21" t="s">
        <v>60</v>
      </c>
      <c r="C21" t="s">
        <v>33</v>
      </c>
      <c r="D21" t="s">
        <v>34</v>
      </c>
      <c r="E21" t="s">
        <v>35</v>
      </c>
    </row>
    <row r="22" spans="1:5">
      <c r="A22" t="s">
        <v>514</v>
      </c>
      <c r="B22" s="10">
        <f>H14</f>
        <v>1000000</v>
      </c>
      <c r="C22" s="10">
        <f>B24</f>
        <v>1689080.6999999993</v>
      </c>
      <c r="D22" s="10">
        <f>C24</f>
        <v>2552876.4638611544</v>
      </c>
      <c r="E22" s="10">
        <f>D24</f>
        <v>3604718.6894489652</v>
      </c>
    </row>
    <row r="23" spans="1:5">
      <c r="A23" t="s">
        <v>44</v>
      </c>
      <c r="B23" s="10">
        <f>B14</f>
        <v>689080.69999999925</v>
      </c>
      <c r="C23" s="10">
        <f>C14</f>
        <v>863795.76386115537</v>
      </c>
      <c r="D23" s="10">
        <f>D14</f>
        <v>1051842.2255878109</v>
      </c>
      <c r="E23" s="10">
        <f>E14</f>
        <v>1254249.1455748254</v>
      </c>
    </row>
    <row r="24" spans="1:5">
      <c r="A24" t="s">
        <v>45</v>
      </c>
      <c r="B24" s="10">
        <f>B22+B23</f>
        <v>1689080.6999999993</v>
      </c>
      <c r="C24" s="10">
        <f>C22+C23</f>
        <v>2552876.4638611544</v>
      </c>
      <c r="D24" s="10">
        <f>D22+D23</f>
        <v>3604718.6894489652</v>
      </c>
      <c r="E24" s="10">
        <f>E22+E23</f>
        <v>4858967.8350237906</v>
      </c>
    </row>
    <row r="27" spans="1:5">
      <c r="A27" s="40" t="s">
        <v>515</v>
      </c>
      <c r="B27" s="40"/>
      <c r="C27" s="40"/>
      <c r="D27" s="40"/>
      <c r="E27" s="40"/>
    </row>
    <row r="29" spans="1:5">
      <c r="A29" t="s">
        <v>516</v>
      </c>
      <c r="C29" s="9">
        <f>IFERROR(C14/B14-1,0)</f>
        <v>0.25354804431637157</v>
      </c>
      <c r="D29" s="9">
        <f>IFERROR(D14/C14-1,0)</f>
        <v>0.21769782811400962</v>
      </c>
      <c r="E29" s="9">
        <f>IFERROR(E14/D14-1,0)</f>
        <v>0.19243087514755497</v>
      </c>
    </row>
    <row r="30" spans="1:5">
      <c r="A30" t="s">
        <v>517</v>
      </c>
      <c r="B30" s="9">
        <f>IFERROR(B11/B8,0)</f>
        <v>0.22595924472728521</v>
      </c>
      <c r="C30" s="9">
        <f>IFERROR(C11/C8,0)</f>
        <v>0.24664052487052557</v>
      </c>
      <c r="D30" s="9">
        <f>IFERROR(D11/D8,0)</f>
        <v>0.26562611735356362</v>
      </c>
      <c r="E30" s="9">
        <f>IFERROR(E11/E8,0)</f>
        <v>0.28304490825352657</v>
      </c>
    </row>
    <row r="31" spans="1:5">
      <c r="A31" t="s">
        <v>518</v>
      </c>
      <c r="B31" s="9">
        <f>IFERROR(B13/B11,0)</f>
        <v>0.37303903161978941</v>
      </c>
      <c r="C31" s="9">
        <f>IFERROR(C13/C11,0)</f>
        <v>0.3326133114395185</v>
      </c>
      <c r="D31" s="9">
        <f>IFERROR(D13/D11,0)</f>
        <v>0.30057507225966623</v>
      </c>
      <c r="E31" s="9">
        <f>IFERROR(E13/E11,0)</f>
        <v>0.27452889387797308</v>
      </c>
    </row>
    <row r="34" spans="1:5">
      <c r="A34" s="40" t="s">
        <v>519</v>
      </c>
      <c r="B34" s="40"/>
      <c r="C34" s="40"/>
    </row>
    <row r="36" spans="1:5">
      <c r="A36" t="s">
        <v>118</v>
      </c>
      <c r="B36">
        <v>2025</v>
      </c>
      <c r="C36">
        <v>2028</v>
      </c>
    </row>
    <row r="37" spans="1:5">
      <c r="A37" t="s">
        <v>418</v>
      </c>
      <c r="B37" s="10">
        <f>B11</f>
        <v>1099080.6999999993</v>
      </c>
      <c r="C37" s="10">
        <f>E11</f>
        <v>1728875.3955748254</v>
      </c>
    </row>
    <row r="38" spans="1:5">
      <c r="A38" t="s">
        <v>48</v>
      </c>
      <c r="B38" s="10">
        <f>B13</f>
        <v>410000</v>
      </c>
      <c r="C38" s="10">
        <f>E13</f>
        <v>474626.25</v>
      </c>
    </row>
    <row r="39" spans="1:5">
      <c r="A39" t="s">
        <v>44</v>
      </c>
      <c r="B39" s="10">
        <f>B14</f>
        <v>689080.69999999925</v>
      </c>
      <c r="C39" s="10">
        <f>E14</f>
        <v>1254249.1455748254</v>
      </c>
    </row>
    <row r="40" spans="1:5">
      <c r="A40" t="s">
        <v>512</v>
      </c>
      <c r="B40" s="9">
        <f>B16</f>
        <v>0.14166762688867973</v>
      </c>
      <c r="C40" s="9">
        <f>E16</f>
        <v>0.20534090267289354</v>
      </c>
    </row>
    <row r="41" spans="1:5">
      <c r="A41" t="s">
        <v>45</v>
      </c>
      <c r="B41" s="10"/>
    </row>
    <row r="44" spans="1:5">
      <c r="A44" s="40" t="s">
        <v>520</v>
      </c>
      <c r="B44" s="40"/>
      <c r="C44" s="40"/>
      <c r="D44" s="40"/>
      <c r="E44" s="40"/>
    </row>
    <row r="46" spans="1:5">
      <c r="A46" t="s">
        <v>32</v>
      </c>
      <c r="B46" t="s">
        <v>60</v>
      </c>
      <c r="C46" t="s">
        <v>33</v>
      </c>
      <c r="D46" t="s">
        <v>34</v>
      </c>
      <c r="E46" t="s">
        <v>35</v>
      </c>
    </row>
    <row r="47" spans="1:5">
      <c r="A47" t="s">
        <v>165</v>
      </c>
      <c r="B47" s="10">
        <f>'Historical Trends'!D5*8%</f>
        <v>389125.28720000002</v>
      </c>
      <c r="C47" s="10">
        <f>C8*8%</f>
        <v>419816.09130635724</v>
      </c>
      <c r="D47" s="10">
        <f>D8*8%</f>
        <v>452927.51799284166</v>
      </c>
      <c r="E47" s="10">
        <f>E8*8%</f>
        <v>488650.48482730577</v>
      </c>
    </row>
    <row r="48" spans="1:5">
      <c r="A48" t="s">
        <v>166</v>
      </c>
      <c r="B48" s="10">
        <f>B8*6%</f>
        <v>291843.96539999999</v>
      </c>
      <c r="C48" s="10">
        <f>C8*6%</f>
        <v>314862.06847976794</v>
      </c>
      <c r="D48" s="10">
        <f>D8*6%</f>
        <v>339695.63849463122</v>
      </c>
      <c r="E48" s="10">
        <f>E8*6%</f>
        <v>366487.8636204793</v>
      </c>
    </row>
    <row r="49" spans="1:5">
      <c r="A49" t="s">
        <v>169</v>
      </c>
      <c r="B49" s="10">
        <f>B8*5%</f>
        <v>243203.3045</v>
      </c>
      <c r="C49" s="10">
        <f>C8*5%</f>
        <v>262385.05706647329</v>
      </c>
      <c r="D49" s="10">
        <f>D8*5%</f>
        <v>283079.69874552608</v>
      </c>
      <c r="E49" s="10">
        <f>E8*5%</f>
        <v>305406.55301706609</v>
      </c>
    </row>
    <row r="50" spans="1:5">
      <c r="A50" t="s">
        <v>172</v>
      </c>
      <c r="B50" s="10">
        <f>B8*3%</f>
        <v>145921.98269999999</v>
      </c>
      <c r="C50" s="10">
        <f>C8*3%</f>
        <v>157431.03423988397</v>
      </c>
      <c r="D50" s="10">
        <f>D8*3%</f>
        <v>169847.81924731561</v>
      </c>
      <c r="E50" s="10">
        <f>E8*3%</f>
        <v>183243.93181023965</v>
      </c>
    </row>
    <row r="52" spans="1:5">
      <c r="A52" t="s">
        <v>521</v>
      </c>
      <c r="B52" s="10">
        <f>B47+B48-B49-B50</f>
        <v>291843.96540000004</v>
      </c>
      <c r="C52" s="10">
        <f>C47+C48-C49-C50</f>
        <v>314862.06847976788</v>
      </c>
      <c r="D52" s="10">
        <f>D47+D48-D49-D50</f>
        <v>339695.63849463116</v>
      </c>
      <c r="E52" s="10">
        <f>E47+E48-E49-E50</f>
        <v>366487.86362047924</v>
      </c>
    </row>
    <row r="53" spans="1:5">
      <c r="A53" t="s">
        <v>522</v>
      </c>
      <c r="C53" s="10">
        <f>C52-B52</f>
        <v>23018.10307976784</v>
      </c>
      <c r="D53" s="10">
        <f>D52-C52</f>
        <v>24833.570014863275</v>
      </c>
      <c r="E53" s="10">
        <f>E52-D52</f>
        <v>26792.225125848083</v>
      </c>
    </row>
    <row r="54" spans="1:5">
      <c r="A54" t="s">
        <v>523</v>
      </c>
      <c r="B54" s="9">
        <f>IFERROR(B52/B8,0)</f>
        <v>6.0000000000000012E-2</v>
      </c>
      <c r="C54" s="9">
        <f>IFERROR(C52/C8,0)</f>
        <v>5.9999999999999991E-2</v>
      </c>
      <c r="D54" s="9">
        <f>IFERROR(D52/D8,0)</f>
        <v>5.9999999999999984E-2</v>
      </c>
      <c r="E54" s="9">
        <f>IFERROR(E52/E8,0)</f>
        <v>5.9999999999999991E-2</v>
      </c>
    </row>
    <row r="57" spans="1:5">
      <c r="A57" s="40" t="s">
        <v>524</v>
      </c>
      <c r="B57" s="40"/>
      <c r="C57" s="40"/>
      <c r="D57" s="40"/>
      <c r="E57" s="40"/>
    </row>
    <row r="59" spans="1:5">
      <c r="A59" t="s">
        <v>418</v>
      </c>
      <c r="B59" s="10">
        <f>B11</f>
        <v>1099080.6999999993</v>
      </c>
      <c r="C59" s="10">
        <f>C11</f>
        <v>1294295.7638611554</v>
      </c>
      <c r="D59" s="10">
        <f>D11</f>
        <v>1503867.2255878109</v>
      </c>
      <c r="E59" s="10">
        <f>E11</f>
        <v>1728875.3955748254</v>
      </c>
    </row>
    <row r="60" spans="1:5">
      <c r="A60" t="s">
        <v>522</v>
      </c>
      <c r="B60">
        <v>0</v>
      </c>
      <c r="C60" s="10">
        <f>C53</f>
        <v>23018.10307976784</v>
      </c>
      <c r="D60" s="10">
        <f>D53</f>
        <v>24833.570014863275</v>
      </c>
      <c r="E60" s="10">
        <f>E53</f>
        <v>26792.225125848083</v>
      </c>
    </row>
    <row r="61" spans="1:5">
      <c r="A61" t="s">
        <v>48</v>
      </c>
      <c r="B61" s="10">
        <f>B13</f>
        <v>410000</v>
      </c>
      <c r="C61" s="10">
        <f>C13</f>
        <v>430500</v>
      </c>
      <c r="D61" s="10">
        <f>D13</f>
        <v>452025</v>
      </c>
      <c r="E61" s="10">
        <f>E13</f>
        <v>474626.25</v>
      </c>
    </row>
    <row r="62" spans="1:5">
      <c r="A62" t="s">
        <v>524</v>
      </c>
      <c r="B62" s="10">
        <f>B59-B60-B61</f>
        <v>689080.69999999925</v>
      </c>
      <c r="C62" s="10">
        <f>C59-C60-C61</f>
        <v>840777.66078138747</v>
      </c>
      <c r="D62" s="10">
        <f>D59-D60-D61</f>
        <v>1027008.6555729476</v>
      </c>
      <c r="E62" s="10">
        <f>E59-E60-E61</f>
        <v>1227456.9204489773</v>
      </c>
    </row>
    <row r="65" spans="1:3">
      <c r="A65" s="40" t="s">
        <v>525</v>
      </c>
      <c r="B65" s="40"/>
    </row>
    <row r="67" spans="1:3">
      <c r="A67" s="44">
        <v>2026</v>
      </c>
      <c r="B67" s="10">
        <f>-C53</f>
        <v>-23018.10307976784</v>
      </c>
    </row>
    <row r="68" spans="1:3">
      <c r="A68" s="44">
        <v>2027</v>
      </c>
      <c r="B68" s="10">
        <f>-D53</f>
        <v>-24833.570014863275</v>
      </c>
    </row>
    <row r="69" spans="1:3">
      <c r="A69" s="44">
        <v>2028</v>
      </c>
      <c r="B69" s="10">
        <f>-E53</f>
        <v>-26792.225125848083</v>
      </c>
    </row>
    <row r="72" spans="1:3">
      <c r="A72" s="40" t="s">
        <v>526</v>
      </c>
      <c r="B72" s="40"/>
      <c r="C72" s="40"/>
    </row>
    <row r="74" spans="1:3">
      <c r="A74" t="s">
        <v>118</v>
      </c>
      <c r="B74">
        <v>2026</v>
      </c>
      <c r="C74">
        <v>2028</v>
      </c>
    </row>
    <row r="75" spans="1:3">
      <c r="A75" t="s">
        <v>45</v>
      </c>
      <c r="B75" s="10">
        <f>C24</f>
        <v>2552876.4638611544</v>
      </c>
      <c r="C75" s="10">
        <f>E24</f>
        <v>4858967.8350237906</v>
      </c>
    </row>
    <row r="76" spans="1:3">
      <c r="A76" t="s">
        <v>524</v>
      </c>
      <c r="B76" s="10">
        <f>C62</f>
        <v>840777.66078138747</v>
      </c>
      <c r="C76" s="10">
        <f>E62</f>
        <v>1227456.9204489773</v>
      </c>
    </row>
    <row r="77" spans="1:3">
      <c r="A77" t="s">
        <v>523</v>
      </c>
      <c r="B77" s="9">
        <f>C54</f>
        <v>5.9999999999999991E-2</v>
      </c>
      <c r="C77" s="9">
        <f>E54</f>
        <v>5.9999999999999991E-2</v>
      </c>
    </row>
    <row r="79" spans="1:3">
      <c r="A79" t="s">
        <v>527</v>
      </c>
      <c r="B79">
        <v>2026</v>
      </c>
      <c r="C79">
        <v>2028</v>
      </c>
    </row>
    <row r="80" spans="1:3">
      <c r="B80" t="str">
        <f>IF(C24&lt;0,"HIGH RISK",IF(C24&lt;'Cash Flow Plan'!$H$14,"MONITOR","LOW RISK"))</f>
        <v>LOW RISK</v>
      </c>
      <c r="C80" t="str">
        <f>IF(E24&lt;0,"HIGH RISK",IF(E24&lt;'Cash Flow Plan'!$H$14,"MONITOR","LOW RISK"))</f>
        <v>LOW RISK</v>
      </c>
    </row>
    <row r="82" spans="1:4">
      <c r="A82" s="40" t="s">
        <v>528</v>
      </c>
      <c r="B82" s="40"/>
      <c r="C82" s="40"/>
      <c r="D82" s="40"/>
    </row>
    <row r="84" spans="1:4">
      <c r="A84" t="s">
        <v>99</v>
      </c>
      <c r="B84" s="10">
        <f>C22+C23</f>
        <v>2552876.4638611544</v>
      </c>
      <c r="C84" s="10">
        <f>C24</f>
        <v>2552876.4638611544</v>
      </c>
      <c r="D84" t="str">
        <f>IF(ABS(B84-C84)&lt;1,"PASS","CHECK")</f>
        <v>PASS</v>
      </c>
    </row>
    <row r="85" spans="1:4">
      <c r="A85" t="s">
        <v>100</v>
      </c>
      <c r="B85" s="10">
        <f>D22+D23</f>
        <v>3604718.6894489652</v>
      </c>
      <c r="C85" s="10">
        <f>D24</f>
        <v>3604718.6894489652</v>
      </c>
      <c r="D85" t="str">
        <f>IF(ABS(B85-C85)&lt;1,"PASS","CHECK")</f>
        <v>PASS</v>
      </c>
    </row>
    <row r="86" spans="1:4">
      <c r="A86" t="s">
        <v>30</v>
      </c>
      <c r="B86" s="10">
        <f>E22+E23</f>
        <v>4858967.8350237906</v>
      </c>
      <c r="C86" s="10">
        <f>E24</f>
        <v>4858967.8350237906</v>
      </c>
      <c r="D86" t="str">
        <f>IF(ABS(B86-C86)&lt;1,"PASS","CHECK")</f>
        <v>PASS</v>
      </c>
    </row>
  </sheetData>
  <mergeCells count="12">
    <mergeCell ref="A1:E1"/>
    <mergeCell ref="A2:E2"/>
    <mergeCell ref="A3:E3"/>
    <mergeCell ref="A72:C72"/>
    <mergeCell ref="A82:D82"/>
    <mergeCell ref="A5:E5"/>
    <mergeCell ref="A19:E19"/>
    <mergeCell ref="A27:E27"/>
    <mergeCell ref="A34:C34"/>
    <mergeCell ref="A44:E44"/>
    <mergeCell ref="A57:E57"/>
    <mergeCell ref="A65:B6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4D63-B285-4167-9371-FDCDE76E9B20}">
  <dimension ref="A1:F80"/>
  <sheetViews>
    <sheetView topLeftCell="A35" workbookViewId="0">
      <selection activeCell="A3" sqref="A3:E3"/>
    </sheetView>
  </sheetViews>
  <sheetFormatPr defaultRowHeight="15"/>
  <cols>
    <col min="1" max="1" width="41.140625" customWidth="1"/>
    <col min="2" max="2" width="13.7109375" customWidth="1"/>
    <col min="3" max="3" width="20.85546875" customWidth="1"/>
    <col min="4" max="4" width="18.42578125" customWidth="1"/>
    <col min="5" max="5" width="18" customWidth="1"/>
    <col min="6" max="6" width="13" customWidth="1"/>
  </cols>
  <sheetData>
    <row r="1" spans="1:5">
      <c r="A1" s="40" t="s">
        <v>0</v>
      </c>
      <c r="B1" s="40"/>
      <c r="C1" s="40"/>
      <c r="D1" s="40"/>
      <c r="E1" s="40"/>
    </row>
    <row r="2" spans="1:5">
      <c r="A2" s="40" t="s">
        <v>529</v>
      </c>
      <c r="B2" s="40"/>
      <c r="C2" s="40"/>
      <c r="D2" s="40"/>
      <c r="E2" s="40"/>
    </row>
    <row r="3" spans="1:5">
      <c r="A3" s="40" t="s">
        <v>530</v>
      </c>
      <c r="B3" s="40"/>
      <c r="C3" s="40"/>
      <c r="D3" s="40"/>
      <c r="E3" s="40"/>
    </row>
    <row r="5" spans="1:5">
      <c r="A5" s="40" t="s">
        <v>531</v>
      </c>
      <c r="B5" s="40"/>
      <c r="C5" s="40"/>
      <c r="D5" s="40"/>
      <c r="E5" s="40"/>
    </row>
    <row r="7" spans="1:5">
      <c r="A7" t="s">
        <v>32</v>
      </c>
      <c r="B7" t="s">
        <v>72</v>
      </c>
      <c r="C7" t="s">
        <v>73</v>
      </c>
      <c r="D7" t="s">
        <v>74</v>
      </c>
      <c r="E7" t="s">
        <v>532</v>
      </c>
    </row>
    <row r="8" spans="1:5">
      <c r="A8" t="s">
        <v>358</v>
      </c>
      <c r="B8" s="9">
        <f>Assumptions!C7</f>
        <v>7.8871266185749134E-2</v>
      </c>
      <c r="C8" s="9">
        <f>Assumptions!D7</f>
        <v>0.10887126618574913</v>
      </c>
      <c r="D8" s="9">
        <f>Assumptions!E7</f>
        <v>4.8871266185749135E-2</v>
      </c>
      <c r="E8" s="9">
        <f>C8-B8</f>
        <v>0.03</v>
      </c>
    </row>
    <row r="9" spans="1:5">
      <c r="A9" t="s">
        <v>302</v>
      </c>
      <c r="B9" s="9">
        <f>Assumptions!C10</f>
        <v>0.41499999643302526</v>
      </c>
      <c r="C9" s="9">
        <f>Assumptions!D10</f>
        <v>0.42499999643302527</v>
      </c>
      <c r="D9" s="9">
        <f>Assumptions!E10</f>
        <v>0.40499999643302526</v>
      </c>
      <c r="E9" s="9">
        <f>C9-B9</f>
        <v>1.0000000000000009E-2</v>
      </c>
    </row>
    <row r="10" spans="1:5">
      <c r="A10" t="s">
        <v>312</v>
      </c>
      <c r="B10" s="9">
        <f>Assumptions!C13</f>
        <v>5.0018118273172041E-2</v>
      </c>
      <c r="C10" s="9">
        <f>Assumptions!D13</f>
        <v>3.001811827317204E-2</v>
      </c>
      <c r="D10" s="9">
        <f>Assumptions!E13</f>
        <v>7.0018118273172045E-2</v>
      </c>
      <c r="E10" s="9">
        <f>C10-B10</f>
        <v>-0.02</v>
      </c>
    </row>
    <row r="11" spans="1:5">
      <c r="A11" t="s">
        <v>304</v>
      </c>
      <c r="B11" s="9">
        <f>Assumptions!C16</f>
        <v>0.20910092115956411</v>
      </c>
      <c r="C11" s="9">
        <f>Assumptions!D16</f>
        <v>0.22410092115956409</v>
      </c>
      <c r="D11" s="9">
        <f>Assumptions!E16</f>
        <v>0.19410092115956412</v>
      </c>
      <c r="E11" s="9">
        <f>C11-B11</f>
        <v>1.4999999999999986E-2</v>
      </c>
    </row>
    <row r="14" spans="1:5">
      <c r="A14" s="40" t="s">
        <v>533</v>
      </c>
      <c r="B14" s="40"/>
      <c r="C14" s="40"/>
      <c r="D14" s="40"/>
      <c r="E14" s="40"/>
    </row>
    <row r="16" spans="1:5">
      <c r="A16" t="s">
        <v>32</v>
      </c>
      <c r="B16" t="s">
        <v>72</v>
      </c>
      <c r="C16" t="s">
        <v>73</v>
      </c>
      <c r="D16" t="s">
        <v>74</v>
      </c>
      <c r="E16" t="s">
        <v>534</v>
      </c>
    </row>
    <row r="17" spans="1:5">
      <c r="A17" t="s">
        <v>36</v>
      </c>
      <c r="B17" s="10">
        <f>'Historical Trends'!D5*(1+B8)</f>
        <v>5247701.1413294654</v>
      </c>
      <c r="C17" s="10">
        <f>'Historical Trends'!D5*(1+C8)</f>
        <v>5393623.124029466</v>
      </c>
      <c r="D17" s="10">
        <f>'Historical Trends'!D5*(1+D8)</f>
        <v>5101779.1586294658</v>
      </c>
      <c r="E17" s="10">
        <f>C17-D17</f>
        <v>291843.9654000001</v>
      </c>
    </row>
    <row r="18" spans="1:5">
      <c r="A18" t="s">
        <v>38</v>
      </c>
      <c r="B18" s="10">
        <f>B17*B9</f>
        <v>2177795.9549333109</v>
      </c>
      <c r="C18" s="10">
        <f>C17*C9</f>
        <v>2292289.8084736057</v>
      </c>
      <c r="D18" s="10">
        <f>D17*D9</f>
        <v>2066220.5410470162</v>
      </c>
      <c r="E18" s="10">
        <f>C18-D18</f>
        <v>226069.2674265895</v>
      </c>
    </row>
    <row r="19" spans="1:5">
      <c r="A19" t="s">
        <v>40</v>
      </c>
      <c r="B19" s="9">
        <f>'Historical Trends'!D10*(1+B10)</f>
        <v>3.8348534990202465E-2</v>
      </c>
      <c r="C19" s="9">
        <f>'Historical Trends'!D10*(1+C10)</f>
        <v>3.7618099308706431E-2</v>
      </c>
      <c r="D19" s="9">
        <f>'Historical Trends'!D10*(1+D10)</f>
        <v>3.90789706716985E-2</v>
      </c>
      <c r="E19" s="9">
        <f>C19-D19</f>
        <v>-1.4608713629920694E-3</v>
      </c>
    </row>
    <row r="20" spans="1:5">
      <c r="A20" t="s">
        <v>41</v>
      </c>
      <c r="B20" s="10">
        <f>B18+B19</f>
        <v>2177795.9932818459</v>
      </c>
      <c r="C20" s="10">
        <f>C18+C19</f>
        <v>2292289.8460917049</v>
      </c>
      <c r="D20" s="10">
        <f>D18+D19</f>
        <v>2066220.5801259868</v>
      </c>
      <c r="E20" s="10">
        <f>C20-D20</f>
        <v>226069.26596571808</v>
      </c>
    </row>
    <row r="21" spans="1:5">
      <c r="A21" t="s">
        <v>42</v>
      </c>
      <c r="B21" s="9">
        <f>IFERROR(B20/B17,0)</f>
        <v>0.415000003740708</v>
      </c>
      <c r="C21" s="9">
        <f>IFERROR(C20/C17,0)</f>
        <v>0.42500000340757621</v>
      </c>
      <c r="D21" s="9">
        <f>IFERROR(D20/D17,0)</f>
        <v>0.40500000409289633</v>
      </c>
      <c r="E21" s="9">
        <f>C21-D21</f>
        <v>1.9999999314679884E-2</v>
      </c>
    </row>
    <row r="22" spans="1:5">
      <c r="A22" t="s">
        <v>48</v>
      </c>
      <c r="B22" s="10">
        <f>'CapEx Plan'!C12</f>
        <v>430500</v>
      </c>
      <c r="C22" s="10">
        <f>'CapEx Plan'!C12</f>
        <v>430500</v>
      </c>
      <c r="D22" s="10">
        <f>'CapEx Plan'!C12</f>
        <v>430500</v>
      </c>
      <c r="E22" s="9">
        <f>0</f>
        <v>0</v>
      </c>
    </row>
    <row r="23" spans="1:5">
      <c r="A23" t="s">
        <v>415</v>
      </c>
      <c r="B23" s="10">
        <f>'CapEx Plan'!C33</f>
        <v>168100</v>
      </c>
      <c r="C23" s="10">
        <f>'CapEx Plan'!C33</f>
        <v>168100</v>
      </c>
      <c r="D23" s="10">
        <f>'CapEx Plan'!C33</f>
        <v>168100</v>
      </c>
      <c r="E23" s="10">
        <v>0</v>
      </c>
    </row>
    <row r="24" spans="1:5">
      <c r="A24" t="s">
        <v>418</v>
      </c>
      <c r="B24" s="10">
        <f>B20+B23</f>
        <v>2345895.9932818459</v>
      </c>
      <c r="C24" s="10">
        <f>C20+C23</f>
        <v>2460389.8460917049</v>
      </c>
      <c r="D24" s="10">
        <f>D20+D23</f>
        <v>2234320.5801259866</v>
      </c>
      <c r="E24" s="10">
        <f>C24-D24</f>
        <v>226069.26596571831</v>
      </c>
    </row>
    <row r="25" spans="1:5">
      <c r="A25" t="s">
        <v>44</v>
      </c>
      <c r="B25" s="10">
        <f>B24-B22</f>
        <v>1915395.9932818459</v>
      </c>
      <c r="C25" s="10">
        <f>C24-C22</f>
        <v>2029889.8460917049</v>
      </c>
      <c r="D25" s="10">
        <f>D24-D22</f>
        <v>1803820.5801259866</v>
      </c>
      <c r="E25" s="10">
        <f>C25-D25</f>
        <v>226069.26596571831</v>
      </c>
    </row>
    <row r="28" spans="1:5">
      <c r="A28" s="40" t="s">
        <v>535</v>
      </c>
      <c r="B28" s="40"/>
      <c r="C28" s="40"/>
      <c r="D28" s="40"/>
      <c r="E28" s="40"/>
    </row>
    <row r="30" spans="1:5">
      <c r="A30" t="s">
        <v>32</v>
      </c>
      <c r="B30" t="s">
        <v>72</v>
      </c>
      <c r="C30" t="s">
        <v>73</v>
      </c>
      <c r="D30" t="s">
        <v>74</v>
      </c>
      <c r="E30" t="s">
        <v>534</v>
      </c>
    </row>
    <row r="31" spans="1:5">
      <c r="A31" t="s">
        <v>36</v>
      </c>
      <c r="B31" s="10">
        <f>B17*(1+B8)</f>
        <v>5661593.9749105209</v>
      </c>
      <c r="C31" s="10">
        <f>C17*(1+C8)</f>
        <v>5980833.70287129</v>
      </c>
      <c r="D31" s="10">
        <f>D17*(1+D8)</f>
        <v>5351109.565911754</v>
      </c>
      <c r="E31" s="10">
        <f>C31-D31</f>
        <v>629724.136959536</v>
      </c>
    </row>
    <row r="32" spans="1:5">
      <c r="A32" t="s">
        <v>38</v>
      </c>
      <c r="B32" s="10">
        <f>B31*B9</f>
        <v>2349561.4793931036</v>
      </c>
      <c r="C32" s="10">
        <f>C31*C9</f>
        <v>2541854.3023868157</v>
      </c>
      <c r="D32" s="10">
        <f>D31*D9</f>
        <v>2167199.3551069875</v>
      </c>
      <c r="E32" s="10">
        <f>C32-D32</f>
        <v>374654.94727982813</v>
      </c>
    </row>
    <row r="33" spans="1:5">
      <c r="A33" t="s">
        <v>40</v>
      </c>
      <c r="B33" s="9">
        <f>B19*(1+B10)</f>
        <v>4.026665654894529E-2</v>
      </c>
      <c r="C33" s="9">
        <f>C19*(1+C10)</f>
        <v>3.8747323862967108E-2</v>
      </c>
      <c r="D33" s="9">
        <f>D19*(1+D10)</f>
        <v>4.1815206662183309E-2</v>
      </c>
      <c r="E33" s="9">
        <f>C33-D33</f>
        <v>-3.0678827992162011E-3</v>
      </c>
    </row>
    <row r="34" spans="1:5">
      <c r="A34" s="9" t="s">
        <v>41</v>
      </c>
      <c r="B34" s="10">
        <f>B32+B33</f>
        <v>2349561.5196597599</v>
      </c>
      <c r="C34" s="10">
        <f>C32+C33</f>
        <v>2541854.3411341393</v>
      </c>
      <c r="D34" s="10">
        <f>D32+D33</f>
        <v>2167199.3969221944</v>
      </c>
      <c r="E34" s="10">
        <f>C34-D34</f>
        <v>374654.94421194494</v>
      </c>
    </row>
    <row r="35" spans="1:5">
      <c r="A35" t="s">
        <v>42</v>
      </c>
      <c r="B35" s="9">
        <f>IFERROR(B34/B31,0)</f>
        <v>0.41500000354527256</v>
      </c>
      <c r="C35" s="9">
        <f>IFERROR(C34/C31,0)</f>
        <v>0.42500000291160761</v>
      </c>
      <c r="D35" s="9">
        <f>IFERROR(D34/D31,0)</f>
        <v>0.40500000424733107</v>
      </c>
      <c r="E35" s="9">
        <f>C35-D35</f>
        <v>1.9999998664276541E-2</v>
      </c>
    </row>
    <row r="36" spans="1:5">
      <c r="A36" t="s">
        <v>48</v>
      </c>
      <c r="B36" s="10">
        <f>'CapEx Plan'!D12</f>
        <v>452025</v>
      </c>
      <c r="C36" s="10">
        <f>'CapEx Plan'!D12</f>
        <v>452025</v>
      </c>
      <c r="D36" s="10">
        <f>'CapEx Plan'!D12</f>
        <v>452025</v>
      </c>
      <c r="E36" s="10">
        <f>0</f>
        <v>0</v>
      </c>
    </row>
    <row r="37" spans="1:5">
      <c r="A37" t="s">
        <v>415</v>
      </c>
      <c r="B37" s="10">
        <f>'CapEx Plan'!D33</f>
        <v>258505</v>
      </c>
      <c r="C37" s="10">
        <f>'CapEx Plan'!D33</f>
        <v>258505</v>
      </c>
      <c r="D37" s="10">
        <f>'CapEx Plan'!D33</f>
        <v>258505</v>
      </c>
      <c r="E37">
        <f>0</f>
        <v>0</v>
      </c>
    </row>
    <row r="38" spans="1:5">
      <c r="A38" t="s">
        <v>418</v>
      </c>
      <c r="B38" s="10">
        <f>B34+B37</f>
        <v>2608066.5196597599</v>
      </c>
      <c r="C38" s="10">
        <f>C34+C37</f>
        <v>2800359.3411341393</v>
      </c>
      <c r="D38" s="10">
        <f>D34+D37</f>
        <v>2425704.3969221944</v>
      </c>
      <c r="E38" s="10">
        <f>C38-D38</f>
        <v>374654.94421194494</v>
      </c>
    </row>
    <row r="39" spans="1:5">
      <c r="A39" t="s">
        <v>44</v>
      </c>
      <c r="B39" s="10">
        <f>B38-B36</f>
        <v>2156041.5196597599</v>
      </c>
      <c r="C39" s="10">
        <f>C38-C36</f>
        <v>2348334.3411341393</v>
      </c>
      <c r="D39" s="10">
        <f>D38-D36</f>
        <v>1973679.3969221944</v>
      </c>
      <c r="E39" s="10">
        <f>C39-D39</f>
        <v>374654.94421194494</v>
      </c>
    </row>
    <row r="42" spans="1:5">
      <c r="A42" s="40" t="s">
        <v>536</v>
      </c>
      <c r="B42" s="40"/>
      <c r="C42" s="40"/>
      <c r="D42" s="40"/>
      <c r="E42" s="40"/>
    </row>
    <row r="44" spans="1:5">
      <c r="A44" t="s">
        <v>32</v>
      </c>
      <c r="B44" t="s">
        <v>72</v>
      </c>
      <c r="C44" t="s">
        <v>73</v>
      </c>
      <c r="D44" t="s">
        <v>74</v>
      </c>
      <c r="E44" t="s">
        <v>534</v>
      </c>
    </row>
    <row r="45" spans="1:5">
      <c r="A45" t="s">
        <v>36</v>
      </c>
      <c r="B45" s="10">
        <f>B31*(1+B8)</f>
        <v>6108131.0603413219</v>
      </c>
      <c r="C45" s="10">
        <f>C31*(1+C8)</f>
        <v>6631974.6409492902</v>
      </c>
      <c r="D45" s="10">
        <f>D31*(1+D8)</f>
        <v>5612625.0658965353</v>
      </c>
      <c r="E45" s="10">
        <f>C45-D45</f>
        <v>1019349.575052755</v>
      </c>
    </row>
    <row r="46" spans="1:5">
      <c r="A46" t="s">
        <v>38</v>
      </c>
      <c r="B46" s="10">
        <f>B45*B9</f>
        <v>2534874.3682540995</v>
      </c>
      <c r="C46" s="10">
        <f>C45*C9</f>
        <v>2818589.1987473625</v>
      </c>
      <c r="D46" s="10">
        <f>D45*D9</f>
        <v>2273113.1316680051</v>
      </c>
      <c r="E46" s="10">
        <f>C46-D46</f>
        <v>545476.06707935734</v>
      </c>
    </row>
    <row r="47" spans="1:5">
      <c r="A47" t="s">
        <v>40</v>
      </c>
      <c r="B47" s="9">
        <f>B33*(1+B10)</f>
        <v>4.2280718938675632E-2</v>
      </c>
      <c r="C47" s="9">
        <f>C33*(1+C10)</f>
        <v>3.9910445613454554E-2</v>
      </c>
      <c r="D47" s="9">
        <f>D33*(1+D10)</f>
        <v>4.4743028747873191E-2</v>
      </c>
      <c r="E47" s="9">
        <f>C47-D47</f>
        <v>-4.8325831344186373E-3</v>
      </c>
    </row>
    <row r="48" spans="1:5">
      <c r="A48" t="s">
        <v>41</v>
      </c>
      <c r="B48" s="10">
        <f>B46+B47</f>
        <v>2534874.4105348187</v>
      </c>
      <c r="C48" s="10">
        <f>C46+C47</f>
        <v>2818589.2386578079</v>
      </c>
      <c r="D48" s="10">
        <f>D46+D47</f>
        <v>2273113.1764110341</v>
      </c>
      <c r="E48" s="10">
        <f>C48-D48</f>
        <v>545476.06224677386</v>
      </c>
    </row>
    <row r="49" spans="1:6">
      <c r="A49" t="s">
        <v>42</v>
      </c>
      <c r="B49" s="9">
        <f>IFERROR(B48/B45,0)</f>
        <v>0.41500000335506393</v>
      </c>
      <c r="C49" s="9">
        <f>IFERROR(C48/C45,0)</f>
        <v>0.42500000245090797</v>
      </c>
      <c r="D49" s="9">
        <f>IFERROR(D48/D45,0)</f>
        <v>0.40500000440487954</v>
      </c>
      <c r="E49" s="9">
        <f>C49-D49</f>
        <v>1.9999998046028422E-2</v>
      </c>
    </row>
    <row r="50" spans="1:6">
      <c r="A50" t="s">
        <v>48</v>
      </c>
      <c r="B50" s="10">
        <f>'CapEx Plan'!E12</f>
        <v>474626.25</v>
      </c>
      <c r="C50" s="10">
        <f>'CapEx Plan'!E12</f>
        <v>474626.25</v>
      </c>
      <c r="D50" s="10">
        <f>'CapEx Plan'!E12</f>
        <v>474626.25</v>
      </c>
      <c r="E50" s="10">
        <f>0</f>
        <v>0</v>
      </c>
    </row>
    <row r="51" spans="1:6">
      <c r="A51" t="s">
        <v>415</v>
      </c>
      <c r="B51" s="10">
        <f>'CapEx Plan'!E33</f>
        <v>353430.25</v>
      </c>
      <c r="C51" s="10">
        <f>'CapEx Plan'!E33</f>
        <v>353430.25</v>
      </c>
      <c r="D51" s="10">
        <f>'CapEx Plan'!E33</f>
        <v>353430.25</v>
      </c>
      <c r="E51">
        <f>0</f>
        <v>0</v>
      </c>
    </row>
    <row r="52" spans="1:6">
      <c r="A52" t="s">
        <v>418</v>
      </c>
      <c r="B52" s="10">
        <f>B48+B51</f>
        <v>2888304.6605348187</v>
      </c>
      <c r="C52" s="10">
        <f>C48+C51</f>
        <v>3172019.4886578079</v>
      </c>
      <c r="D52" s="10">
        <f>D48+D51</f>
        <v>2626543.4264110341</v>
      </c>
      <c r="E52" s="10">
        <f>C52-D52</f>
        <v>545476.06224677386</v>
      </c>
    </row>
    <row r="53" spans="1:6">
      <c r="A53" t="s">
        <v>44</v>
      </c>
      <c r="B53" s="10">
        <f>B52-B50</f>
        <v>2413678.4105348187</v>
      </c>
      <c r="C53" s="10">
        <f>C52-C50</f>
        <v>2697393.2386578079</v>
      </c>
      <c r="D53" s="10">
        <f>D52-D50</f>
        <v>2151917.1764110341</v>
      </c>
      <c r="E53" s="10">
        <f>C53-D53</f>
        <v>545476.06224677386</v>
      </c>
    </row>
    <row r="56" spans="1:6">
      <c r="A56" s="40" t="s">
        <v>537</v>
      </c>
      <c r="B56" s="40"/>
      <c r="C56" s="40"/>
      <c r="D56" s="40"/>
      <c r="E56" s="40"/>
      <c r="F56" s="40"/>
    </row>
    <row r="58" spans="1:6">
      <c r="A58" t="s">
        <v>32</v>
      </c>
      <c r="B58" t="s">
        <v>72</v>
      </c>
      <c r="C58" t="s">
        <v>73</v>
      </c>
      <c r="D58" t="s">
        <v>74</v>
      </c>
      <c r="E58" t="s">
        <v>534</v>
      </c>
      <c r="F58" t="s">
        <v>538</v>
      </c>
    </row>
    <row r="59" spans="1:6">
      <c r="A59" t="s">
        <v>67</v>
      </c>
      <c r="B59" s="10">
        <f>B45</f>
        <v>6108131.0603413219</v>
      </c>
      <c r="C59" s="10">
        <f>C45</f>
        <v>6631974.6409492902</v>
      </c>
      <c r="D59" s="10">
        <f>D45</f>
        <v>5612625.0658965353</v>
      </c>
      <c r="E59" s="10">
        <f>C59-D59</f>
        <v>1019349.575052755</v>
      </c>
      <c r="F59" s="9">
        <f>(C59-D59)/B59</f>
        <v>0.16688403784770686</v>
      </c>
    </row>
    <row r="60" spans="1:6">
      <c r="A60" t="s">
        <v>68</v>
      </c>
      <c r="B60" s="10">
        <f>B48</f>
        <v>2534874.4105348187</v>
      </c>
      <c r="C60" s="10">
        <f>C48</f>
        <v>2818589.2386578079</v>
      </c>
      <c r="D60" s="10">
        <f>D48</f>
        <v>2273113.1764110341</v>
      </c>
      <c r="E60" s="10">
        <f>C60-D60</f>
        <v>545476.06224677386</v>
      </c>
      <c r="F60" s="9">
        <f>(C60-D60)/B60</f>
        <v>0.21518859474055244</v>
      </c>
    </row>
    <row r="61" spans="1:6">
      <c r="A61" t="s">
        <v>539</v>
      </c>
      <c r="B61" s="9">
        <f>B49</f>
        <v>0.41500000335506393</v>
      </c>
      <c r="C61" s="9">
        <f>C49</f>
        <v>0.42500000245090797</v>
      </c>
      <c r="D61" s="9">
        <f>D49</f>
        <v>0.40500000440487954</v>
      </c>
      <c r="E61" s="9">
        <f>C61-D61</f>
        <v>1.9999998046028422E-2</v>
      </c>
      <c r="F61" s="9">
        <f>(C61-D61)/B61</f>
        <v>4.8192765986358098E-2</v>
      </c>
    </row>
    <row r="62" spans="1:6">
      <c r="A62" t="s">
        <v>69</v>
      </c>
      <c r="B62" s="10">
        <f>B53</f>
        <v>2413678.4105348187</v>
      </c>
      <c r="C62" s="10">
        <f>C53</f>
        <v>2697393.2386578079</v>
      </c>
      <c r="D62" s="10">
        <f>D53</f>
        <v>2151917.1764110341</v>
      </c>
      <c r="E62" s="10">
        <f>C62-D62</f>
        <v>545476.06224677386</v>
      </c>
      <c r="F62" s="9">
        <f>(C62-D62)/B62</f>
        <v>0.22599367830692416</v>
      </c>
    </row>
    <row r="63" spans="1:6">
      <c r="A63" t="s">
        <v>408</v>
      </c>
      <c r="B63" s="10">
        <f>B48*(1-Assumptions!$C$51)</f>
        <v>2182526.8674704786</v>
      </c>
      <c r="C63" s="10">
        <f>C48*(1-Assumptions!$C$51)</f>
        <v>2426805.3344843728</v>
      </c>
      <c r="D63" s="10">
        <f>D48*(1-Assumptions!$C$51)</f>
        <v>1957150.4448899003</v>
      </c>
      <c r="E63" s="10">
        <f>C63-D63</f>
        <v>469654.88959447248</v>
      </c>
      <c r="F63" s="9">
        <f>(C63-D63)/B63</f>
        <v>0.21518859474055255</v>
      </c>
    </row>
    <row r="64" spans="1:6">
      <c r="A64" t="s">
        <v>540</v>
      </c>
      <c r="B64" s="10">
        <f>C59-D59</f>
        <v>1019349.575052755</v>
      </c>
    </row>
    <row r="65" spans="1:4">
      <c r="A65" t="s">
        <v>541</v>
      </c>
      <c r="B65" s="10">
        <f>C60-D60</f>
        <v>545476.06224677386</v>
      </c>
    </row>
    <row r="67" spans="1:4">
      <c r="A67" s="40" t="s">
        <v>542</v>
      </c>
      <c r="B67" s="40"/>
    </row>
    <row r="68" spans="1:4">
      <c r="A68" t="s">
        <v>543</v>
      </c>
      <c r="B68" t="str">
        <f>IF(C17&gt;B17,"PASS","CHECK")</f>
        <v>PASS</v>
      </c>
    </row>
    <row r="69" spans="1:4">
      <c r="A69" t="s">
        <v>544</v>
      </c>
      <c r="B69" t="str">
        <f>IF(B17&gt;D17,"PASS","CHECK")</f>
        <v>PASS</v>
      </c>
    </row>
    <row r="70" spans="1:4">
      <c r="A70" t="s">
        <v>545</v>
      </c>
      <c r="B70" t="str">
        <f>IF(C45&gt;B45,"PASS","CHECK")</f>
        <v>PASS</v>
      </c>
    </row>
    <row r="71" spans="1:4">
      <c r="A71" t="s">
        <v>546</v>
      </c>
      <c r="B71" t="str">
        <f>IF(B45&gt;D45,"PASS","CHECK")</f>
        <v>PASS</v>
      </c>
    </row>
    <row r="72" spans="1:4">
      <c r="A72" t="s">
        <v>547</v>
      </c>
      <c r="B72" t="str">
        <f>IF(C49&gt;D49,"PASS","CHECK")</f>
        <v>PASS</v>
      </c>
    </row>
    <row r="74" spans="1:4">
      <c r="A74" s="23" t="s">
        <v>548</v>
      </c>
      <c r="B74" s="23" t="s">
        <v>67</v>
      </c>
      <c r="C74" s="23" t="s">
        <v>68</v>
      </c>
      <c r="D74" s="23" t="s">
        <v>69</v>
      </c>
    </row>
    <row r="75" spans="1:4">
      <c r="A75" s="23" t="s">
        <v>72</v>
      </c>
      <c r="B75" s="10">
        <f>B59</f>
        <v>6108131.0603413219</v>
      </c>
      <c r="C75" s="10">
        <f>B60</f>
        <v>2534874.4105348187</v>
      </c>
      <c r="D75" s="10">
        <f>B62</f>
        <v>2413678.4105348187</v>
      </c>
    </row>
    <row r="76" spans="1:4">
      <c r="A76" s="23" t="s">
        <v>73</v>
      </c>
      <c r="B76" s="10">
        <f>C59</f>
        <v>6631974.6409492902</v>
      </c>
      <c r="C76" s="10">
        <f>C60</f>
        <v>2818589.2386578079</v>
      </c>
      <c r="D76" s="10">
        <f>C62</f>
        <v>2697393.2386578079</v>
      </c>
    </row>
    <row r="77" spans="1:4">
      <c r="A77" s="23" t="s">
        <v>74</v>
      </c>
      <c r="B77" s="10">
        <f>D59</f>
        <v>5612625.0658965353</v>
      </c>
      <c r="C77" s="10">
        <f>D60</f>
        <v>2273113.1764110341</v>
      </c>
      <c r="D77" s="10">
        <f>D62</f>
        <v>2151917.1764110341</v>
      </c>
    </row>
    <row r="78" spans="1:4">
      <c r="A78" s="23"/>
    </row>
    <row r="79" spans="1:4">
      <c r="A79" s="23" t="s">
        <v>549</v>
      </c>
      <c r="B79" s="23" t="str">
        <f>IF(AND(B75&gt;C75,C75&gt;D75,B76&gt;C76,C76&gt;D76,B77&gt;C77,C77&gt;D77),"PASS","CHECK")</f>
        <v>PASS</v>
      </c>
    </row>
    <row r="80" spans="1:4">
      <c r="A80" s="23"/>
    </row>
  </sheetData>
  <mergeCells count="9">
    <mergeCell ref="A1:E1"/>
    <mergeCell ref="A2:E2"/>
    <mergeCell ref="A3:E3"/>
    <mergeCell ref="A67:B67"/>
    <mergeCell ref="A5:E5"/>
    <mergeCell ref="A14:E14"/>
    <mergeCell ref="A28:E28"/>
    <mergeCell ref="A42:E42"/>
    <mergeCell ref="A56:F5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BA17-7342-4822-9C20-83EBDCA5D111}">
  <dimension ref="A1:D39"/>
  <sheetViews>
    <sheetView workbookViewId="0">
      <selection activeCell="D23" sqref="D23"/>
    </sheetView>
  </sheetViews>
  <sheetFormatPr defaultRowHeight="15"/>
  <cols>
    <col min="1" max="1" width="92.85546875" customWidth="1"/>
    <col min="2" max="3" width="12.5703125" bestFit="1" customWidth="1"/>
    <col min="4" max="4" width="9.140625" style="23"/>
  </cols>
  <sheetData>
    <row r="1" spans="1:4">
      <c r="A1" s="40" t="s">
        <v>0</v>
      </c>
      <c r="B1" s="40"/>
      <c r="C1" s="40"/>
      <c r="D1" s="40"/>
    </row>
    <row r="2" spans="1:4">
      <c r="A2" s="40" t="s">
        <v>550</v>
      </c>
      <c r="B2" s="40"/>
      <c r="C2" s="40"/>
      <c r="D2" s="40"/>
    </row>
    <row r="4" spans="1:4">
      <c r="A4" t="s">
        <v>551</v>
      </c>
      <c r="B4" t="s">
        <v>91</v>
      </c>
      <c r="C4" t="s">
        <v>92</v>
      </c>
      <c r="D4" s="23" t="s">
        <v>93</v>
      </c>
    </row>
    <row r="5" spans="1:4">
      <c r="A5" t="s">
        <v>94</v>
      </c>
      <c r="B5" s="10">
        <v>4864066</v>
      </c>
      <c r="C5" s="10">
        <f>'Historical Trends'!D5</f>
        <v>4864066.09</v>
      </c>
      <c r="D5" s="23" t="str">
        <f>IF(ABS(B5-C5)&lt;1,"PASS","CHECK")</f>
        <v>PASS</v>
      </c>
    </row>
    <row r="6" spans="1:4">
      <c r="A6" t="s">
        <v>95</v>
      </c>
      <c r="B6" s="10">
        <v>2018587</v>
      </c>
      <c r="C6" s="10">
        <f>'Historical Trends'!D7</f>
        <v>2018587.4099999992</v>
      </c>
      <c r="D6" s="23" t="str">
        <f>IF(ABS(B6-C6)&lt;1,"PASS","CHECK")</f>
        <v>PASS</v>
      </c>
    </row>
    <row r="7" spans="1:4">
      <c r="A7" t="s">
        <v>96</v>
      </c>
      <c r="B7" s="10">
        <v>-1001507</v>
      </c>
      <c r="C7" s="10">
        <f>'Historical Trends'!D9</f>
        <v>-1001506.71</v>
      </c>
      <c r="D7" s="23" t="str">
        <f>IF(ABS(B7-C7)&lt;1,"PASS","CHECK")</f>
        <v>PASS</v>
      </c>
    </row>
    <row r="8" spans="1:4">
      <c r="A8" t="s">
        <v>97</v>
      </c>
      <c r="B8" s="10">
        <v>1017081</v>
      </c>
      <c r="C8" s="10">
        <f>'Historical Trends'!D11</f>
        <v>1017080.6999999993</v>
      </c>
      <c r="D8" s="23" t="str">
        <f>IF(ABS(B8-C8)&lt;1,"PASS","CHECK")</f>
        <v>PASS</v>
      </c>
    </row>
    <row r="9" spans="1:4">
      <c r="A9" t="s">
        <v>552</v>
      </c>
      <c r="B9" s="9">
        <v>7.9000000000000001E-2</v>
      </c>
      <c r="C9" s="9">
        <f>'Scenario Analysis'!B8</f>
        <v>7.8871266185749134E-2</v>
      </c>
      <c r="D9" s="23" t="str">
        <f>IF(ABS(B9-C9)&lt;0.0002,"PASS","CHECK")</f>
        <v>PASS</v>
      </c>
    </row>
    <row r="10" spans="1:4">
      <c r="A10" t="s">
        <v>553</v>
      </c>
      <c r="B10" s="9">
        <v>0.109</v>
      </c>
      <c r="C10" s="9">
        <f>'Scenario Analysis'!C8</f>
        <v>0.10887126618574913</v>
      </c>
      <c r="D10" s="23" t="str">
        <f>IF(ABS(B10-C10)&lt;0.0002,"PASS","CHECK")</f>
        <v>PASS</v>
      </c>
    </row>
    <row r="11" spans="1:4">
      <c r="A11" t="s">
        <v>554</v>
      </c>
      <c r="B11" s="9">
        <v>4.9000000000000002E-2</v>
      </c>
      <c r="C11" s="9">
        <f>'Scenario Analysis'!D8</f>
        <v>4.8871266185749135E-2</v>
      </c>
      <c r="D11" s="23" t="str">
        <f>IF(ABS(B11-C11)&lt;0.0002,"PASS","CHECK")</f>
        <v>PASS</v>
      </c>
    </row>
    <row r="12" spans="1:4">
      <c r="A12" t="s">
        <v>555</v>
      </c>
      <c r="B12" s="9">
        <v>0.41499999999999998</v>
      </c>
      <c r="C12" s="9">
        <f>'Scenario Analysis'!B9</f>
        <v>0.41499999643302526</v>
      </c>
      <c r="D12" s="23" t="str">
        <f>IF(ABS(B12-C12)&lt;0.0001,"PASS","CHECK")</f>
        <v>PASS</v>
      </c>
    </row>
    <row r="13" spans="1:4">
      <c r="A13" t="s">
        <v>556</v>
      </c>
      <c r="B13" s="9">
        <v>0.05</v>
      </c>
      <c r="C13" s="9">
        <f>'Scenario Analysis'!B10</f>
        <v>5.0018118273172041E-2</v>
      </c>
      <c r="D13" s="23" t="str">
        <f>IF(ABS(B13-C13)&lt;0.0001,"PASS","CHECK")</f>
        <v>PASS</v>
      </c>
    </row>
    <row r="14" spans="1:4">
      <c r="A14" t="s">
        <v>557</v>
      </c>
      <c r="B14" s="9">
        <v>0.20899999999999999</v>
      </c>
      <c r="C14" s="9">
        <f>'Scenario Analysis'!B11</f>
        <v>0.20910092115956411</v>
      </c>
      <c r="D14" s="23" t="str">
        <f>IF(ABS(B14-C14)&lt;0.0002,"PASS","CHECK")</f>
        <v>PASS</v>
      </c>
    </row>
    <row r="15" spans="1:4">
      <c r="A15" t="s">
        <v>558</v>
      </c>
      <c r="B15" s="10">
        <f>'Historical Trends'!D5*(1+'Scenario Analysis'!B8)</f>
        <v>5247701.1413294654</v>
      </c>
      <c r="C15" s="10">
        <f>'Scenario Analysis'!B17</f>
        <v>5247701.1413294654</v>
      </c>
      <c r="D15" s="23" t="str">
        <f>IF(ABS(B15-C15)&lt;1,"PASS","CHECK")</f>
        <v>PASS</v>
      </c>
    </row>
    <row r="16" spans="1:4">
      <c r="A16" t="s">
        <v>543</v>
      </c>
      <c r="B16" s="10">
        <f>'Scenario Analysis'!C17</f>
        <v>5393623.124029466</v>
      </c>
      <c r="C16" s="10">
        <f>'Scenario Analysis'!B17</f>
        <v>5247701.1413294654</v>
      </c>
      <c r="D16" s="23" t="str">
        <f>IF(B16&gt;C16,"PASS","CHECK")</f>
        <v>PASS</v>
      </c>
    </row>
    <row r="17" spans="1:4">
      <c r="A17" t="s">
        <v>544</v>
      </c>
      <c r="B17" s="10">
        <f>'Scenario Analysis'!B17</f>
        <v>5247701.1413294654</v>
      </c>
      <c r="C17" s="10">
        <f>'Scenario Analysis'!D17</f>
        <v>5101779.1586294658</v>
      </c>
      <c r="D17" s="23" t="str">
        <f>IF(B17&gt;C17,"PASS","CHECK")</f>
        <v>PASS</v>
      </c>
    </row>
    <row r="18" spans="1:4">
      <c r="A18" t="s">
        <v>545</v>
      </c>
      <c r="B18" s="10">
        <f>'Scenario Analysis'!C45</f>
        <v>6631974.6409492902</v>
      </c>
      <c r="C18" s="10">
        <f>'Scenario Analysis'!B45</f>
        <v>6108131.0603413219</v>
      </c>
      <c r="D18" s="23" t="str">
        <f>IF(B18&gt;C18,"PASS","CHECK")</f>
        <v>PASS</v>
      </c>
    </row>
    <row r="19" spans="1:4">
      <c r="A19" t="s">
        <v>546</v>
      </c>
      <c r="B19" s="10">
        <f>'Scenario Analysis'!B45</f>
        <v>6108131.0603413219</v>
      </c>
      <c r="C19" s="10">
        <f>'Scenario Analysis'!D45</f>
        <v>5612625.0658965353</v>
      </c>
      <c r="D19" s="23" t="str">
        <f>IF(B19&gt;C19,"PASS","CHECK")</f>
        <v>PASS</v>
      </c>
    </row>
    <row r="20" spans="1:4">
      <c r="A20" t="s">
        <v>559</v>
      </c>
      <c r="B20" t="s">
        <v>91</v>
      </c>
      <c r="C20" t="s">
        <v>92</v>
      </c>
      <c r="D20" s="24" t="s">
        <v>560</v>
      </c>
    </row>
    <row r="21" spans="1:4">
      <c r="B21" s="10">
        <f>'Scenario Analysis'!B17</f>
        <v>5247701.1413294654</v>
      </c>
      <c r="C21" s="10">
        <f>'Forecast Model'!B230</f>
        <v>5247701.1413294654</v>
      </c>
      <c r="D21" s="25">
        <f>C21-B21</f>
        <v>0</v>
      </c>
    </row>
    <row r="23" spans="1:4">
      <c r="A23" t="s">
        <v>561</v>
      </c>
      <c r="D23" s="23" t="str">
        <f>IF(COUNTIF(D5:D21,"CHECK")=0,"PASS","CHECK MODEL")</f>
        <v>PASS</v>
      </c>
    </row>
    <row r="24" spans="1:4">
      <c r="A24" t="s">
        <v>562</v>
      </c>
      <c r="B24" s="10">
        <f>'Cash Flow Plan'!C24</f>
        <v>2552876.4638611544</v>
      </c>
      <c r="C24" s="10">
        <f>'Forecast Model'!C169</f>
        <v>2552876.4638611544</v>
      </c>
      <c r="D24" s="23" t="str">
        <f>IF(ABS(B24-C24)&lt;1,"PASS","CHECK")</f>
        <v>PASS</v>
      </c>
    </row>
    <row r="25" spans="1:4">
      <c r="A25" t="s">
        <v>563</v>
      </c>
      <c r="B25" s="10">
        <f>'Cash Flow Plan'!D24</f>
        <v>3604718.6894489652</v>
      </c>
      <c r="C25" s="10">
        <f>'Forecast Model'!D169</f>
        <v>3604718.6894489652</v>
      </c>
      <c r="D25" s="23" t="str">
        <f>IF(ABS(B25-C25)&lt;1,"PASS","CHECK")</f>
        <v>PASS</v>
      </c>
    </row>
    <row r="26" spans="1:4">
      <c r="A26" t="s">
        <v>564</v>
      </c>
      <c r="B26" s="10">
        <f>'Cash Flow Plan'!E24</f>
        <v>4858967.8350237906</v>
      </c>
      <c r="C26" s="10">
        <f>'Forecast Model'!E169</f>
        <v>4858967.8350237906</v>
      </c>
      <c r="D26" s="23" t="str">
        <f>IF(ABS(B26-C26)&lt;1,"PASS","CHECK")</f>
        <v>PASS</v>
      </c>
    </row>
    <row r="27" spans="1:4">
      <c r="A27" t="s">
        <v>565</v>
      </c>
      <c r="B27" s="10">
        <f>'CapEx Plan'!C12</f>
        <v>430500</v>
      </c>
      <c r="C27" s="10">
        <f>'Forecast Model'!C158</f>
        <v>430500</v>
      </c>
      <c r="D27" s="23" t="str">
        <f>IF(ABS(B27-C27)&lt;1,"PASS","CHECK")</f>
        <v>PASS</v>
      </c>
    </row>
    <row r="28" spans="1:4">
      <c r="A28" t="s">
        <v>566</v>
      </c>
      <c r="B28" s="10">
        <f>'CapEx Plan'!D12</f>
        <v>452025</v>
      </c>
      <c r="C28" s="10">
        <f>'Forecast Model'!D158</f>
        <v>452025</v>
      </c>
      <c r="D28" s="23" t="str">
        <f>IF(ABS(B28-C28)&lt;1,"PASS","CHECK")</f>
        <v>PASS</v>
      </c>
    </row>
    <row r="29" spans="1:4">
      <c r="A29" t="s">
        <v>567</v>
      </c>
      <c r="B29" s="10">
        <f>'CapEx Plan'!E12</f>
        <v>474626.25</v>
      </c>
      <c r="C29" s="10">
        <f>'Forecast Model'!E158</f>
        <v>474626.25</v>
      </c>
      <c r="D29" s="23" t="str">
        <f>IF(ABS(B29-C29)&lt;1,"PASS","CHECK")</f>
        <v>PASS</v>
      </c>
    </row>
    <row r="30" spans="1:4">
      <c r="A30" t="s">
        <v>568</v>
      </c>
      <c r="B30" s="10">
        <f>'Headcount Plan'!C71</f>
        <v>6171580.7999999989</v>
      </c>
      <c r="C30" s="10">
        <f>'Forecast Model'!C149</f>
        <v>6171580.7999999989</v>
      </c>
      <c r="D30" s="23" t="str">
        <f>IF(ABS(B30-C30)&lt;1,"PASS","CHECK")</f>
        <v>PASS</v>
      </c>
    </row>
    <row r="31" spans="1:4">
      <c r="A31" t="s">
        <v>569</v>
      </c>
      <c r="B31" s="10">
        <f>'Headcount Plan'!D71</f>
        <v>6721122.743999999</v>
      </c>
      <c r="C31" s="10">
        <f>'Forecast Model'!D149</f>
        <v>6721122.743999999</v>
      </c>
      <c r="D31" s="23" t="str">
        <f>IF(ABS(B31-C31)&lt;1,"PASS","CHECK")</f>
        <v>PASS</v>
      </c>
    </row>
    <row r="32" spans="1:4">
      <c r="A32" t="s">
        <v>570</v>
      </c>
      <c r="B32" s="10">
        <f>'Headcount Plan'!E71</f>
        <v>7301572.437599997</v>
      </c>
      <c r="C32" s="10">
        <f>'Forecast Model'!E149</f>
        <v>7301572.437599997</v>
      </c>
      <c r="D32" s="23" t="str">
        <f>IF(ABS(B32-C32)&lt;1,"PASS","CHECK")</f>
        <v>PASS</v>
      </c>
    </row>
    <row r="34" spans="1:1">
      <c r="A34" s="28" t="s">
        <v>571</v>
      </c>
    </row>
    <row r="35" spans="1:1">
      <c r="A35" t="s">
        <v>572</v>
      </c>
    </row>
    <row r="36" spans="1:1">
      <c r="A36" t="s">
        <v>573</v>
      </c>
    </row>
    <row r="37" spans="1:1">
      <c r="A37" t="s">
        <v>574</v>
      </c>
    </row>
    <row r="38" spans="1:1">
      <c r="A38" t="s">
        <v>575</v>
      </c>
    </row>
    <row r="39" spans="1:1">
      <c r="A39" t="s">
        <v>576</v>
      </c>
    </row>
  </sheetData>
  <mergeCells count="2">
    <mergeCell ref="A2:D2"/>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2026-08-10T16:06:02Z</dcterms:created>
  <dcterms:modified xsi:type="dcterms:W3CDTF">2026-09-09T21:01:15Z</dcterms:modified>
  <cp:category/>
  <cp:contentStatus/>
</cp:coreProperties>
</file>